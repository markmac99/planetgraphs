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 activeTab="3"/>
  </bookViews>
  <sheets>
    <sheet name="SunriseSet" sheetId="4" r:id="rId1"/>
    <sheet name="Testing" sheetId="1" r:id="rId2"/>
    <sheet name="Sheet2" sheetId="2" r:id="rId3"/>
    <sheet name="Sheet3" sheetId="3" r:id="rId4"/>
  </sheets>
  <functionGroups/>
  <externalReferences>
    <externalReference r:id="rId5"/>
  </externalReferences>
  <definedNames>
    <definedName name="au">'[1]Orbital Elements'!$F$17</definedName>
    <definedName name="dayval">[1]Sheet1!$B$5</definedName>
    <definedName name="dd">[1]Sheet1!$C$13</definedName>
    <definedName name="erad">'[1]Orbital Elements'!$F$18</definedName>
    <definedName name="hval">Testing!$B$16</definedName>
    <definedName name="intvl">[1]BestVisibility!$F$1</definedName>
    <definedName name="lat">Testing!$B$11</definedName>
    <definedName name="long">Testing!$B$12</definedName>
    <definedName name="lst">[1]Sheet1!$C$15</definedName>
    <definedName name="monval">[1]Sheet1!$B$4</definedName>
    <definedName name="mval">[1]Sheet1!$B$7</definedName>
    <definedName name="planetlookup">Sheet2!$C$4:$D$14</definedName>
    <definedName name="planetnames">'[1]Orbital Elements'!$B$13:$B$23</definedName>
    <definedName name="planetno">Testing!$K$1</definedName>
    <definedName name="pres">Testing!$B$15</definedName>
    <definedName name="_xlnm.Print_Area" localSheetId="3">Sheet3!$A$1:$F$31</definedName>
    <definedName name="sunrise">[1]BestVisibility!#REF!</definedName>
    <definedName name="sval">[1]Sheet1!$B$8</definedName>
    <definedName name="temp">Testing!$B$14</definedName>
    <definedName name="unt">[1]BestVisibility!$G$1</definedName>
    <definedName name="visorimg">'[1]Orbital Elements'!$E$13:$E$14</definedName>
    <definedName name="yval">[1]Sheet1!$B$3</definedName>
  </definedNames>
  <calcPr calcId="125725"/>
</workbook>
</file>

<file path=xl/calcChain.xml><?xml version="1.0" encoding="utf-8"?>
<calcChain xmlns="http://schemas.openxmlformats.org/spreadsheetml/2006/main">
  <c r="B3" i="3"/>
  <c r="E9"/>
  <c r="E13"/>
  <c r="E17"/>
  <c r="E21"/>
  <c r="E25"/>
  <c r="E29"/>
  <c r="E10"/>
  <c r="E22"/>
  <c r="E8"/>
  <c r="E12"/>
  <c r="E16"/>
  <c r="E20"/>
  <c r="E24"/>
  <c r="E28"/>
  <c r="E6"/>
  <c r="E18"/>
  <c r="E30"/>
  <c r="E7"/>
  <c r="E11"/>
  <c r="E15"/>
  <c r="E19"/>
  <c r="E23"/>
  <c r="E27"/>
  <c r="E31"/>
  <c r="E14"/>
  <c r="E26"/>
  <c r="D9"/>
  <c r="D13"/>
  <c r="D17"/>
  <c r="D21"/>
  <c r="D25"/>
  <c r="D29"/>
  <c r="D8"/>
  <c r="D12"/>
  <c r="D16"/>
  <c r="D20"/>
  <c r="D24"/>
  <c r="D28"/>
  <c r="D7"/>
  <c r="D11"/>
  <c r="D15"/>
  <c r="D19"/>
  <c r="D23"/>
  <c r="D27"/>
  <c r="D31"/>
  <c r="D6"/>
  <c r="D10"/>
  <c r="D14"/>
  <c r="D18"/>
  <c r="D22"/>
  <c r="D26"/>
  <c r="D30"/>
  <c r="B13"/>
  <c r="B17"/>
  <c r="B21"/>
  <c r="B25"/>
  <c r="B29"/>
  <c r="B23"/>
  <c r="B18"/>
  <c r="B30"/>
  <c r="B16"/>
  <c r="B20"/>
  <c r="B24"/>
  <c r="B28"/>
  <c r="B19"/>
  <c r="B31"/>
  <c r="B14"/>
  <c r="B26"/>
  <c r="B15"/>
  <c r="B27"/>
  <c r="B22"/>
  <c r="C13"/>
  <c r="C17"/>
  <c r="C21"/>
  <c r="C25"/>
  <c r="C29"/>
  <c r="C16"/>
  <c r="C20"/>
  <c r="C24"/>
  <c r="C28"/>
  <c r="C15"/>
  <c r="C19"/>
  <c r="C23"/>
  <c r="C27"/>
  <c r="C31"/>
  <c r="C30"/>
  <c r="C6"/>
  <c r="C14"/>
  <c r="C18"/>
  <c r="C22"/>
  <c r="C26"/>
  <c r="B12"/>
  <c r="B11"/>
  <c r="B10"/>
  <c r="C12"/>
  <c r="C11"/>
  <c r="C10"/>
  <c r="C9"/>
  <c r="C8"/>
  <c r="C7"/>
  <c r="B9"/>
  <c r="B8"/>
  <c r="B7"/>
  <c r="B6"/>
  <c r="K1" i="1" l="1"/>
  <c r="A7" i="3"/>
  <c r="F8" i="1"/>
  <c r="F4"/>
  <c r="F10"/>
  <c r="F9"/>
  <c r="F5"/>
  <c r="F6"/>
  <c r="F7"/>
  <c r="K13"/>
  <c r="K14"/>
  <c r="L12"/>
  <c r="K11"/>
  <c r="K10"/>
  <c r="K12"/>
  <c r="K5"/>
  <c r="K8"/>
  <c r="K16"/>
  <c r="K9"/>
  <c r="K4"/>
  <c r="K7" s="1"/>
  <c r="K6"/>
  <c r="K15"/>
  <c r="G13"/>
  <c r="G14"/>
  <c r="F11"/>
  <c r="F15"/>
  <c r="F14"/>
  <c r="F13"/>
  <c r="F12"/>
  <c r="G18"/>
  <c r="G19"/>
  <c r="F18"/>
  <c r="F19"/>
  <c r="A8" i="3" l="1"/>
  <c r="A9" l="1"/>
  <c r="I3" i="4"/>
  <c r="B1" i="1"/>
  <c r="L18"/>
  <c r="N18" s="1"/>
  <c r="K20"/>
  <c r="K17"/>
  <c r="K19"/>
  <c r="K22"/>
  <c r="L21"/>
  <c r="O21" s="1"/>
  <c r="K21"/>
  <c r="L22"/>
  <c r="L20"/>
  <c r="L19"/>
  <c r="G16"/>
  <c r="G17"/>
  <c r="F17"/>
  <c r="F16"/>
  <c r="N21"/>
  <c r="M21" l="1"/>
  <c r="A10" i="3"/>
  <c r="A11" l="1"/>
  <c r="B12" i="1"/>
  <c r="B11"/>
  <c r="E65" i="4"/>
  <c r="D65"/>
  <c r="C65"/>
  <c r="I65" s="1"/>
  <c r="B65"/>
  <c r="A65"/>
  <c r="E64"/>
  <c r="D64"/>
  <c r="C64"/>
  <c r="I64" s="1"/>
  <c r="B64"/>
  <c r="A64"/>
  <c r="E63"/>
  <c r="D63"/>
  <c r="C63"/>
  <c r="I63" s="1"/>
  <c r="B63"/>
  <c r="A63"/>
  <c r="E62"/>
  <c r="D62"/>
  <c r="C62"/>
  <c r="I62" s="1"/>
  <c r="B62"/>
  <c r="A62"/>
  <c r="E61"/>
  <c r="D61"/>
  <c r="C61"/>
  <c r="I61" s="1"/>
  <c r="B61"/>
  <c r="A61"/>
  <c r="E60"/>
  <c r="D60"/>
  <c r="C60"/>
  <c r="I60" s="1"/>
  <c r="B60"/>
  <c r="A60"/>
  <c r="E59"/>
  <c r="D59"/>
  <c r="C59"/>
  <c r="I59" s="1"/>
  <c r="B59"/>
  <c r="A59"/>
  <c r="E58"/>
  <c r="D58"/>
  <c r="C58"/>
  <c r="I58" s="1"/>
  <c r="B58"/>
  <c r="A58"/>
  <c r="E57"/>
  <c r="D57"/>
  <c r="C57"/>
  <c r="I57" s="1"/>
  <c r="B57"/>
  <c r="A57"/>
  <c r="E56"/>
  <c r="D56"/>
  <c r="C56"/>
  <c r="I56" s="1"/>
  <c r="B56"/>
  <c r="A56"/>
  <c r="E55"/>
  <c r="D55"/>
  <c r="C55"/>
  <c r="I55" s="1"/>
  <c r="B55"/>
  <c r="A55"/>
  <c r="E54"/>
  <c r="D54"/>
  <c r="C54"/>
  <c r="I54" s="1"/>
  <c r="B54"/>
  <c r="A54"/>
  <c r="E53"/>
  <c r="D53"/>
  <c r="C53"/>
  <c r="I53" s="1"/>
  <c r="B53"/>
  <c r="A53"/>
  <c r="E52"/>
  <c r="D52"/>
  <c r="C52"/>
  <c r="I52" s="1"/>
  <c r="B52"/>
  <c r="A52"/>
  <c r="E51"/>
  <c r="D51"/>
  <c r="C51"/>
  <c r="I51" s="1"/>
  <c r="B51"/>
  <c r="A51"/>
  <c r="E50"/>
  <c r="D50"/>
  <c r="C50"/>
  <c r="I50" s="1"/>
  <c r="B50"/>
  <c r="A50"/>
  <c r="E49"/>
  <c r="D49"/>
  <c r="C49"/>
  <c r="I49" s="1"/>
  <c r="B49"/>
  <c r="A49"/>
  <c r="E48"/>
  <c r="D48"/>
  <c r="C48"/>
  <c r="I48" s="1"/>
  <c r="B48"/>
  <c r="A48"/>
  <c r="E47"/>
  <c r="D47"/>
  <c r="C47"/>
  <c r="I47" s="1"/>
  <c r="B47"/>
  <c r="A47"/>
  <c r="E46"/>
  <c r="D46"/>
  <c r="C46"/>
  <c r="I46" s="1"/>
  <c r="B46"/>
  <c r="A46"/>
  <c r="E45"/>
  <c r="D45"/>
  <c r="C45"/>
  <c r="I45" s="1"/>
  <c r="B45"/>
  <c r="A45"/>
  <c r="E44"/>
  <c r="D44"/>
  <c r="C44"/>
  <c r="I44" s="1"/>
  <c r="B44"/>
  <c r="A44"/>
  <c r="E43"/>
  <c r="D43"/>
  <c r="C43"/>
  <c r="I43" s="1"/>
  <c r="B43"/>
  <c r="A43"/>
  <c r="E42"/>
  <c r="D42"/>
  <c r="C42"/>
  <c r="I42" s="1"/>
  <c r="B42"/>
  <c r="A42"/>
  <c r="E41"/>
  <c r="D41"/>
  <c r="C41"/>
  <c r="I41" s="1"/>
  <c r="B41"/>
  <c r="A41"/>
  <c r="E40"/>
  <c r="D40"/>
  <c r="C40"/>
  <c r="I40" s="1"/>
  <c r="B40"/>
  <c r="A40"/>
  <c r="E39"/>
  <c r="D39"/>
  <c r="C39"/>
  <c r="I39" s="1"/>
  <c r="B39"/>
  <c r="A39"/>
  <c r="E38"/>
  <c r="D38"/>
  <c r="C38"/>
  <c r="I38" s="1"/>
  <c r="B38"/>
  <c r="A38"/>
  <c r="E37"/>
  <c r="D37"/>
  <c r="C37"/>
  <c r="I37" s="1"/>
  <c r="B37"/>
  <c r="A37"/>
  <c r="E36"/>
  <c r="D36"/>
  <c r="C36"/>
  <c r="I36" s="1"/>
  <c r="B36"/>
  <c r="A36"/>
  <c r="E33"/>
  <c r="D33"/>
  <c r="C33"/>
  <c r="I33" s="1"/>
  <c r="B33"/>
  <c r="A33"/>
  <c r="E32"/>
  <c r="D32"/>
  <c r="C32"/>
  <c r="I32" s="1"/>
  <c r="B32"/>
  <c r="A32"/>
  <c r="E31"/>
  <c r="D31"/>
  <c r="C31"/>
  <c r="I31" s="1"/>
  <c r="B31"/>
  <c r="A31"/>
  <c r="E30"/>
  <c r="D30"/>
  <c r="C30"/>
  <c r="I30" s="1"/>
  <c r="B30"/>
  <c r="A30"/>
  <c r="E29"/>
  <c r="D29"/>
  <c r="C29"/>
  <c r="I29" s="1"/>
  <c r="B29"/>
  <c r="A29"/>
  <c r="E28"/>
  <c r="D28"/>
  <c r="C28"/>
  <c r="I28" s="1"/>
  <c r="B28"/>
  <c r="A28"/>
  <c r="E27"/>
  <c r="D27"/>
  <c r="C27"/>
  <c r="I27" s="1"/>
  <c r="B27"/>
  <c r="A27"/>
  <c r="E26"/>
  <c r="D26"/>
  <c r="C26"/>
  <c r="I26" s="1"/>
  <c r="B26"/>
  <c r="A26"/>
  <c r="E25"/>
  <c r="D25"/>
  <c r="C25"/>
  <c r="I25" s="1"/>
  <c r="B25"/>
  <c r="A25"/>
  <c r="E24"/>
  <c r="D24"/>
  <c r="C24"/>
  <c r="I24" s="1"/>
  <c r="B24"/>
  <c r="A24"/>
  <c r="E23"/>
  <c r="D23"/>
  <c r="C23"/>
  <c r="I23" s="1"/>
  <c r="B23"/>
  <c r="A23"/>
  <c r="E22"/>
  <c r="D22"/>
  <c r="C22"/>
  <c r="I22" s="1"/>
  <c r="B22"/>
  <c r="A22"/>
  <c r="E21"/>
  <c r="D21"/>
  <c r="C21"/>
  <c r="I21" s="1"/>
  <c r="B21"/>
  <c r="A21"/>
  <c r="E20"/>
  <c r="D20"/>
  <c r="C20"/>
  <c r="I20" s="1"/>
  <c r="B20"/>
  <c r="A20"/>
  <c r="E19"/>
  <c r="D19"/>
  <c r="C19"/>
  <c r="I19" s="1"/>
  <c r="B19"/>
  <c r="A19"/>
  <c r="E18"/>
  <c r="D18"/>
  <c r="C18"/>
  <c r="I18" s="1"/>
  <c r="B18"/>
  <c r="A18"/>
  <c r="E17"/>
  <c r="D17"/>
  <c r="C17"/>
  <c r="I17" s="1"/>
  <c r="B17"/>
  <c r="A17"/>
  <c r="E16"/>
  <c r="D16"/>
  <c r="C16"/>
  <c r="I16" s="1"/>
  <c r="B16"/>
  <c r="A16"/>
  <c r="E15"/>
  <c r="D15"/>
  <c r="C15"/>
  <c r="I15" s="1"/>
  <c r="B15"/>
  <c r="A15"/>
  <c r="E14"/>
  <c r="D14"/>
  <c r="C14"/>
  <c r="I14" s="1"/>
  <c r="B14"/>
  <c r="A14"/>
  <c r="E13"/>
  <c r="D13"/>
  <c r="C13"/>
  <c r="I13" s="1"/>
  <c r="B13"/>
  <c r="A13"/>
  <c r="E12"/>
  <c r="D12"/>
  <c r="C12"/>
  <c r="I12" s="1"/>
  <c r="B12"/>
  <c r="A12"/>
  <c r="E11"/>
  <c r="D11"/>
  <c r="C11"/>
  <c r="I11" s="1"/>
  <c r="B11"/>
  <c r="A11"/>
  <c r="E10"/>
  <c r="D10"/>
  <c r="C10"/>
  <c r="I10" s="1"/>
  <c r="B10"/>
  <c r="A10"/>
  <c r="E9"/>
  <c r="D9"/>
  <c r="C9"/>
  <c r="I9" s="1"/>
  <c r="B9"/>
  <c r="A9"/>
  <c r="E8"/>
  <c r="D8"/>
  <c r="C8"/>
  <c r="I8" s="1"/>
  <c r="B8"/>
  <c r="A8"/>
  <c r="E7"/>
  <c r="D7"/>
  <c r="C7"/>
  <c r="I7" s="1"/>
  <c r="B7"/>
  <c r="A7"/>
  <c r="E6"/>
  <c r="D6"/>
  <c r="C6"/>
  <c r="I6" s="1"/>
  <c r="B6"/>
  <c r="A6"/>
  <c r="E5"/>
  <c r="D5"/>
  <c r="C5"/>
  <c r="I5" s="1"/>
  <c r="B5"/>
  <c r="A5"/>
  <c r="E4"/>
  <c r="D4"/>
  <c r="C4"/>
  <c r="I4" s="1"/>
  <c r="B4"/>
  <c r="A4"/>
  <c r="E3"/>
  <c r="D3"/>
  <c r="C3"/>
  <c r="B3"/>
  <c r="A3"/>
  <c r="F65"/>
  <c r="F40"/>
  <c r="F18"/>
  <c r="F45"/>
  <c r="F11"/>
  <c r="F3"/>
  <c r="F49"/>
  <c r="F63"/>
  <c r="F53"/>
  <c r="F30"/>
  <c r="F29"/>
  <c r="F61"/>
  <c r="F19"/>
  <c r="F17"/>
  <c r="F44"/>
  <c r="F28"/>
  <c r="F38"/>
  <c r="F5"/>
  <c r="F60"/>
  <c r="F37"/>
  <c r="F7"/>
  <c r="F22"/>
  <c r="F39"/>
  <c r="F46"/>
  <c r="F21"/>
  <c r="F48"/>
  <c r="F20"/>
  <c r="F52"/>
  <c r="F56"/>
  <c r="F54"/>
  <c r="F9"/>
  <c r="F55"/>
  <c r="F58"/>
  <c r="F6"/>
  <c r="F47"/>
  <c r="F31"/>
  <c r="F59"/>
  <c r="F62"/>
  <c r="F36"/>
  <c r="F32"/>
  <c r="F23"/>
  <c r="F16"/>
  <c r="F25"/>
  <c r="F42"/>
  <c r="F43"/>
  <c r="F24"/>
  <c r="F51"/>
  <c r="F26"/>
  <c r="F64"/>
  <c r="F10"/>
  <c r="F14"/>
  <c r="F57"/>
  <c r="F12"/>
  <c r="F8"/>
  <c r="F13"/>
  <c r="F50"/>
  <c r="F4"/>
  <c r="F33"/>
  <c r="F27"/>
  <c r="F15"/>
  <c r="F41"/>
  <c r="G6" i="1"/>
  <c r="G4"/>
  <c r="G5"/>
  <c r="L17"/>
  <c r="L8"/>
  <c r="L15"/>
  <c r="L6"/>
  <c r="L9"/>
  <c r="L16"/>
  <c r="L4"/>
  <c r="L5"/>
  <c r="N11"/>
  <c r="L14"/>
  <c r="L13"/>
  <c r="L11"/>
  <c r="L10"/>
  <c r="G10"/>
  <c r="G11"/>
  <c r="G15"/>
  <c r="M16" l="1"/>
  <c r="M13"/>
  <c r="M14"/>
  <c r="M15"/>
  <c r="M17"/>
  <c r="M19"/>
  <c r="M20"/>
  <c r="M22"/>
  <c r="F6" i="3"/>
  <c r="F7"/>
  <c r="F8"/>
  <c r="F9"/>
  <c r="F10"/>
  <c r="B4"/>
  <c r="M11" i="1"/>
  <c r="F11" i="3"/>
  <c r="A12"/>
  <c r="H16" i="1"/>
  <c r="H17"/>
  <c r="H8" i="4"/>
  <c r="H20"/>
  <c r="H24"/>
  <c r="H54"/>
  <c r="H58"/>
  <c r="H7"/>
  <c r="H11"/>
  <c r="H15"/>
  <c r="H19"/>
  <c r="H23"/>
  <c r="H27"/>
  <c r="H31"/>
  <c r="H37"/>
  <c r="H41"/>
  <c r="H45"/>
  <c r="H49"/>
  <c r="H53"/>
  <c r="H57"/>
  <c r="H61"/>
  <c r="H65"/>
  <c r="H4"/>
  <c r="H12"/>
  <c r="H28"/>
  <c r="H42"/>
  <c r="H46"/>
  <c r="H6"/>
  <c r="H10"/>
  <c r="H14"/>
  <c r="H18"/>
  <c r="H22"/>
  <c r="H26"/>
  <c r="H30"/>
  <c r="H36"/>
  <c r="H40"/>
  <c r="H44"/>
  <c r="H48"/>
  <c r="H52"/>
  <c r="H56"/>
  <c r="H60"/>
  <c r="H64"/>
  <c r="H16"/>
  <c r="H32"/>
  <c r="H38"/>
  <c r="H50"/>
  <c r="H62"/>
  <c r="H5"/>
  <c r="H9"/>
  <c r="H13"/>
  <c r="H17"/>
  <c r="H21"/>
  <c r="H25"/>
  <c r="H29"/>
  <c r="H33"/>
  <c r="H39"/>
  <c r="H43"/>
  <c r="H47"/>
  <c r="H51"/>
  <c r="H55"/>
  <c r="H59"/>
  <c r="H63"/>
  <c r="I1"/>
  <c r="I35"/>
  <c r="H4" i="1"/>
  <c r="H5"/>
  <c r="M10"/>
  <c r="H6"/>
  <c r="H14"/>
  <c r="H13"/>
  <c r="H18"/>
  <c r="M9"/>
  <c r="H11"/>
  <c r="M8"/>
  <c r="H15"/>
  <c r="H10"/>
  <c r="M6"/>
  <c r="M5"/>
  <c r="M4"/>
  <c r="H3" i="4"/>
  <c r="G8" i="1"/>
  <c r="G12"/>
  <c r="G7"/>
  <c r="G9"/>
  <c r="L7"/>
  <c r="O13"/>
  <c r="O12"/>
  <c r="N12"/>
  <c r="O11"/>
  <c r="N13"/>
  <c r="H19" l="1"/>
  <c r="F12" i="3"/>
  <c r="A13"/>
  <c r="M12" i="1"/>
  <c r="H35" i="4"/>
  <c r="H1"/>
  <c r="H8" i="1"/>
  <c r="H7"/>
  <c r="H9"/>
  <c r="H12"/>
  <c r="M7"/>
  <c r="F13" i="3" l="1"/>
  <c r="A14"/>
  <c r="F14" l="1"/>
  <c r="A15"/>
  <c r="F15" l="1"/>
  <c r="A16"/>
  <c r="F16" l="1"/>
  <c r="A17"/>
  <c r="F17" l="1"/>
  <c r="A18"/>
  <c r="F18" l="1"/>
  <c r="A19"/>
  <c r="F19" l="1"/>
  <c r="A20"/>
  <c r="F20" l="1"/>
  <c r="A21"/>
  <c r="F21" l="1"/>
  <c r="A22"/>
  <c r="F22" l="1"/>
  <c r="A23"/>
  <c r="F23" l="1"/>
  <c r="A24"/>
  <c r="F24" l="1"/>
  <c r="A25"/>
  <c r="F25" l="1"/>
  <c r="A26"/>
  <c r="F26" l="1"/>
  <c r="A27"/>
  <c r="F27" l="1"/>
  <c r="A28"/>
  <c r="F28" l="1"/>
  <c r="A29"/>
  <c r="F29" l="1"/>
  <c r="A30"/>
  <c r="F30" l="1"/>
  <c r="A31"/>
  <c r="F31" l="1"/>
</calcChain>
</file>

<file path=xl/sharedStrings.xml><?xml version="1.0" encoding="utf-8"?>
<sst xmlns="http://schemas.openxmlformats.org/spreadsheetml/2006/main" count="363" uniqueCount="314">
  <si>
    <t>Astro Twilight</t>
  </si>
  <si>
    <t>Nautical Twilight</t>
  </si>
  <si>
    <t>Civil Twilight</t>
  </si>
  <si>
    <t>Solar Noon</t>
  </si>
  <si>
    <t>Date</t>
  </si>
  <si>
    <t>From Web</t>
  </si>
  <si>
    <t>Angle</t>
  </si>
  <si>
    <t>My Calc</t>
  </si>
  <si>
    <t>Error (secs)</t>
  </si>
  <si>
    <t>Mar</t>
  </si>
  <si>
    <t>Sunrise</t>
  </si>
  <si>
    <t>Sunset</t>
  </si>
  <si>
    <t>Length</t>
  </si>
  <si>
    <t>Difference</t>
  </si>
  <si>
    <t>Start</t>
  </si>
  <si>
    <t>End</t>
  </si>
  <si>
    <t>Time</t>
  </si>
  <si>
    <t>Mil. km</t>
  </si>
  <si>
    <t>06:50 ? (101°)</t>
  </si>
  <si>
    <t>17:44 ? (259°)</t>
  </si>
  <si>
    <t>+3:57</t>
  </si>
  <si>
    <t>12:17 (30.8°)</t>
  </si>
  <si>
    <t>06:48 ? (101°)</t>
  </si>
  <si>
    <t>17:46 ? (260°)</t>
  </si>
  <si>
    <t>12:17 (31.2°)</t>
  </si>
  <si>
    <t>06:46 ? (100°)</t>
  </si>
  <si>
    <t>17:48 ? (260°)</t>
  </si>
  <si>
    <t>+3:58</t>
  </si>
  <si>
    <t>12:16 (31.5°)</t>
  </si>
  <si>
    <t>06:44 ? (99°)</t>
  </si>
  <si>
    <t>17:50 ? (261°)</t>
  </si>
  <si>
    <t>12:16 (31.9°)</t>
  </si>
  <si>
    <t>06:42 ? (99°)</t>
  </si>
  <si>
    <t>17:51 ? (262°)</t>
  </si>
  <si>
    <t>+3:59</t>
  </si>
  <si>
    <t>12:16 (32.3°)</t>
  </si>
  <si>
    <t>06:39 ? (98°)</t>
  </si>
  <si>
    <t>17:53 ? (262°)</t>
  </si>
  <si>
    <t>12:16 (32.7°)</t>
  </si>
  <si>
    <t>06:37 ? (97°)</t>
  </si>
  <si>
    <t>17:55 ? (263°)</t>
  </si>
  <si>
    <t>12:16 (33.1°)</t>
  </si>
  <si>
    <t>06:35 ? (97°)</t>
  </si>
  <si>
    <t>17:57 ? (263°)</t>
  </si>
  <si>
    <t>+4:00</t>
  </si>
  <si>
    <t>12:15 (33.5°)</t>
  </si>
  <si>
    <t>06:33 ? (96°)</t>
  </si>
  <si>
    <t>17:58 ? (264°)</t>
  </si>
  <si>
    <t>12:15 (33.9°)</t>
  </si>
  <si>
    <t>06:30 ? (96°)</t>
  </si>
  <si>
    <t>18:00 ? (265°)</t>
  </si>
  <si>
    <t>12:15 (34.3°)</t>
  </si>
  <si>
    <t>06:28 ? (95°)</t>
  </si>
  <si>
    <t>18:02 ? (265°)</t>
  </si>
  <si>
    <t>12:15 (34.6°)</t>
  </si>
  <si>
    <t>06:26 ? (94°)</t>
  </si>
  <si>
    <t>18:04 ? (266°)</t>
  </si>
  <si>
    <t>12:14 (35.0°)</t>
  </si>
  <si>
    <t>06:24 ? (94°)</t>
  </si>
  <si>
    <t>18:05 ? (267°)</t>
  </si>
  <si>
    <t>12:14 (35.4°)</t>
  </si>
  <si>
    <t>06:21 ? (93°)</t>
  </si>
  <si>
    <t>18:07 ? (267°)</t>
  </si>
  <si>
    <t>+4:01</t>
  </si>
  <si>
    <t>12:14 (35.8°)</t>
  </si>
  <si>
    <t>06:19 ? (92°)</t>
  </si>
  <si>
    <t>18:09 ? (268°)</t>
  </si>
  <si>
    <t>12:13 (36.2°)</t>
  </si>
  <si>
    <t>06:17 ? (92°)</t>
  </si>
  <si>
    <t>18:11 ? (269°)</t>
  </si>
  <si>
    <t>12:13 (36.6°)</t>
  </si>
  <si>
    <t>06:14 ? (91°)</t>
  </si>
  <si>
    <t>18:12 ? (269°)</t>
  </si>
  <si>
    <t>+4:02</t>
  </si>
  <si>
    <t>12:13 (37.0°)</t>
  </si>
  <si>
    <t>06:12 ? (90°)</t>
  </si>
  <si>
    <t>18:14 ? (270°)</t>
  </si>
  <si>
    <t>12:13 (37.4°)</t>
  </si>
  <si>
    <t>06:10 ? (90°)</t>
  </si>
  <si>
    <t>18:16 ? (270°)</t>
  </si>
  <si>
    <t>12:12 (37.8°)</t>
  </si>
  <si>
    <t>06:08 ? (89°)</t>
  </si>
  <si>
    <t>18:17 ? (271°)</t>
  </si>
  <si>
    <t>12:12 (38.2°)</t>
  </si>
  <si>
    <t>06:05 ? (89°)</t>
  </si>
  <si>
    <t>18:19 ? (272°)</t>
  </si>
  <si>
    <t>12:12 (38.6°)</t>
  </si>
  <si>
    <t>06:03 ? (88°)</t>
  </si>
  <si>
    <t>18:21 ? (272°)</t>
  </si>
  <si>
    <t>12:11 (39.0°)</t>
  </si>
  <si>
    <t>06:01 ? (87°)</t>
  </si>
  <si>
    <t>18:23 ? (273°)</t>
  </si>
  <si>
    <t>12:11 (39.4°)</t>
  </si>
  <si>
    <t>05:58 ? (87°)</t>
  </si>
  <si>
    <t>18:24 ? (274°)</t>
  </si>
  <si>
    <t>12:11 (39.8°)</t>
  </si>
  <si>
    <t>06:56 ? (86°)</t>
  </si>
  <si>
    <t>19:26 ? (274°)</t>
  </si>
  <si>
    <t>13:10 (40.2°)</t>
  </si>
  <si>
    <t>06:54 ? (85°)</t>
  </si>
  <si>
    <t>19:28 ? (275°)</t>
  </si>
  <si>
    <t>13:10 (40.6°)</t>
  </si>
  <si>
    <t>06:51 ? (85°)</t>
  </si>
  <si>
    <t>19:29 ? (276°)</t>
  </si>
  <si>
    <t>13:10 (41.0°)</t>
  </si>
  <si>
    <t>06:49 ? (84°)</t>
  </si>
  <si>
    <t>19:31 ? (276°)</t>
  </si>
  <si>
    <t>13:10 (41.3°)</t>
  </si>
  <si>
    <t>06:47 ? (83°)</t>
  </si>
  <si>
    <t>19:33 ? (277°)</t>
  </si>
  <si>
    <t>13:09 (41.7°)</t>
  </si>
  <si>
    <t>06:45 ? (83°)</t>
  </si>
  <si>
    <t>19:34 ? (277°)</t>
  </si>
  <si>
    <t>13:09 (42.1°)</t>
  </si>
  <si>
    <t>06:42 ? (82°)</t>
  </si>
  <si>
    <t>19:36 ? (278°)</t>
  </si>
  <si>
    <t>13:09 (42.5°)</t>
  </si>
  <si>
    <t>Nov</t>
  </si>
  <si>
    <t>06:59 ? (113°)</t>
  </si>
  <si>
    <t>16:36 ? (247°)</t>
  </si>
  <si>
    <t>-3:37</t>
  </si>
  <si>
    <t>11:48 (23.7°)</t>
  </si>
  <si>
    <t>07:01 ? (113°)</t>
  </si>
  <si>
    <t>16:35 ? (246°)</t>
  </si>
  <si>
    <t>-3:35</t>
  </si>
  <si>
    <t>11:48 (23.4°)</t>
  </si>
  <si>
    <t>07:03 ? (114°)</t>
  </si>
  <si>
    <t>16:33 ? (246°)</t>
  </si>
  <si>
    <t>-3:33</t>
  </si>
  <si>
    <t>11:48 (23.1°)</t>
  </si>
  <si>
    <t>07:04 ? (114°)</t>
  </si>
  <si>
    <t>16:31 ? (245°)</t>
  </si>
  <si>
    <t>-3:32</t>
  </si>
  <si>
    <t>11:48 (22.8°)</t>
  </si>
  <si>
    <t>07:06 ? (115°)</t>
  </si>
  <si>
    <t>16:29 ? (245°)</t>
  </si>
  <si>
    <t>-3:30</t>
  </si>
  <si>
    <t>11:48 (22.4°)</t>
  </si>
  <si>
    <t>07:08 ? (115°)</t>
  </si>
  <si>
    <t>16:28 ? (244°)</t>
  </si>
  <si>
    <t>-3:28</t>
  </si>
  <si>
    <t>11:48 (22.1°)</t>
  </si>
  <si>
    <t>07:10 ? (116°)</t>
  </si>
  <si>
    <t>16:26 ? (244°)</t>
  </si>
  <si>
    <t>-3:26</t>
  </si>
  <si>
    <t>11:48 (21.9°)</t>
  </si>
  <si>
    <t>07:12 ? (116°)</t>
  </si>
  <si>
    <t>16:24 ? (243°)</t>
  </si>
  <si>
    <t>-3:25</t>
  </si>
  <si>
    <t>11:48 (21.6°)</t>
  </si>
  <si>
    <t>07:13 ? (117°)</t>
  </si>
  <si>
    <t>16:23 ? (243°)</t>
  </si>
  <si>
    <t>-3:21</t>
  </si>
  <si>
    <t>11:48 (21.3°)</t>
  </si>
  <si>
    <t>07:15 ? (117°)</t>
  </si>
  <si>
    <t>16:21 ? (242°)</t>
  </si>
  <si>
    <t>-3:20</t>
  </si>
  <si>
    <t>11:48 (21.0°)</t>
  </si>
  <si>
    <t>07:17 ? (118°)</t>
  </si>
  <si>
    <t>16:20 ? (242°)</t>
  </si>
  <si>
    <t>-3:17</t>
  </si>
  <si>
    <t>11:49 (20.7°)</t>
  </si>
  <si>
    <t>07:19 ? (118°)</t>
  </si>
  <si>
    <t>16:18 ? (241°)</t>
  </si>
  <si>
    <t>-3:15</t>
  </si>
  <si>
    <t>11:49 (20.5°)</t>
  </si>
  <si>
    <t>07:20 ? (119°)</t>
  </si>
  <si>
    <t>16:17 ? (241°)</t>
  </si>
  <si>
    <t>-3:12</t>
  </si>
  <si>
    <t>11:49 (20.2°)</t>
  </si>
  <si>
    <t>07:22 ? (119°)</t>
  </si>
  <si>
    <t>16:15 ? (241°)</t>
  </si>
  <si>
    <t>-3:11</t>
  </si>
  <si>
    <t>11:49 (19.9°)</t>
  </si>
  <si>
    <t>07:24 ? (120°)</t>
  </si>
  <si>
    <t>16:14 ? (240°)</t>
  </si>
  <si>
    <t>-3:7</t>
  </si>
  <si>
    <t>11:49 (19.7°)</t>
  </si>
  <si>
    <t>07:25 ? (120°)</t>
  </si>
  <si>
    <t>16:13 ? (240°)</t>
  </si>
  <si>
    <t>-3:4</t>
  </si>
  <si>
    <t>11:49 (19.4°)</t>
  </si>
  <si>
    <t>07:27 ? (121°)</t>
  </si>
  <si>
    <t>16:11 ? (239°)</t>
  </si>
  <si>
    <t>-3:00</t>
  </si>
  <si>
    <t>11:50 (19.2°)</t>
  </si>
  <si>
    <t>07:29 ? (121°)</t>
  </si>
  <si>
    <t>16:10 ? (239°)</t>
  </si>
  <si>
    <t>-2:58</t>
  </si>
  <si>
    <t>11:50 (18.9°)</t>
  </si>
  <si>
    <t>07:31 ? (121°)</t>
  </si>
  <si>
    <t>16:09 ? (238°)</t>
  </si>
  <si>
    <t>-2:54</t>
  </si>
  <si>
    <t>11:50 (18.7°)</t>
  </si>
  <si>
    <t>07:32 ? (122°)</t>
  </si>
  <si>
    <t>16:08 ? (238°)</t>
  </si>
  <si>
    <t>-2:51</t>
  </si>
  <si>
    <t>11:50 (18.5°)</t>
  </si>
  <si>
    <t>07:34 ? (122°)</t>
  </si>
  <si>
    <t>16:07 ? (238°)</t>
  </si>
  <si>
    <t>-2:47</t>
  </si>
  <si>
    <t>11:50 (18.3°)</t>
  </si>
  <si>
    <t>07:36 ? (123°)</t>
  </si>
  <si>
    <t>16:05 ? (237°)</t>
  </si>
  <si>
    <t>-2:44</t>
  </si>
  <si>
    <t>11:51 (18.1°)</t>
  </si>
  <si>
    <t>07:37 ? (123°)</t>
  </si>
  <si>
    <t>16:04 ? (237°)</t>
  </si>
  <si>
    <t>-2:40</t>
  </si>
  <si>
    <t>11:51 (17.8°)</t>
  </si>
  <si>
    <t>07:39 ? (123°)</t>
  </si>
  <si>
    <t>16:03 ? (236°)</t>
  </si>
  <si>
    <t>-2:36</t>
  </si>
  <si>
    <t>11:51 (17.6°)</t>
  </si>
  <si>
    <t>07:40 ? (124°)</t>
  </si>
  <si>
    <t>16:02 ? (236°)</t>
  </si>
  <si>
    <t>-2:32</t>
  </si>
  <si>
    <t>11:52 (17.4°)</t>
  </si>
  <si>
    <t>07:42 ? (124°)</t>
  </si>
  <si>
    <t>16:01 ? (236°)</t>
  </si>
  <si>
    <t>-2:28</t>
  </si>
  <si>
    <t>11:52 (17.3°)</t>
  </si>
  <si>
    <t>07:43 ? (124°)</t>
  </si>
  <si>
    <t>16:01 ? (235°)</t>
  </si>
  <si>
    <t>-2:22</t>
  </si>
  <si>
    <t>11:52 (17.1°)</t>
  </si>
  <si>
    <t>07:45 ? (125°)</t>
  </si>
  <si>
    <t>16:00 ? (235°)</t>
  </si>
  <si>
    <t>-2:19</t>
  </si>
  <si>
    <t>11:53 (16.9°)</t>
  </si>
  <si>
    <t>07:46 ? (125°)</t>
  </si>
  <si>
    <t>15:59 ? (235°)</t>
  </si>
  <si>
    <t>-2:14</t>
  </si>
  <si>
    <t>11:53 (16.7°)</t>
  </si>
  <si>
    <t>07:48 ? (125°)</t>
  </si>
  <si>
    <t>15:58 ? (235°)</t>
  </si>
  <si>
    <t>-2:9</t>
  </si>
  <si>
    <t>11:53 (16.6°)</t>
  </si>
  <si>
    <t>INPUTS</t>
  </si>
  <si>
    <t>Sample 1</t>
  </si>
  <si>
    <t>Y</t>
  </si>
  <si>
    <t>m</t>
  </si>
  <si>
    <t>D</t>
  </si>
  <si>
    <t>H</t>
  </si>
  <si>
    <t>M</t>
  </si>
  <si>
    <t>S</t>
  </si>
  <si>
    <t>temperature</t>
  </si>
  <si>
    <t>C</t>
  </si>
  <si>
    <t>Pressure</t>
  </si>
  <si>
    <t>hPa</t>
  </si>
  <si>
    <t>Latitude</t>
  </si>
  <si>
    <t>Longitude</t>
  </si>
  <si>
    <t>days</t>
  </si>
  <si>
    <t>JD</t>
  </si>
  <si>
    <t>LST</t>
  </si>
  <si>
    <t>Astrodaysfromdt</t>
  </si>
  <si>
    <t>LST from Date</t>
  </si>
  <si>
    <t>VB</t>
  </si>
  <si>
    <t>C++</t>
  </si>
  <si>
    <t>Date to Unix TS</t>
  </si>
  <si>
    <t>Moon</t>
  </si>
  <si>
    <t>Eccentricity</t>
  </si>
  <si>
    <t>Planet</t>
  </si>
  <si>
    <t>Jupiter</t>
  </si>
  <si>
    <t>Object IDs</t>
  </si>
  <si>
    <t>Sun</t>
  </si>
  <si>
    <t>Mercury</t>
  </si>
  <si>
    <t>Venus</t>
  </si>
  <si>
    <t>Mars</t>
  </si>
  <si>
    <t>Saturn</t>
  </si>
  <si>
    <t>Uranus</t>
  </si>
  <si>
    <t>Neptune</t>
  </si>
  <si>
    <t>Earth</t>
  </si>
  <si>
    <t>Pluto</t>
  </si>
  <si>
    <t>Mean Anomaly</t>
  </si>
  <si>
    <t>Inclination</t>
  </si>
  <si>
    <t>Eccentric Anomaly</t>
  </si>
  <si>
    <t>Obliq of Ecliptic</t>
  </si>
  <si>
    <t>Precession Corr</t>
  </si>
  <si>
    <t>True Anomaly</t>
  </si>
  <si>
    <t>Sun Longitude</t>
  </si>
  <si>
    <t>Sun True Anom</t>
  </si>
  <si>
    <t>Sun RA</t>
  </si>
  <si>
    <t>Sun Dec</t>
  </si>
  <si>
    <t>Temp</t>
  </si>
  <si>
    <t>Press</t>
  </si>
  <si>
    <t>Err</t>
  </si>
  <si>
    <t>Test</t>
  </si>
  <si>
    <t>Planet RA</t>
  </si>
  <si>
    <t>Planet Dec</t>
  </si>
  <si>
    <t>Planet Alt</t>
  </si>
  <si>
    <t>Planet Az</t>
  </si>
  <si>
    <t>Vis Mag</t>
  </si>
  <si>
    <t>Size</t>
  </si>
  <si>
    <t>Transit</t>
  </si>
  <si>
    <t>Rise</t>
  </si>
  <si>
    <t>Set</t>
  </si>
  <si>
    <t>h</t>
  </si>
  <si>
    <t>Visible / Best Alt</t>
  </si>
  <si>
    <t>Visible / Best Time</t>
  </si>
  <si>
    <t xml:space="preserve">Sun Alt </t>
  </si>
  <si>
    <t>Sun Az</t>
  </si>
  <si>
    <t>Planet Sun Dist</t>
  </si>
  <si>
    <t>Planet Earth Dist</t>
  </si>
  <si>
    <t>Circumhorizon arc calcs</t>
  </si>
  <si>
    <t xml:space="preserve">minimum altitude </t>
  </si>
  <si>
    <t>lat</t>
  </si>
  <si>
    <t>Long</t>
  </si>
  <si>
    <t>Earliest</t>
  </si>
  <si>
    <t>Latest</t>
  </si>
  <si>
    <t>Length of Window</t>
  </si>
  <si>
    <t>Sun Alt @ Transit</t>
  </si>
  <si>
    <t>Time of Transit</t>
  </si>
  <si>
    <t>Alt at Transit</t>
  </si>
</sst>
</file>

<file path=xl/styles.xml><?xml version="1.0" encoding="utf-8"?>
<styleSheet xmlns="http://schemas.openxmlformats.org/spreadsheetml/2006/main">
  <numFmts count="7">
    <numFmt numFmtId="43" formatCode="_-* #,##0.00_-;\-* #,##0.00_-;_-* &quot;-&quot;??_-;_-@_-"/>
    <numFmt numFmtId="164" formatCode="_-* #,##0_-;\-* #,##0_-;_-* &quot;-&quot;??_-;_-@_-"/>
    <numFmt numFmtId="165" formatCode="_-* ###0_-;\-* ###0_-;_-* &quot;-&quot;??_-;_-@_-"/>
    <numFmt numFmtId="166" formatCode="0.00000"/>
    <numFmt numFmtId="167" formatCode="_-* #,##0.0000_-;\-* #,##0.0000_-;_-* &quot;-&quot;??_-;_-@_-"/>
    <numFmt numFmtId="168" formatCode="_-* #,##0.00000000_-;\-* #,##0.00000000_-;_-* &quot;-&quot;??_-;_-@_-"/>
    <numFmt numFmtId="169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4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0" xfId="0" applyNumberFormat="1"/>
    <xf numFmtId="20" fontId="0" fillId="0" borderId="4" xfId="0" applyNumberFormat="1" applyBorder="1"/>
    <xf numFmtId="20" fontId="0" fillId="0" borderId="5" xfId="0" applyNumberFormat="1" applyBorder="1"/>
    <xf numFmtId="0" fontId="0" fillId="0" borderId="5" xfId="0" applyBorder="1"/>
    <xf numFmtId="0" fontId="0" fillId="0" borderId="6" xfId="0" applyBorder="1"/>
    <xf numFmtId="164" fontId="0" fillId="0" borderId="5" xfId="1" applyNumberFormat="1" applyFont="1" applyBorder="1"/>
    <xf numFmtId="20" fontId="0" fillId="0" borderId="0" xfId="0" applyNumberFormat="1" applyBorder="1"/>
    <xf numFmtId="21" fontId="0" fillId="0" borderId="0" xfId="0" applyNumberFormat="1"/>
    <xf numFmtId="20" fontId="0" fillId="0" borderId="0" xfId="0" applyNumberFormat="1"/>
    <xf numFmtId="20" fontId="0" fillId="0" borderId="7" xfId="0" applyNumberFormat="1" applyBorder="1"/>
    <xf numFmtId="0" fontId="0" fillId="0" borderId="0" xfId="0" applyBorder="1"/>
    <xf numFmtId="0" fontId="0" fillId="0" borderId="8" xfId="0" applyBorder="1"/>
    <xf numFmtId="164" fontId="0" fillId="0" borderId="0" xfId="1" applyNumberFormat="1" applyFont="1" applyBorder="1"/>
    <xf numFmtId="20" fontId="0" fillId="0" borderId="9" xfId="0" applyNumberFormat="1" applyBorder="1"/>
    <xf numFmtId="20" fontId="0" fillId="0" borderId="10" xfId="0" applyNumberFormat="1" applyBorder="1"/>
    <xf numFmtId="0" fontId="0" fillId="0" borderId="10" xfId="0" applyBorder="1"/>
    <xf numFmtId="0" fontId="0" fillId="0" borderId="11" xfId="0" applyBorder="1"/>
    <xf numFmtId="164" fontId="0" fillId="0" borderId="10" xfId="1" applyNumberFormat="1" applyFont="1" applyBorder="1"/>
    <xf numFmtId="164" fontId="0" fillId="0" borderId="6" xfId="1" applyNumberFormat="1" applyFont="1" applyBorder="1"/>
    <xf numFmtId="164" fontId="0" fillId="0" borderId="8" xfId="1" applyNumberFormat="1" applyFont="1" applyBorder="1"/>
    <xf numFmtId="22" fontId="0" fillId="0" borderId="0" xfId="0" applyNumberFormat="1"/>
    <xf numFmtId="0" fontId="2" fillId="0" borderId="0" xfId="0" applyFont="1"/>
    <xf numFmtId="0" fontId="2" fillId="0" borderId="4" xfId="0" applyFont="1" applyBorder="1"/>
    <xf numFmtId="165" fontId="2" fillId="0" borderId="6" xfId="1" applyNumberFormat="1" applyFont="1" applyBorder="1" applyAlignment="1">
      <alignment horizontal="center"/>
    </xf>
    <xf numFmtId="0" fontId="0" fillId="0" borderId="12" xfId="0" applyBorder="1"/>
    <xf numFmtId="0" fontId="2" fillId="0" borderId="7" xfId="0" applyFont="1" applyBorder="1"/>
    <xf numFmtId="164" fontId="2" fillId="0" borderId="8" xfId="1" applyNumberFormat="1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0" borderId="8" xfId="0" applyFont="1" applyBorder="1"/>
    <xf numFmtId="0" fontId="2" fillId="0" borderId="9" xfId="0" applyFont="1" applyBorder="1"/>
    <xf numFmtId="164" fontId="2" fillId="0" borderId="11" xfId="1" applyNumberFormat="1" applyFont="1" applyBorder="1" applyAlignment="1">
      <alignment horizontal="center"/>
    </xf>
    <xf numFmtId="0" fontId="0" fillId="0" borderId="4" xfId="0" applyBorder="1"/>
    <xf numFmtId="0" fontId="0" fillId="0" borderId="7" xfId="0" applyBorder="1"/>
    <xf numFmtId="0" fontId="0" fillId="2" borderId="15" xfId="0" applyFill="1" applyBorder="1" applyAlignment="1" applyProtection="1">
      <alignment horizontal="center"/>
      <protection locked="0"/>
    </xf>
    <xf numFmtId="0" fontId="0" fillId="0" borderId="16" xfId="0" applyBorder="1"/>
    <xf numFmtId="167" fontId="0" fillId="0" borderId="16" xfId="1" applyNumberFormat="1" applyFont="1" applyBorder="1"/>
    <xf numFmtId="168" fontId="0" fillId="0" borderId="16" xfId="1" applyNumberFormat="1" applyFont="1" applyBorder="1"/>
    <xf numFmtId="166" fontId="0" fillId="0" borderId="16" xfId="0" applyNumberFormat="1" applyBorder="1"/>
    <xf numFmtId="21" fontId="0" fillId="0" borderId="16" xfId="1" applyNumberFormat="1" applyFont="1" applyBorder="1"/>
    <xf numFmtId="0" fontId="0" fillId="0" borderId="16" xfId="0" applyFill="1" applyBorder="1"/>
    <xf numFmtId="164" fontId="0" fillId="0" borderId="16" xfId="1" applyNumberFormat="1" applyFont="1" applyBorder="1"/>
    <xf numFmtId="21" fontId="0" fillId="0" borderId="16" xfId="0" applyNumberFormat="1" applyBorder="1"/>
    <xf numFmtId="43" fontId="0" fillId="0" borderId="0" xfId="0" applyNumberFormat="1"/>
    <xf numFmtId="169" fontId="0" fillId="0" borderId="16" xfId="0" applyNumberFormat="1" applyBorder="1"/>
    <xf numFmtId="0" fontId="0" fillId="0" borderId="0" xfId="0" applyAlignment="1">
      <alignment horizontal="center"/>
    </xf>
    <xf numFmtId="167" fontId="0" fillId="0" borderId="0" xfId="1" applyNumberFormat="1" applyFont="1"/>
    <xf numFmtId="20" fontId="0" fillId="0" borderId="17" xfId="0" applyNumberFormat="1" applyBorder="1" applyAlignment="1">
      <alignment horizontal="center"/>
    </xf>
    <xf numFmtId="43" fontId="0" fillId="0" borderId="18" xfId="1" applyNumberFormat="1" applyFont="1" applyBorder="1" applyAlignment="1">
      <alignment horizontal="center"/>
    </xf>
    <xf numFmtId="20" fontId="0" fillId="0" borderId="19" xfId="0" applyNumberFormat="1" applyBorder="1" applyAlignment="1">
      <alignment horizontal="center"/>
    </xf>
    <xf numFmtId="20" fontId="0" fillId="0" borderId="16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20" fontId="0" fillId="0" borderId="21" xfId="0" applyNumberForma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14" fontId="0" fillId="0" borderId="28" xfId="0" applyNumberFormat="1" applyBorder="1" applyAlignment="1">
      <alignment horizontal="center"/>
    </xf>
    <xf numFmtId="20" fontId="0" fillId="0" borderId="29" xfId="0" applyNumberFormat="1" applyBorder="1" applyAlignment="1">
      <alignment horizontal="center"/>
    </xf>
    <xf numFmtId="43" fontId="0" fillId="0" borderId="30" xfId="1" applyNumberFormat="1" applyFont="1" applyBorder="1" applyAlignment="1">
      <alignment horizontal="center"/>
    </xf>
    <xf numFmtId="20" fontId="0" fillId="0" borderId="31" xfId="0" applyNumberFormat="1" applyBorder="1" applyAlignment="1">
      <alignment horizontal="center"/>
    </xf>
    <xf numFmtId="20" fontId="0" fillId="0" borderId="32" xfId="0" applyNumberFormat="1" applyBorder="1" applyAlignment="1">
      <alignment horizontal="center"/>
    </xf>
    <xf numFmtId="20" fontId="0" fillId="0" borderId="3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3" fontId="0" fillId="0" borderId="16" xfId="1" applyFont="1" applyBorder="1"/>
    <xf numFmtId="0" fontId="0" fillId="0" borderId="0" xfId="0" applyAlignment="1">
      <alignment horizontal="center"/>
    </xf>
    <xf numFmtId="0" fontId="3" fillId="0" borderId="0" xfId="0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13">
    <dxf>
      <numFmt numFmtId="25" formatCode="hh:mm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5" formatCode="hh:mm"/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-* #,##0.00_-;\-* #,##0.00_-;_-* &quot;-&quot;??_-;_-@_-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/SolarSystemCalculato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Orbital Elements"/>
      <sheetName val="BestVisibility"/>
      <sheetName val="Sheet3"/>
    </sheetNames>
    <sheetDataSet>
      <sheetData sheetId="0">
        <row r="3">
          <cell r="B3">
            <v>2018</v>
          </cell>
        </row>
        <row r="4">
          <cell r="B4">
            <v>2</v>
          </cell>
        </row>
        <row r="5">
          <cell r="B5">
            <v>25</v>
          </cell>
        </row>
        <row r="7">
          <cell r="B7">
            <v>22</v>
          </cell>
        </row>
        <row r="8">
          <cell r="B8">
            <v>46</v>
          </cell>
        </row>
        <row r="13">
          <cell r="C13">
            <v>6631.4741435185188</v>
          </cell>
        </row>
        <row r="15">
          <cell r="C15">
            <v>0.90185155154939067</v>
          </cell>
        </row>
      </sheetData>
      <sheetData sheetId="1">
        <row r="13">
          <cell r="B13" t="str">
            <v>Sun</v>
          </cell>
          <cell r="E13" t="str">
            <v>Visual</v>
          </cell>
        </row>
        <row r="14">
          <cell r="B14" t="str">
            <v>Moon</v>
          </cell>
          <cell r="E14" t="str">
            <v>Imaging</v>
          </cell>
        </row>
        <row r="15">
          <cell r="B15" t="str">
            <v>Mercury</v>
          </cell>
        </row>
        <row r="16">
          <cell r="B16" t="str">
            <v>Venus</v>
          </cell>
        </row>
        <row r="17">
          <cell r="B17" t="str">
            <v>Mars</v>
          </cell>
          <cell r="F17">
            <v>149597870.69999999</v>
          </cell>
        </row>
        <row r="18">
          <cell r="B18" t="str">
            <v>Jupiter</v>
          </cell>
          <cell r="F18">
            <v>6378.14</v>
          </cell>
        </row>
        <row r="19">
          <cell r="B19" t="str">
            <v>Saturn</v>
          </cell>
        </row>
        <row r="20">
          <cell r="B20" t="str">
            <v>Uranus</v>
          </cell>
        </row>
        <row r="21">
          <cell r="B21" t="str">
            <v>Neptune</v>
          </cell>
        </row>
        <row r="22">
          <cell r="B22" t="str">
            <v>Earth</v>
          </cell>
        </row>
        <row r="23">
          <cell r="B23" t="str">
            <v>Pluto</v>
          </cell>
        </row>
      </sheetData>
      <sheetData sheetId="2">
        <row r="1">
          <cell r="F1">
            <v>20</v>
          </cell>
          <cell r="G1" t="str">
            <v>w</v>
          </cell>
        </row>
      </sheetData>
      <sheetData sheetId="3" refreshError="1"/>
    </sheetDataSet>
  </externalBook>
</externalLink>
</file>

<file path=xl/tables/table1.xml><?xml version="1.0" encoding="utf-8"?>
<table xmlns="http://schemas.openxmlformats.org/spreadsheetml/2006/main" id="1" name="Table1" displayName="Table1" ref="A5:F31" totalsRowShown="0" headerRowDxfId="9" headerRowBorderDxfId="8" tableBorderDxfId="7" totalsRowBorderDxfId="6">
  <tableColumns count="6">
    <tableColumn id="1" name="Date" dataDxfId="5">
      <calculatedColumnFormula>A5+3</calculatedColumnFormula>
    </tableColumn>
    <tableColumn id="2" name="Time of Transit" dataDxfId="4">
      <calculatedColumnFormula>TimeofTransit(0,A6, $B$3, $B$4)/24</calculatedColumnFormula>
    </tableColumn>
    <tableColumn id="3" name="Sun Alt @ Transit" dataDxfId="3" dataCellStyle="Comma">
      <calculatedColumnFormula>AltAtTransit(0,A6, $B$3,$B$4, 10,1010)</calculatedColumnFormula>
    </tableColumn>
    <tableColumn id="4" name="Earliest" dataDxfId="2">
      <calculatedColumnFormula>IF(SunRiseSet($A6,$B$3, $B$4, D$4,$B$2,temp,pres)&lt;0,"Not possible",SunRiseSet($A6,$B$3, $B$4, D$4,$B$2,temp,pres)/24)</calculatedColumnFormula>
    </tableColumn>
    <tableColumn id="5" name="Latest" dataDxfId="1">
      <calculatedColumnFormula>IF(SunRiseSet($A6,$B$3, $B$4, E$4,$B$2,temp,pres)&lt;0,"Not possible",SunRiseSet($A6,$B$3, $B$4, E$4,$B$2,temp,pres)/24)</calculatedColumnFormula>
    </tableColumn>
    <tableColumn id="6" name="Length of Window" dataDxfId="0">
      <calculatedColumnFormula>IF(LEFT(D6,3)="Not","",E6-D6)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Y65"/>
  <sheetViews>
    <sheetView workbookViewId="0">
      <selection activeCell="F4" sqref="F4"/>
    </sheetView>
  </sheetViews>
  <sheetFormatPr defaultRowHeight="15"/>
  <cols>
    <col min="1" max="1" width="16.140625" customWidth="1"/>
    <col min="2" max="3" width="5.5703125" bestFit="1" customWidth="1"/>
    <col min="4" max="5" width="4" bestFit="1" customWidth="1"/>
    <col min="6" max="6" width="8.42578125" bestFit="1" customWidth="1"/>
    <col min="7" max="7" width="11.5703125" customWidth="1"/>
    <col min="8" max="8" width="10.85546875" bestFit="1" customWidth="1"/>
    <col min="9" max="9" width="8" bestFit="1" customWidth="1"/>
    <col min="10" max="11" width="8.140625" bestFit="1" customWidth="1"/>
    <col min="12" max="12" width="5.140625" customWidth="1"/>
    <col min="13" max="13" width="4.42578125" bestFit="1" customWidth="1"/>
    <col min="14" max="15" width="12.5703125" bestFit="1" customWidth="1"/>
    <col min="16" max="16" width="8.140625" bestFit="1" customWidth="1"/>
    <col min="17" max="17" width="10.42578125" bestFit="1" customWidth="1"/>
    <col min="18" max="23" width="5.5703125" bestFit="1" customWidth="1"/>
    <col min="24" max="24" width="11.7109375" bestFit="1" customWidth="1"/>
    <col min="25" max="25" width="8" bestFit="1" customWidth="1"/>
  </cols>
  <sheetData>
    <row r="1" spans="1:25" ht="15.75" thickBot="1">
      <c r="H1" s="1" t="e">
        <f>AVERAGE(H3:H33)</f>
        <v>#VALUE!</v>
      </c>
      <c r="I1" s="1">
        <f>AVERAGE(I3:I33)</f>
        <v>-65425.161290322583</v>
      </c>
      <c r="R1" s="72" t="s">
        <v>0</v>
      </c>
      <c r="S1" s="72"/>
      <c r="T1" s="72" t="s">
        <v>1</v>
      </c>
      <c r="U1" s="72"/>
      <c r="V1" s="72" t="s">
        <v>2</v>
      </c>
      <c r="W1" s="72"/>
      <c r="X1" s="72" t="s">
        <v>3</v>
      </c>
      <c r="Y1" s="72"/>
    </row>
    <row r="2" spans="1:25" ht="15.75" thickBot="1">
      <c r="A2" t="s">
        <v>4</v>
      </c>
      <c r="B2" s="2" t="s">
        <v>5</v>
      </c>
      <c r="C2" s="3"/>
      <c r="D2" s="3" t="s">
        <v>6</v>
      </c>
      <c r="E2" s="4"/>
      <c r="F2" s="2" t="s">
        <v>7</v>
      </c>
      <c r="G2" s="3"/>
      <c r="H2" s="3" t="s">
        <v>8</v>
      </c>
      <c r="I2" s="4"/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14</v>
      </c>
      <c r="U2" t="s">
        <v>15</v>
      </c>
      <c r="V2" t="s">
        <v>14</v>
      </c>
      <c r="W2" t="s">
        <v>15</v>
      </c>
      <c r="X2" t="s">
        <v>16</v>
      </c>
      <c r="Y2" t="s">
        <v>17</v>
      </c>
    </row>
    <row r="3" spans="1:25">
      <c r="A3" s="5">
        <f>DATE(2018,3,M3)</f>
        <v>43160</v>
      </c>
      <c r="B3" s="6">
        <f t="shared" ref="B3:C26" si="0">LEFT(N3,5)*1</f>
        <v>0.28472222222222221</v>
      </c>
      <c r="C3" s="7">
        <f t="shared" si="0"/>
        <v>0.73888888888888893</v>
      </c>
      <c r="D3" s="8">
        <f>MID(N3,10,3)*1</f>
        <v>101</v>
      </c>
      <c r="E3" s="9">
        <f>MID(O3,10,3)*1</f>
        <v>259</v>
      </c>
      <c r="F3" s="14" t="e">
        <f>riseset(0,A3,lat, long, 1,-0.8333)/24</f>
        <v>#VALUE!</v>
      </c>
      <c r="G3" s="7"/>
      <c r="H3" s="10" t="e">
        <f>(F3-B3)*24*3600</f>
        <v>#VALUE!</v>
      </c>
      <c r="I3" s="10">
        <f>(G3-C3)*24*3600</f>
        <v>-63840</v>
      </c>
      <c r="L3" s="11"/>
      <c r="M3">
        <v>1</v>
      </c>
      <c r="N3" t="s">
        <v>18</v>
      </c>
      <c r="O3" t="s">
        <v>19</v>
      </c>
      <c r="P3" s="12">
        <v>0.45420138888888889</v>
      </c>
      <c r="Q3" t="s">
        <v>20</v>
      </c>
      <c r="R3" s="13">
        <v>0.2076388888888889</v>
      </c>
      <c r="S3" s="13">
        <v>0.81666666666666676</v>
      </c>
      <c r="T3" s="13">
        <v>0.23472222222222219</v>
      </c>
      <c r="U3" s="13">
        <v>0.7895833333333333</v>
      </c>
      <c r="V3" s="13">
        <v>0.26180555555555557</v>
      </c>
      <c r="W3" s="13">
        <v>0.76250000000000007</v>
      </c>
      <c r="X3" t="s">
        <v>21</v>
      </c>
      <c r="Y3">
        <v>148.22900000000001</v>
      </c>
    </row>
    <row r="4" spans="1:25">
      <c r="A4" s="5">
        <f t="shared" ref="A4:A33" si="1">DATE(2018,3,M4)</f>
        <v>43161</v>
      </c>
      <c r="B4" s="14">
        <f t="shared" si="0"/>
        <v>0.28333333333333333</v>
      </c>
      <c r="C4" s="11">
        <f t="shared" si="0"/>
        <v>0.7402777777777777</v>
      </c>
      <c r="D4" s="15">
        <f>MID(N4,10,3)*1</f>
        <v>101</v>
      </c>
      <c r="E4" s="16">
        <f>MID(O4,10,3)*1</f>
        <v>260</v>
      </c>
      <c r="F4" s="14" t="e">
        <f t="shared" ref="F4:F33" si="2">riseset(0,A4,lat, long, 1,-0.8333)/24</f>
        <v>#VALUE!</v>
      </c>
      <c r="G4" s="11"/>
      <c r="H4" s="17" t="e">
        <f t="shared" ref="H4:I33" si="3">(F4-B4)*24*3600</f>
        <v>#VALUE!</v>
      </c>
      <c r="I4" s="17">
        <f t="shared" si="3"/>
        <v>-63960</v>
      </c>
      <c r="L4" s="11"/>
      <c r="M4">
        <v>2</v>
      </c>
      <c r="N4" t="s">
        <v>22</v>
      </c>
      <c r="O4" t="s">
        <v>23</v>
      </c>
      <c r="P4" s="12">
        <v>0.45694444444444443</v>
      </c>
      <c r="Q4" t="s">
        <v>20</v>
      </c>
      <c r="R4" s="13">
        <v>0.20625000000000002</v>
      </c>
      <c r="S4" s="13">
        <v>0.81805555555555554</v>
      </c>
      <c r="T4" s="13">
        <v>0.23333333333333331</v>
      </c>
      <c r="U4" s="13">
        <v>0.7909722222222223</v>
      </c>
      <c r="V4" s="13">
        <v>0.25972222222222224</v>
      </c>
      <c r="W4" s="13">
        <v>0.76388888888888884</v>
      </c>
      <c r="X4" t="s">
        <v>24</v>
      </c>
      <c r="Y4">
        <v>148.26599999999999</v>
      </c>
    </row>
    <row r="5" spans="1:25">
      <c r="A5" s="5">
        <f t="shared" si="1"/>
        <v>43162</v>
      </c>
      <c r="B5" s="14">
        <f t="shared" si="0"/>
        <v>0.28194444444444444</v>
      </c>
      <c r="C5" s="11">
        <f t="shared" si="0"/>
        <v>0.7416666666666667</v>
      </c>
      <c r="D5" s="15">
        <f t="shared" ref="D5" si="4">MID(N5,10,IF(MID(N5,10,1)="1",3,2))*1</f>
        <v>100</v>
      </c>
      <c r="E5" s="16">
        <f t="shared" ref="E5:E33" si="5">MID(O5,10,3)*1</f>
        <v>260</v>
      </c>
      <c r="F5" s="14" t="e">
        <f t="shared" si="2"/>
        <v>#VALUE!</v>
      </c>
      <c r="G5" s="11"/>
      <c r="H5" s="17" t="e">
        <f t="shared" si="3"/>
        <v>#VALUE!</v>
      </c>
      <c r="I5" s="17">
        <f t="shared" si="3"/>
        <v>-64080</v>
      </c>
      <c r="L5" s="11"/>
      <c r="M5">
        <v>3</v>
      </c>
      <c r="N5" t="s">
        <v>25</v>
      </c>
      <c r="O5" t="s">
        <v>26</v>
      </c>
      <c r="P5" s="12">
        <v>0.45969907407407407</v>
      </c>
      <c r="Q5" t="s">
        <v>27</v>
      </c>
      <c r="R5" s="13">
        <v>0.20416666666666669</v>
      </c>
      <c r="S5" s="13">
        <v>0.81944444444444453</v>
      </c>
      <c r="T5" s="13">
        <v>0.23194444444444443</v>
      </c>
      <c r="U5" s="13">
        <v>0.79166666666666663</v>
      </c>
      <c r="V5" s="13">
        <v>0.25833333333333336</v>
      </c>
      <c r="W5" s="13">
        <v>0.76527777777777783</v>
      </c>
      <c r="X5" t="s">
        <v>28</v>
      </c>
      <c r="Y5">
        <v>148.303</v>
      </c>
    </row>
    <row r="6" spans="1:25">
      <c r="A6" s="5">
        <f t="shared" si="1"/>
        <v>43163</v>
      </c>
      <c r="B6" s="14">
        <f t="shared" si="0"/>
        <v>0.28055555555555556</v>
      </c>
      <c r="C6" s="11">
        <f t="shared" si="0"/>
        <v>0.74305555555555547</v>
      </c>
      <c r="D6" s="15">
        <f>MID(N6,10,IF(MID(N6,10,1)="1",3,2))*1</f>
        <v>99</v>
      </c>
      <c r="E6" s="16">
        <f t="shared" si="5"/>
        <v>261</v>
      </c>
      <c r="F6" s="14" t="e">
        <f t="shared" si="2"/>
        <v>#VALUE!</v>
      </c>
      <c r="G6" s="11"/>
      <c r="H6" s="17" t="e">
        <f>(F6-B6)*24*3600</f>
        <v>#VALUE!</v>
      </c>
      <c r="I6" s="17">
        <f t="shared" si="3"/>
        <v>-64199.999999999993</v>
      </c>
      <c r="L6" s="11"/>
      <c r="M6">
        <v>4</v>
      </c>
      <c r="N6" t="s">
        <v>29</v>
      </c>
      <c r="O6" t="s">
        <v>30</v>
      </c>
      <c r="P6" s="12">
        <v>0.4624537037037037</v>
      </c>
      <c r="Q6" t="s">
        <v>27</v>
      </c>
      <c r="R6" s="13">
        <v>0.20277777777777781</v>
      </c>
      <c r="S6" s="13">
        <v>0.82013888888888886</v>
      </c>
      <c r="T6" s="13">
        <v>0.2298611111111111</v>
      </c>
      <c r="U6" s="13">
        <v>0.79305555555555562</v>
      </c>
      <c r="V6" s="13">
        <v>0.25694444444444448</v>
      </c>
      <c r="W6" s="13">
        <v>0.76597222222222217</v>
      </c>
      <c r="X6" t="s">
        <v>31</v>
      </c>
      <c r="Y6">
        <v>148.34100000000001</v>
      </c>
    </row>
    <row r="7" spans="1:25">
      <c r="A7" s="5">
        <f t="shared" si="1"/>
        <v>43164</v>
      </c>
      <c r="B7" s="14">
        <f t="shared" si="0"/>
        <v>0.27916666666666667</v>
      </c>
      <c r="C7" s="11">
        <f t="shared" si="0"/>
        <v>0.74375000000000002</v>
      </c>
      <c r="D7" s="15">
        <f t="shared" ref="D7:D33" si="6">MID(N7,10,IF(MID(N7,10,1)="1",3,2))*1</f>
        <v>99</v>
      </c>
      <c r="E7" s="16">
        <f t="shared" si="5"/>
        <v>262</v>
      </c>
      <c r="F7" s="14" t="e">
        <f t="shared" si="2"/>
        <v>#VALUE!</v>
      </c>
      <c r="G7" s="11"/>
      <c r="H7" s="17" t="e">
        <f t="shared" si="3"/>
        <v>#VALUE!</v>
      </c>
      <c r="I7" s="17">
        <f t="shared" si="3"/>
        <v>-64260.000000000007</v>
      </c>
      <c r="L7" s="11"/>
      <c r="M7">
        <v>5</v>
      </c>
      <c r="N7" t="s">
        <v>32</v>
      </c>
      <c r="O7" t="s">
        <v>33</v>
      </c>
      <c r="P7" s="12">
        <v>0.46521990740740743</v>
      </c>
      <c r="Q7" t="s">
        <v>34</v>
      </c>
      <c r="R7" s="13">
        <v>0.20138888888888887</v>
      </c>
      <c r="S7" s="13">
        <v>0.82152777777777775</v>
      </c>
      <c r="T7" s="13">
        <v>0.22847222222222222</v>
      </c>
      <c r="U7" s="13">
        <v>0.7944444444444444</v>
      </c>
      <c r="V7" s="13">
        <v>0.25555555555555559</v>
      </c>
      <c r="W7" s="13">
        <v>0.76736111111111116</v>
      </c>
      <c r="X7" t="s">
        <v>35</v>
      </c>
      <c r="Y7">
        <v>148.37899999999999</v>
      </c>
    </row>
    <row r="8" spans="1:25">
      <c r="A8" s="5">
        <f t="shared" si="1"/>
        <v>43165</v>
      </c>
      <c r="B8" s="14">
        <f t="shared" si="0"/>
        <v>0.27708333333333335</v>
      </c>
      <c r="C8" s="11">
        <f t="shared" si="0"/>
        <v>0.74513888888888891</v>
      </c>
      <c r="D8" s="15">
        <f t="shared" si="6"/>
        <v>98</v>
      </c>
      <c r="E8" s="16">
        <f t="shared" si="5"/>
        <v>262</v>
      </c>
      <c r="F8" s="14" t="e">
        <f t="shared" si="2"/>
        <v>#VALUE!</v>
      </c>
      <c r="G8" s="11"/>
      <c r="H8" s="17" t="e">
        <f t="shared" si="3"/>
        <v>#VALUE!</v>
      </c>
      <c r="I8" s="17">
        <f t="shared" si="3"/>
        <v>-64380</v>
      </c>
      <c r="L8" s="11"/>
      <c r="M8">
        <v>6</v>
      </c>
      <c r="N8" t="s">
        <v>36</v>
      </c>
      <c r="O8" t="s">
        <v>37</v>
      </c>
      <c r="P8" s="12">
        <v>0.46797453703703701</v>
      </c>
      <c r="Q8" t="s">
        <v>27</v>
      </c>
      <c r="R8" s="13">
        <v>0.19999999999999998</v>
      </c>
      <c r="S8" s="13">
        <v>0.82291666666666663</v>
      </c>
      <c r="T8" s="13">
        <v>0.22708333333333333</v>
      </c>
      <c r="U8" s="13">
        <v>0.79583333333333339</v>
      </c>
      <c r="V8" s="13">
        <v>0.25416666666666665</v>
      </c>
      <c r="W8" s="13">
        <v>0.76874999999999993</v>
      </c>
      <c r="X8" t="s">
        <v>38</v>
      </c>
      <c r="Y8">
        <v>148.417</v>
      </c>
    </row>
    <row r="9" spans="1:25">
      <c r="A9" s="5">
        <f t="shared" si="1"/>
        <v>43166</v>
      </c>
      <c r="B9" s="14">
        <f t="shared" si="0"/>
        <v>0.27569444444444446</v>
      </c>
      <c r="C9" s="11">
        <f t="shared" si="0"/>
        <v>0.74652777777777779</v>
      </c>
      <c r="D9" s="15">
        <f t="shared" si="6"/>
        <v>97</v>
      </c>
      <c r="E9" s="16">
        <f t="shared" si="5"/>
        <v>263</v>
      </c>
      <c r="F9" s="14" t="e">
        <f t="shared" si="2"/>
        <v>#VALUE!</v>
      </c>
      <c r="G9" s="11"/>
      <c r="H9" s="17" t="e">
        <f t="shared" si="3"/>
        <v>#VALUE!</v>
      </c>
      <c r="I9" s="17">
        <f t="shared" si="3"/>
        <v>-64500.000000000007</v>
      </c>
      <c r="L9" s="11"/>
      <c r="M9">
        <v>7</v>
      </c>
      <c r="N9" t="s">
        <v>39</v>
      </c>
      <c r="O9" t="s">
        <v>40</v>
      </c>
      <c r="P9" s="12">
        <v>0.47074074074074074</v>
      </c>
      <c r="Q9" t="s">
        <v>34</v>
      </c>
      <c r="R9" s="13">
        <v>0.19791666666666666</v>
      </c>
      <c r="S9" s="13">
        <v>0.82430555555555562</v>
      </c>
      <c r="T9" s="13">
        <v>0.22569444444444445</v>
      </c>
      <c r="U9" s="13">
        <v>0.79652777777777783</v>
      </c>
      <c r="V9" s="13">
        <v>0.25277777777777777</v>
      </c>
      <c r="W9" s="13">
        <v>0.76944444444444438</v>
      </c>
      <c r="X9" t="s">
        <v>41</v>
      </c>
      <c r="Y9">
        <v>148.45599999999999</v>
      </c>
    </row>
    <row r="10" spans="1:25">
      <c r="A10" s="5">
        <f t="shared" si="1"/>
        <v>43167</v>
      </c>
      <c r="B10" s="14">
        <f t="shared" si="0"/>
        <v>0.27430555555555552</v>
      </c>
      <c r="C10" s="11">
        <f t="shared" si="0"/>
        <v>0.74791666666666667</v>
      </c>
      <c r="D10" s="15">
        <f t="shared" si="6"/>
        <v>97</v>
      </c>
      <c r="E10" s="16">
        <f t="shared" si="5"/>
        <v>263</v>
      </c>
      <c r="F10" s="14" t="e">
        <f t="shared" si="2"/>
        <v>#VALUE!</v>
      </c>
      <c r="G10" s="11"/>
      <c r="H10" s="17" t="e">
        <f t="shared" si="3"/>
        <v>#VALUE!</v>
      </c>
      <c r="I10" s="17">
        <f t="shared" si="3"/>
        <v>-64620</v>
      </c>
      <c r="L10" s="11"/>
      <c r="M10">
        <v>8</v>
      </c>
      <c r="N10" t="s">
        <v>42</v>
      </c>
      <c r="O10" t="s">
        <v>43</v>
      </c>
      <c r="P10" s="12">
        <v>0.47351851851851851</v>
      </c>
      <c r="Q10" t="s">
        <v>44</v>
      </c>
      <c r="R10" s="13">
        <v>0.19652777777777777</v>
      </c>
      <c r="S10" s="13">
        <v>0.8256944444444444</v>
      </c>
      <c r="T10" s="13">
        <v>0.22430555555555556</v>
      </c>
      <c r="U10" s="13">
        <v>0.79791666666666661</v>
      </c>
      <c r="V10" s="13">
        <v>0.25069444444444444</v>
      </c>
      <c r="W10" s="13">
        <v>0.77083333333333337</v>
      </c>
      <c r="X10" t="s">
        <v>45</v>
      </c>
      <c r="Y10">
        <v>148.49600000000001</v>
      </c>
    </row>
    <row r="11" spans="1:25">
      <c r="A11" s="5">
        <f t="shared" si="1"/>
        <v>43168</v>
      </c>
      <c r="B11" s="14">
        <f t="shared" si="0"/>
        <v>0.27291666666666664</v>
      </c>
      <c r="C11" s="11">
        <f t="shared" si="0"/>
        <v>0.74861111111111101</v>
      </c>
      <c r="D11" s="15">
        <f t="shared" si="6"/>
        <v>96</v>
      </c>
      <c r="E11" s="16">
        <f t="shared" si="5"/>
        <v>264</v>
      </c>
      <c r="F11" s="14" t="e">
        <f t="shared" si="2"/>
        <v>#VALUE!</v>
      </c>
      <c r="G11" s="11"/>
      <c r="H11" s="17" t="e">
        <f t="shared" si="3"/>
        <v>#VALUE!</v>
      </c>
      <c r="I11" s="17">
        <f t="shared" si="3"/>
        <v>-64679.999999999993</v>
      </c>
      <c r="L11" s="11"/>
      <c r="M11">
        <v>9</v>
      </c>
      <c r="N11" t="s">
        <v>46</v>
      </c>
      <c r="O11" t="s">
        <v>47</v>
      </c>
      <c r="P11" s="12">
        <v>0.47628472222222223</v>
      </c>
      <c r="Q11" t="s">
        <v>34</v>
      </c>
      <c r="R11" s="13">
        <v>0.19513888888888889</v>
      </c>
      <c r="S11" s="13">
        <v>0.82708333333333339</v>
      </c>
      <c r="T11" s="13">
        <v>0.22222222222222221</v>
      </c>
      <c r="U11" s="13">
        <v>0.7993055555555556</v>
      </c>
      <c r="V11" s="13">
        <v>0.24930555555555556</v>
      </c>
      <c r="W11" s="13">
        <v>0.77222222222222225</v>
      </c>
      <c r="X11" t="s">
        <v>48</v>
      </c>
      <c r="Y11">
        <v>148.536</v>
      </c>
    </row>
    <row r="12" spans="1:25">
      <c r="A12" s="5">
        <f t="shared" si="1"/>
        <v>43169</v>
      </c>
      <c r="B12" s="14">
        <f t="shared" si="0"/>
        <v>0.27083333333333331</v>
      </c>
      <c r="C12" s="11">
        <f t="shared" si="0"/>
        <v>0.75</v>
      </c>
      <c r="D12" s="15">
        <f t="shared" si="6"/>
        <v>96</v>
      </c>
      <c r="E12" s="16">
        <f t="shared" si="5"/>
        <v>265</v>
      </c>
      <c r="F12" s="14" t="e">
        <f t="shared" si="2"/>
        <v>#VALUE!</v>
      </c>
      <c r="G12" s="11"/>
      <c r="H12" s="17" t="e">
        <f t="shared" si="3"/>
        <v>#VALUE!</v>
      </c>
      <c r="I12" s="17">
        <f t="shared" si="3"/>
        <v>-64800</v>
      </c>
      <c r="L12" s="11"/>
      <c r="M12">
        <v>10</v>
      </c>
      <c r="N12" t="s">
        <v>49</v>
      </c>
      <c r="O12" t="s">
        <v>50</v>
      </c>
      <c r="P12" s="12">
        <v>0.4790625</v>
      </c>
      <c r="Q12" t="s">
        <v>44</v>
      </c>
      <c r="R12" s="13">
        <v>0.19305555555555554</v>
      </c>
      <c r="S12" s="13">
        <v>0.82847222222222217</v>
      </c>
      <c r="T12" s="13">
        <v>0.22083333333333333</v>
      </c>
      <c r="U12" s="13">
        <v>0.80069444444444438</v>
      </c>
      <c r="V12" s="13">
        <v>0.24791666666666667</v>
      </c>
      <c r="W12" s="13">
        <v>0.77361111111111114</v>
      </c>
      <c r="X12" t="s">
        <v>51</v>
      </c>
      <c r="Y12">
        <v>148.57599999999999</v>
      </c>
    </row>
    <row r="13" spans="1:25">
      <c r="A13" s="5">
        <f t="shared" si="1"/>
        <v>43170</v>
      </c>
      <c r="B13" s="14">
        <f t="shared" si="0"/>
        <v>0.26944444444444443</v>
      </c>
      <c r="C13" s="11">
        <f t="shared" si="0"/>
        <v>0.75138888888888899</v>
      </c>
      <c r="D13" s="15">
        <f t="shared" si="6"/>
        <v>95</v>
      </c>
      <c r="E13" s="16">
        <f t="shared" si="5"/>
        <v>265</v>
      </c>
      <c r="F13" s="14" t="e">
        <f t="shared" si="2"/>
        <v>#VALUE!</v>
      </c>
      <c r="G13" s="11"/>
      <c r="H13" s="17" t="e">
        <f t="shared" si="3"/>
        <v>#VALUE!</v>
      </c>
      <c r="I13" s="17">
        <f t="shared" si="3"/>
        <v>-64920.000000000007</v>
      </c>
      <c r="L13" s="11"/>
      <c r="M13">
        <v>11</v>
      </c>
      <c r="N13" t="s">
        <v>52</v>
      </c>
      <c r="O13" t="s">
        <v>53</v>
      </c>
      <c r="P13" s="12">
        <v>0.48184027777777777</v>
      </c>
      <c r="Q13" t="s">
        <v>44</v>
      </c>
      <c r="R13" s="13">
        <v>0.19166666666666665</v>
      </c>
      <c r="S13" s="13">
        <v>0.82916666666666661</v>
      </c>
      <c r="T13" s="13">
        <v>0.21944444444444444</v>
      </c>
      <c r="U13" s="13">
        <v>0.80138888888888893</v>
      </c>
      <c r="V13" s="13">
        <v>0.24652777777777779</v>
      </c>
      <c r="W13" s="13">
        <v>0.77430555555555547</v>
      </c>
      <c r="X13" t="s">
        <v>54</v>
      </c>
      <c r="Y13">
        <v>148.61600000000001</v>
      </c>
    </row>
    <row r="14" spans="1:25">
      <c r="A14" s="5">
        <f t="shared" si="1"/>
        <v>43171</v>
      </c>
      <c r="B14" s="14">
        <f t="shared" si="0"/>
        <v>0.26805555555555555</v>
      </c>
      <c r="C14" s="11">
        <f t="shared" si="0"/>
        <v>0.75277777777777777</v>
      </c>
      <c r="D14" s="15">
        <f t="shared" si="6"/>
        <v>94</v>
      </c>
      <c r="E14" s="16">
        <f t="shared" si="5"/>
        <v>266</v>
      </c>
      <c r="F14" s="14" t="e">
        <f t="shared" si="2"/>
        <v>#VALUE!</v>
      </c>
      <c r="G14" s="11"/>
      <c r="H14" s="17" t="e">
        <f t="shared" si="3"/>
        <v>#VALUE!</v>
      </c>
      <c r="I14" s="17">
        <f t="shared" si="3"/>
        <v>-65040</v>
      </c>
      <c r="L14" s="11"/>
      <c r="M14">
        <v>12</v>
      </c>
      <c r="N14" t="s">
        <v>55</v>
      </c>
      <c r="O14" t="s">
        <v>56</v>
      </c>
      <c r="P14" s="12">
        <v>0.48461805555555554</v>
      </c>
      <c r="Q14" t="s">
        <v>44</v>
      </c>
      <c r="R14" s="13">
        <v>0.19027777777777777</v>
      </c>
      <c r="S14" s="13">
        <v>0.8305555555555556</v>
      </c>
      <c r="T14" s="13">
        <v>0.21805555555555556</v>
      </c>
      <c r="U14" s="13">
        <v>0.8027777777777777</v>
      </c>
      <c r="V14" s="13">
        <v>0.24444444444444446</v>
      </c>
      <c r="W14" s="13">
        <v>0.77569444444444446</v>
      </c>
      <c r="X14" t="s">
        <v>57</v>
      </c>
      <c r="Y14">
        <v>148.65700000000001</v>
      </c>
    </row>
    <row r="15" spans="1:25">
      <c r="A15" s="5">
        <f t="shared" si="1"/>
        <v>43172</v>
      </c>
      <c r="B15" s="14">
        <f t="shared" si="0"/>
        <v>0.26666666666666666</v>
      </c>
      <c r="C15" s="11">
        <f t="shared" si="0"/>
        <v>0.75347222222222221</v>
      </c>
      <c r="D15" s="15">
        <f t="shared" si="6"/>
        <v>94</v>
      </c>
      <c r="E15" s="16">
        <f t="shared" si="5"/>
        <v>267</v>
      </c>
      <c r="F15" s="14" t="e">
        <f t="shared" si="2"/>
        <v>#VALUE!</v>
      </c>
      <c r="G15" s="11"/>
      <c r="H15" s="17" t="e">
        <f t="shared" si="3"/>
        <v>#VALUE!</v>
      </c>
      <c r="I15" s="17">
        <f t="shared" si="3"/>
        <v>-65099.999999999993</v>
      </c>
      <c r="M15">
        <v>13</v>
      </c>
      <c r="N15" t="s">
        <v>58</v>
      </c>
      <c r="O15" t="s">
        <v>59</v>
      </c>
      <c r="P15" s="12">
        <v>0.48739583333333331</v>
      </c>
      <c r="Q15" t="s">
        <v>44</v>
      </c>
      <c r="R15" s="13">
        <v>0.18819444444444444</v>
      </c>
      <c r="S15" s="13">
        <v>0.83194444444444438</v>
      </c>
      <c r="T15" s="13">
        <v>0.21597222222222223</v>
      </c>
      <c r="U15" s="13">
        <v>0.8041666666666667</v>
      </c>
      <c r="V15" s="13">
        <v>0.24305555555555555</v>
      </c>
      <c r="W15" s="13">
        <v>0.77708333333333324</v>
      </c>
      <c r="X15" t="s">
        <v>60</v>
      </c>
      <c r="Y15">
        <v>148.69800000000001</v>
      </c>
    </row>
    <row r="16" spans="1:25">
      <c r="A16" s="5">
        <f t="shared" si="1"/>
        <v>43173</v>
      </c>
      <c r="B16" s="14">
        <f t="shared" si="0"/>
        <v>0.26458333333333334</v>
      </c>
      <c r="C16" s="11">
        <f t="shared" si="0"/>
        <v>0.75486111111111109</v>
      </c>
      <c r="D16" s="15">
        <f t="shared" si="6"/>
        <v>93</v>
      </c>
      <c r="E16" s="16">
        <f t="shared" si="5"/>
        <v>267</v>
      </c>
      <c r="F16" s="14" t="e">
        <f t="shared" si="2"/>
        <v>#VALUE!</v>
      </c>
      <c r="G16" s="11"/>
      <c r="H16" s="17" t="e">
        <f t="shared" si="3"/>
        <v>#VALUE!</v>
      </c>
      <c r="I16" s="17">
        <f t="shared" si="3"/>
        <v>-65220</v>
      </c>
      <c r="M16">
        <v>14</v>
      </c>
      <c r="N16" t="s">
        <v>61</v>
      </c>
      <c r="O16" t="s">
        <v>62</v>
      </c>
      <c r="P16" s="12">
        <v>0.49018518518518522</v>
      </c>
      <c r="Q16" t="s">
        <v>63</v>
      </c>
      <c r="R16" s="13">
        <v>0.18680555555555556</v>
      </c>
      <c r="S16" s="13">
        <v>0.83333333333333337</v>
      </c>
      <c r="T16" s="13">
        <v>0.21458333333333335</v>
      </c>
      <c r="U16" s="13">
        <v>0.80555555555555547</v>
      </c>
      <c r="V16" s="13">
        <v>0.24166666666666667</v>
      </c>
      <c r="W16" s="13">
        <v>0.77847222222222223</v>
      </c>
      <c r="X16" t="s">
        <v>64</v>
      </c>
      <c r="Y16">
        <v>148.739</v>
      </c>
    </row>
    <row r="17" spans="1:25">
      <c r="A17" s="5">
        <f t="shared" si="1"/>
        <v>43174</v>
      </c>
      <c r="B17" s="14">
        <f t="shared" si="0"/>
        <v>0.26319444444444445</v>
      </c>
      <c r="C17" s="11">
        <f t="shared" si="0"/>
        <v>0.75624999999999998</v>
      </c>
      <c r="D17" s="15">
        <f t="shared" si="6"/>
        <v>92</v>
      </c>
      <c r="E17" s="16">
        <f t="shared" si="5"/>
        <v>268</v>
      </c>
      <c r="F17" s="14" t="e">
        <f t="shared" si="2"/>
        <v>#VALUE!</v>
      </c>
      <c r="G17" s="11"/>
      <c r="H17" s="17" t="e">
        <f t="shared" si="3"/>
        <v>#VALUE!</v>
      </c>
      <c r="I17" s="17">
        <f t="shared" si="3"/>
        <v>-65339.999999999993</v>
      </c>
      <c r="M17">
        <v>15</v>
      </c>
      <c r="N17" t="s">
        <v>65</v>
      </c>
      <c r="O17" t="s">
        <v>66</v>
      </c>
      <c r="P17" s="12">
        <v>0.49297453703703703</v>
      </c>
      <c r="Q17" t="s">
        <v>63</v>
      </c>
      <c r="R17" s="13">
        <v>0.18472222222222223</v>
      </c>
      <c r="S17" s="13">
        <v>0.83472222222222225</v>
      </c>
      <c r="T17" s="13">
        <v>0.21319444444444444</v>
      </c>
      <c r="U17" s="13">
        <v>0.80694444444444446</v>
      </c>
      <c r="V17" s="13">
        <v>0.24027777777777778</v>
      </c>
      <c r="W17" s="13">
        <v>0.77916666666666667</v>
      </c>
      <c r="X17" t="s">
        <v>67</v>
      </c>
      <c r="Y17">
        <v>148.78</v>
      </c>
    </row>
    <row r="18" spans="1:25">
      <c r="A18" s="5">
        <f t="shared" si="1"/>
        <v>43175</v>
      </c>
      <c r="B18" s="14">
        <f t="shared" si="0"/>
        <v>0.26180555555555557</v>
      </c>
      <c r="C18" s="11">
        <f t="shared" si="0"/>
        <v>0.75763888888888886</v>
      </c>
      <c r="D18" s="15">
        <f t="shared" si="6"/>
        <v>92</v>
      </c>
      <c r="E18" s="16">
        <f t="shared" si="5"/>
        <v>269</v>
      </c>
      <c r="F18" s="14" t="e">
        <f t="shared" si="2"/>
        <v>#VALUE!</v>
      </c>
      <c r="G18" s="11"/>
      <c r="H18" s="17" t="e">
        <f t="shared" si="3"/>
        <v>#VALUE!</v>
      </c>
      <c r="I18" s="17">
        <f t="shared" si="3"/>
        <v>-65460</v>
      </c>
      <c r="M18">
        <v>16</v>
      </c>
      <c r="N18" t="s">
        <v>68</v>
      </c>
      <c r="O18" t="s">
        <v>69</v>
      </c>
      <c r="P18" s="12">
        <v>0.49574074074074076</v>
      </c>
      <c r="Q18" t="s">
        <v>34</v>
      </c>
      <c r="R18" s="13">
        <v>0.18333333333333335</v>
      </c>
      <c r="S18" s="13">
        <v>0.83611111111111114</v>
      </c>
      <c r="T18" s="13">
        <v>0.21111111111111111</v>
      </c>
      <c r="U18" s="13">
        <v>0.80763888888888891</v>
      </c>
      <c r="V18" s="13">
        <v>0.23819444444444446</v>
      </c>
      <c r="W18" s="13">
        <v>0.78055555555555556</v>
      </c>
      <c r="X18" t="s">
        <v>70</v>
      </c>
      <c r="Y18">
        <v>148.821</v>
      </c>
    </row>
    <row r="19" spans="1:25">
      <c r="A19" s="5">
        <f t="shared" si="1"/>
        <v>43176</v>
      </c>
      <c r="B19" s="14">
        <f t="shared" si="0"/>
        <v>0.25972222222222224</v>
      </c>
      <c r="C19" s="11">
        <f t="shared" si="0"/>
        <v>0.7583333333333333</v>
      </c>
      <c r="D19" s="15">
        <f t="shared" si="6"/>
        <v>91</v>
      </c>
      <c r="E19" s="16">
        <f t="shared" si="5"/>
        <v>269</v>
      </c>
      <c r="F19" s="14" t="e">
        <f t="shared" si="2"/>
        <v>#VALUE!</v>
      </c>
      <c r="G19" s="11"/>
      <c r="H19" s="17" t="e">
        <f t="shared" si="3"/>
        <v>#VALUE!</v>
      </c>
      <c r="I19" s="17">
        <f t="shared" si="3"/>
        <v>-65520</v>
      </c>
      <c r="M19">
        <v>17</v>
      </c>
      <c r="N19" t="s">
        <v>71</v>
      </c>
      <c r="O19" t="s">
        <v>72</v>
      </c>
      <c r="P19" s="12">
        <v>0.49854166666666666</v>
      </c>
      <c r="Q19" t="s">
        <v>73</v>
      </c>
      <c r="R19" s="13">
        <v>0.18124999999999999</v>
      </c>
      <c r="S19" s="13">
        <v>0.83750000000000002</v>
      </c>
      <c r="T19" s="13">
        <v>0.20972222222222223</v>
      </c>
      <c r="U19" s="13">
        <v>0.80902777777777779</v>
      </c>
      <c r="V19" s="13">
        <v>0.23680555555555557</v>
      </c>
      <c r="W19" s="13">
        <v>0.78194444444444444</v>
      </c>
      <c r="X19" t="s">
        <v>74</v>
      </c>
      <c r="Y19">
        <v>148.86199999999999</v>
      </c>
    </row>
    <row r="20" spans="1:25">
      <c r="A20" s="5">
        <f t="shared" si="1"/>
        <v>43177</v>
      </c>
      <c r="B20" s="14">
        <f t="shared" si="0"/>
        <v>0.25833333333333336</v>
      </c>
      <c r="C20" s="11">
        <f t="shared" si="0"/>
        <v>0.7597222222222223</v>
      </c>
      <c r="D20" s="15">
        <f t="shared" si="6"/>
        <v>90</v>
      </c>
      <c r="E20" s="16">
        <f t="shared" si="5"/>
        <v>270</v>
      </c>
      <c r="F20" s="14" t="e">
        <f t="shared" si="2"/>
        <v>#VALUE!</v>
      </c>
      <c r="G20" s="11"/>
      <c r="H20" s="17" t="e">
        <f t="shared" si="3"/>
        <v>#VALUE!</v>
      </c>
      <c r="I20" s="17">
        <f t="shared" si="3"/>
        <v>-65640</v>
      </c>
      <c r="M20">
        <v>18</v>
      </c>
      <c r="N20" t="s">
        <v>75</v>
      </c>
      <c r="O20" t="s">
        <v>76</v>
      </c>
      <c r="P20" s="12">
        <v>0.50131944444444443</v>
      </c>
      <c r="Q20" t="s">
        <v>44</v>
      </c>
      <c r="R20" s="13">
        <v>0.17986111111111111</v>
      </c>
      <c r="S20" s="13">
        <v>0.83888888888888891</v>
      </c>
      <c r="T20" s="13">
        <v>0.2076388888888889</v>
      </c>
      <c r="U20" s="13">
        <v>0.81041666666666667</v>
      </c>
      <c r="V20" s="13">
        <v>0.23541666666666669</v>
      </c>
      <c r="W20" s="13">
        <v>0.78333333333333333</v>
      </c>
      <c r="X20" t="s">
        <v>77</v>
      </c>
      <c r="Y20">
        <v>148.90299999999999</v>
      </c>
    </row>
    <row r="21" spans="1:25">
      <c r="A21" s="5">
        <f t="shared" si="1"/>
        <v>43178</v>
      </c>
      <c r="B21" s="14">
        <f t="shared" si="0"/>
        <v>0.25694444444444448</v>
      </c>
      <c r="C21" s="11">
        <f t="shared" si="0"/>
        <v>0.76111111111111107</v>
      </c>
      <c r="D21" s="15">
        <f t="shared" si="6"/>
        <v>90</v>
      </c>
      <c r="E21" s="16">
        <f t="shared" si="5"/>
        <v>270</v>
      </c>
      <c r="F21" s="14" t="e">
        <f t="shared" si="2"/>
        <v>#VALUE!</v>
      </c>
      <c r="G21" s="11"/>
      <c r="H21" s="17" t="e">
        <f t="shared" si="3"/>
        <v>#VALUE!</v>
      </c>
      <c r="I21" s="17">
        <f t="shared" si="3"/>
        <v>-65760</v>
      </c>
      <c r="M21">
        <v>19</v>
      </c>
      <c r="N21" t="s">
        <v>78</v>
      </c>
      <c r="O21" t="s">
        <v>79</v>
      </c>
      <c r="P21" s="12">
        <v>0.50410879629629635</v>
      </c>
      <c r="Q21" t="s">
        <v>63</v>
      </c>
      <c r="R21" s="13">
        <v>0.17777777777777778</v>
      </c>
      <c r="S21" s="13">
        <v>0.84027777777777779</v>
      </c>
      <c r="T21" s="13">
        <v>0.20625000000000002</v>
      </c>
      <c r="U21" s="13">
        <v>0.81180555555555556</v>
      </c>
      <c r="V21" s="13">
        <v>0.23333333333333331</v>
      </c>
      <c r="W21" s="13">
        <v>0.78402777777777777</v>
      </c>
      <c r="X21" t="s">
        <v>80</v>
      </c>
      <c r="Y21">
        <v>148.94399999999999</v>
      </c>
    </row>
    <row r="22" spans="1:25">
      <c r="A22" s="5">
        <f t="shared" si="1"/>
        <v>43179</v>
      </c>
      <c r="B22" s="14">
        <f t="shared" si="0"/>
        <v>0.25555555555555559</v>
      </c>
      <c r="C22" s="11">
        <f t="shared" si="0"/>
        <v>0.76180555555555562</v>
      </c>
      <c r="D22" s="15">
        <f t="shared" si="6"/>
        <v>89</v>
      </c>
      <c r="E22" s="16">
        <f t="shared" si="5"/>
        <v>271</v>
      </c>
      <c r="F22" s="14" t="e">
        <f t="shared" si="2"/>
        <v>#VALUE!</v>
      </c>
      <c r="G22" s="11"/>
      <c r="H22" s="17" t="e">
        <f t="shared" si="3"/>
        <v>#VALUE!</v>
      </c>
      <c r="I22" s="17">
        <f t="shared" si="3"/>
        <v>-65820</v>
      </c>
      <c r="M22">
        <v>20</v>
      </c>
      <c r="N22" t="s">
        <v>81</v>
      </c>
      <c r="O22" t="s">
        <v>82</v>
      </c>
      <c r="P22" s="12">
        <v>0.50688657407407411</v>
      </c>
      <c r="Q22" t="s">
        <v>44</v>
      </c>
      <c r="R22" s="13">
        <v>0.17569444444444446</v>
      </c>
      <c r="S22" s="13">
        <v>0.84166666666666667</v>
      </c>
      <c r="T22" s="13">
        <v>0.20486111111111113</v>
      </c>
      <c r="U22" s="13">
        <v>0.81319444444444444</v>
      </c>
      <c r="V22" s="13">
        <v>0.23194444444444443</v>
      </c>
      <c r="W22" s="13">
        <v>0.78541666666666676</v>
      </c>
      <c r="X22" t="s">
        <v>83</v>
      </c>
      <c r="Y22">
        <v>148.98599999999999</v>
      </c>
    </row>
    <row r="23" spans="1:25">
      <c r="A23" s="5">
        <f t="shared" si="1"/>
        <v>43180</v>
      </c>
      <c r="B23" s="14">
        <f t="shared" si="0"/>
        <v>0.25347222222222221</v>
      </c>
      <c r="C23" s="11">
        <f t="shared" si="0"/>
        <v>0.7631944444444444</v>
      </c>
      <c r="D23" s="15">
        <f t="shared" si="6"/>
        <v>89</v>
      </c>
      <c r="E23" s="16">
        <f t="shared" si="5"/>
        <v>272</v>
      </c>
      <c r="F23" s="14" t="e">
        <f t="shared" si="2"/>
        <v>#VALUE!</v>
      </c>
      <c r="G23" s="11"/>
      <c r="H23" s="17" t="e">
        <f t="shared" si="3"/>
        <v>#VALUE!</v>
      </c>
      <c r="I23" s="17">
        <f t="shared" si="3"/>
        <v>-65940</v>
      </c>
      <c r="M23">
        <v>21</v>
      </c>
      <c r="N23" t="s">
        <v>84</v>
      </c>
      <c r="O23" t="s">
        <v>85</v>
      </c>
      <c r="P23" s="12">
        <v>0.50966435185185188</v>
      </c>
      <c r="Q23" t="s">
        <v>44</v>
      </c>
      <c r="R23" s="13">
        <v>0.17430555555555557</v>
      </c>
      <c r="S23" s="13">
        <v>0.84305555555555556</v>
      </c>
      <c r="T23" s="13">
        <v>0.20277777777777781</v>
      </c>
      <c r="U23" s="13">
        <v>0.81458333333333333</v>
      </c>
      <c r="V23" s="13">
        <v>0.23055555555555554</v>
      </c>
      <c r="W23" s="13">
        <v>0.78680555555555554</v>
      </c>
      <c r="X23" t="s">
        <v>86</v>
      </c>
      <c r="Y23">
        <v>149.02699999999999</v>
      </c>
    </row>
    <row r="24" spans="1:25">
      <c r="A24" s="5">
        <f t="shared" si="1"/>
        <v>43181</v>
      </c>
      <c r="B24" s="14">
        <f t="shared" si="0"/>
        <v>0.25208333333333333</v>
      </c>
      <c r="C24" s="11">
        <f t="shared" si="0"/>
        <v>0.76458333333333339</v>
      </c>
      <c r="D24" s="15">
        <f t="shared" si="6"/>
        <v>88</v>
      </c>
      <c r="E24" s="16">
        <f t="shared" si="5"/>
        <v>272</v>
      </c>
      <c r="F24" s="14" t="e">
        <f t="shared" si="2"/>
        <v>#VALUE!</v>
      </c>
      <c r="G24" s="11"/>
      <c r="H24" s="17" t="e">
        <f t="shared" si="3"/>
        <v>#VALUE!</v>
      </c>
      <c r="I24" s="17">
        <f t="shared" si="3"/>
        <v>-66060</v>
      </c>
      <c r="M24">
        <v>22</v>
      </c>
      <c r="N24" t="s">
        <v>87</v>
      </c>
      <c r="O24" t="s">
        <v>88</v>
      </c>
      <c r="P24" s="12">
        <v>0.51245370370370369</v>
      </c>
      <c r="Q24" t="s">
        <v>63</v>
      </c>
      <c r="R24" s="13">
        <v>0.17222222222222225</v>
      </c>
      <c r="S24" s="13">
        <v>0.84444444444444444</v>
      </c>
      <c r="T24" s="13">
        <v>0.20138888888888887</v>
      </c>
      <c r="U24" s="13">
        <v>0.81527777777777777</v>
      </c>
      <c r="V24" s="13">
        <v>0.22847222222222222</v>
      </c>
      <c r="W24" s="13">
        <v>0.78749999999999998</v>
      </c>
      <c r="X24" t="s">
        <v>89</v>
      </c>
      <c r="Y24">
        <v>149.06800000000001</v>
      </c>
    </row>
    <row r="25" spans="1:25">
      <c r="A25" s="5">
        <f t="shared" si="1"/>
        <v>43182</v>
      </c>
      <c r="B25" s="14">
        <f t="shared" si="0"/>
        <v>0.25069444444444444</v>
      </c>
      <c r="C25" s="11">
        <f t="shared" si="0"/>
        <v>0.76597222222222217</v>
      </c>
      <c r="D25" s="15">
        <f t="shared" si="6"/>
        <v>87</v>
      </c>
      <c r="E25" s="16">
        <f t="shared" si="5"/>
        <v>273</v>
      </c>
      <c r="F25" s="14" t="e">
        <f t="shared" si="2"/>
        <v>#VALUE!</v>
      </c>
      <c r="G25" s="11"/>
      <c r="H25" s="17" t="e">
        <f t="shared" si="3"/>
        <v>#VALUE!</v>
      </c>
      <c r="I25" s="17">
        <f t="shared" si="3"/>
        <v>-66180</v>
      </c>
      <c r="M25">
        <v>23</v>
      </c>
      <c r="N25" t="s">
        <v>90</v>
      </c>
      <c r="O25" t="s">
        <v>91</v>
      </c>
      <c r="P25" s="12">
        <v>0.51523148148148146</v>
      </c>
      <c r="Q25" t="s">
        <v>44</v>
      </c>
      <c r="R25" s="13">
        <v>0.17083333333333331</v>
      </c>
      <c r="S25" s="13">
        <v>0.84583333333333333</v>
      </c>
      <c r="T25" s="13">
        <v>0.19930555555555554</v>
      </c>
      <c r="U25" s="13">
        <v>0.81666666666666676</v>
      </c>
      <c r="V25" s="13">
        <v>0.22708333333333333</v>
      </c>
      <c r="W25" s="13">
        <v>0.78888888888888886</v>
      </c>
      <c r="X25" t="s">
        <v>92</v>
      </c>
      <c r="Y25">
        <v>149.10900000000001</v>
      </c>
    </row>
    <row r="26" spans="1:25">
      <c r="A26" s="5">
        <f t="shared" si="1"/>
        <v>43183</v>
      </c>
      <c r="B26" s="14">
        <f t="shared" si="0"/>
        <v>0.24861111111111112</v>
      </c>
      <c r="C26" s="11">
        <f t="shared" si="0"/>
        <v>0.76666666666666661</v>
      </c>
      <c r="D26" s="15">
        <f t="shared" si="6"/>
        <v>87</v>
      </c>
      <c r="E26" s="16">
        <f t="shared" si="5"/>
        <v>274</v>
      </c>
      <c r="F26" s="14" t="e">
        <f t="shared" si="2"/>
        <v>#VALUE!</v>
      </c>
      <c r="G26" s="11"/>
      <c r="H26" s="17" t="e">
        <f t="shared" si="3"/>
        <v>#VALUE!</v>
      </c>
      <c r="I26" s="17">
        <f t="shared" si="3"/>
        <v>-66240</v>
      </c>
      <c r="M26">
        <v>24</v>
      </c>
      <c r="N26" t="s">
        <v>93</v>
      </c>
      <c r="O26" t="s">
        <v>94</v>
      </c>
      <c r="P26" s="12">
        <v>0.51802083333333326</v>
      </c>
      <c r="Q26" t="s">
        <v>63</v>
      </c>
      <c r="R26" s="13">
        <v>0.16874999999999998</v>
      </c>
      <c r="S26" s="13">
        <v>0.84722222222222221</v>
      </c>
      <c r="T26" s="13">
        <v>0.19791666666666666</v>
      </c>
      <c r="U26" s="13">
        <v>0.81805555555555554</v>
      </c>
      <c r="V26" s="13">
        <v>0.22569444444444445</v>
      </c>
      <c r="W26" s="13">
        <v>0.79027777777777775</v>
      </c>
      <c r="X26" t="s">
        <v>95</v>
      </c>
      <c r="Y26">
        <v>149.15</v>
      </c>
    </row>
    <row r="27" spans="1:25">
      <c r="A27" s="5">
        <f t="shared" si="1"/>
        <v>43184</v>
      </c>
      <c r="B27" s="14">
        <f>LEFT(N27,5)*1-1/24</f>
        <v>0.24722222222222226</v>
      </c>
      <c r="C27" s="11">
        <f t="shared" ref="C27:C33" si="7">LEFT(O27,5)*1-1/24</f>
        <v>0.7680555555555556</v>
      </c>
      <c r="D27" s="15">
        <f t="shared" si="6"/>
        <v>86</v>
      </c>
      <c r="E27" s="16">
        <f t="shared" si="5"/>
        <v>274</v>
      </c>
      <c r="F27" s="14" t="e">
        <f t="shared" si="2"/>
        <v>#VALUE!</v>
      </c>
      <c r="G27" s="11"/>
      <c r="H27" s="17" t="e">
        <f t="shared" si="3"/>
        <v>#VALUE!</v>
      </c>
      <c r="I27" s="17">
        <f t="shared" si="3"/>
        <v>-66360</v>
      </c>
      <c r="M27">
        <v>25</v>
      </c>
      <c r="N27" t="s">
        <v>96</v>
      </c>
      <c r="O27" t="s">
        <v>97</v>
      </c>
      <c r="P27" s="12">
        <v>0.52079861111111114</v>
      </c>
      <c r="Q27" t="s">
        <v>44</v>
      </c>
      <c r="R27" s="13">
        <v>0.20833333333333334</v>
      </c>
      <c r="S27" s="13">
        <v>0.89027777777777783</v>
      </c>
      <c r="T27" s="13">
        <v>0.23750000000000002</v>
      </c>
      <c r="U27" s="13">
        <v>0.86111111111111116</v>
      </c>
      <c r="V27" s="13">
        <v>0.26527777777777778</v>
      </c>
      <c r="W27" s="13">
        <v>0.83333333333333337</v>
      </c>
      <c r="X27" t="s">
        <v>98</v>
      </c>
      <c r="Y27">
        <v>149.19200000000001</v>
      </c>
    </row>
    <row r="28" spans="1:25">
      <c r="A28" s="5">
        <f t="shared" si="1"/>
        <v>43185</v>
      </c>
      <c r="B28" s="14">
        <f t="shared" ref="B28:B33" si="8">LEFT(N28,5)*1-1/24</f>
        <v>0.24583333333333338</v>
      </c>
      <c r="C28" s="11">
        <f t="shared" si="7"/>
        <v>0.76944444444444438</v>
      </c>
      <c r="D28" s="15">
        <f t="shared" si="6"/>
        <v>85</v>
      </c>
      <c r="E28" s="16">
        <f t="shared" si="5"/>
        <v>275</v>
      </c>
      <c r="F28" s="14" t="e">
        <f t="shared" si="2"/>
        <v>#VALUE!</v>
      </c>
      <c r="G28" s="11"/>
      <c r="H28" s="17" t="e">
        <f t="shared" si="3"/>
        <v>#VALUE!</v>
      </c>
      <c r="I28" s="17">
        <f t="shared" si="3"/>
        <v>-66480</v>
      </c>
      <c r="M28">
        <v>26</v>
      </c>
      <c r="N28" t="s">
        <v>99</v>
      </c>
      <c r="O28" t="s">
        <v>100</v>
      </c>
      <c r="P28" s="12">
        <v>0.52357638888888891</v>
      </c>
      <c r="Q28" t="s">
        <v>44</v>
      </c>
      <c r="R28" s="13">
        <v>0.20694444444444446</v>
      </c>
      <c r="S28" s="13">
        <v>0.89236111111111116</v>
      </c>
      <c r="T28" s="13">
        <v>0.23611111111111113</v>
      </c>
      <c r="U28" s="13">
        <v>0.86249999999999993</v>
      </c>
      <c r="V28" s="13">
        <v>0.2638888888888889</v>
      </c>
      <c r="W28" s="13">
        <v>0.8340277777777777</v>
      </c>
      <c r="X28" t="s">
        <v>101</v>
      </c>
      <c r="Y28">
        <v>149.233</v>
      </c>
    </row>
    <row r="29" spans="1:25">
      <c r="A29" s="5">
        <f t="shared" si="1"/>
        <v>43186</v>
      </c>
      <c r="B29" s="14">
        <f t="shared" si="8"/>
        <v>0.24374999999999999</v>
      </c>
      <c r="C29" s="11">
        <f t="shared" si="7"/>
        <v>0.77013888888888893</v>
      </c>
      <c r="D29" s="15">
        <f t="shared" si="6"/>
        <v>85</v>
      </c>
      <c r="E29" s="16">
        <f t="shared" si="5"/>
        <v>276</v>
      </c>
      <c r="F29" s="14" t="e">
        <f t="shared" si="2"/>
        <v>#VALUE!</v>
      </c>
      <c r="G29" s="11"/>
      <c r="H29" s="17" t="e">
        <f t="shared" si="3"/>
        <v>#VALUE!</v>
      </c>
      <c r="I29" s="17">
        <f t="shared" si="3"/>
        <v>-66540</v>
      </c>
      <c r="M29">
        <v>27</v>
      </c>
      <c r="N29" t="s">
        <v>102</v>
      </c>
      <c r="O29" t="s">
        <v>103</v>
      </c>
      <c r="P29" s="12">
        <v>0.52634259259259253</v>
      </c>
      <c r="Q29" t="s">
        <v>34</v>
      </c>
      <c r="R29" s="13">
        <v>0.20486111111111113</v>
      </c>
      <c r="S29" s="13">
        <v>0.89374999999999993</v>
      </c>
      <c r="T29" s="13">
        <v>0.23402777777777781</v>
      </c>
      <c r="U29" s="13">
        <v>0.86388888888888893</v>
      </c>
      <c r="V29" s="13">
        <v>0.26250000000000001</v>
      </c>
      <c r="W29" s="13">
        <v>0.8354166666666667</v>
      </c>
      <c r="X29" t="s">
        <v>104</v>
      </c>
      <c r="Y29">
        <v>149.27500000000001</v>
      </c>
    </row>
    <row r="30" spans="1:25">
      <c r="A30" s="5">
        <f t="shared" si="1"/>
        <v>43187</v>
      </c>
      <c r="B30" s="14">
        <f t="shared" si="8"/>
        <v>0.24236111111111111</v>
      </c>
      <c r="C30" s="11">
        <f t="shared" si="7"/>
        <v>0.77152777777777781</v>
      </c>
      <c r="D30" s="15">
        <f t="shared" si="6"/>
        <v>84</v>
      </c>
      <c r="E30" s="16">
        <f t="shared" si="5"/>
        <v>276</v>
      </c>
      <c r="F30" s="14" t="e">
        <f t="shared" si="2"/>
        <v>#VALUE!</v>
      </c>
      <c r="G30" s="11"/>
      <c r="H30" s="17" t="e">
        <f t="shared" si="3"/>
        <v>#VALUE!</v>
      </c>
      <c r="I30" s="17">
        <f t="shared" si="3"/>
        <v>-66660</v>
      </c>
      <c r="M30">
        <v>28</v>
      </c>
      <c r="N30" t="s">
        <v>105</v>
      </c>
      <c r="O30" t="s">
        <v>106</v>
      </c>
      <c r="P30" s="12">
        <v>0.5291203703703703</v>
      </c>
      <c r="Q30" t="s">
        <v>44</v>
      </c>
      <c r="R30" s="13">
        <v>0.20277777777777781</v>
      </c>
      <c r="S30" s="13">
        <v>0.89513888888888893</v>
      </c>
      <c r="T30" s="13">
        <v>0.23263888888888887</v>
      </c>
      <c r="U30" s="13">
        <v>0.8652777777777777</v>
      </c>
      <c r="V30" s="13">
        <v>0.26041666666666669</v>
      </c>
      <c r="W30" s="13">
        <v>0.83680555555555547</v>
      </c>
      <c r="X30" t="s">
        <v>107</v>
      </c>
      <c r="Y30">
        <v>149.31700000000001</v>
      </c>
    </row>
    <row r="31" spans="1:25">
      <c r="A31" s="5">
        <f t="shared" si="1"/>
        <v>43188</v>
      </c>
      <c r="B31" s="14">
        <f t="shared" si="8"/>
        <v>0.24097222222222223</v>
      </c>
      <c r="C31" s="11">
        <f t="shared" si="7"/>
        <v>0.7729166666666667</v>
      </c>
      <c r="D31" s="15">
        <f t="shared" si="6"/>
        <v>83</v>
      </c>
      <c r="E31" s="16">
        <f t="shared" si="5"/>
        <v>277</v>
      </c>
      <c r="F31" s="14" t="e">
        <f t="shared" si="2"/>
        <v>#VALUE!</v>
      </c>
      <c r="G31" s="11"/>
      <c r="H31" s="17" t="e">
        <f t="shared" si="3"/>
        <v>#VALUE!</v>
      </c>
      <c r="I31" s="17">
        <f t="shared" si="3"/>
        <v>-66780</v>
      </c>
      <c r="M31">
        <v>29</v>
      </c>
      <c r="N31" t="s">
        <v>108</v>
      </c>
      <c r="O31" t="s">
        <v>109</v>
      </c>
      <c r="P31" s="12">
        <v>0.53188657407407403</v>
      </c>
      <c r="Q31" t="s">
        <v>34</v>
      </c>
      <c r="R31" s="13">
        <v>0.20069444444444443</v>
      </c>
      <c r="S31" s="13">
        <v>0.8965277777777777</v>
      </c>
      <c r="T31" s="13">
        <v>0.23055555555555554</v>
      </c>
      <c r="U31" s="13">
        <v>0.8666666666666667</v>
      </c>
      <c r="V31" s="13">
        <v>0.2590277777777778</v>
      </c>
      <c r="W31" s="13">
        <v>0.83819444444444446</v>
      </c>
      <c r="X31" t="s">
        <v>110</v>
      </c>
      <c r="Y31">
        <v>149.35900000000001</v>
      </c>
    </row>
    <row r="32" spans="1:25">
      <c r="A32" s="5">
        <f t="shared" si="1"/>
        <v>43189</v>
      </c>
      <c r="B32" s="14">
        <f t="shared" si="8"/>
        <v>0.23958333333333334</v>
      </c>
      <c r="C32" s="11">
        <f t="shared" si="7"/>
        <v>0.77361111111111114</v>
      </c>
      <c r="D32" s="15">
        <f t="shared" si="6"/>
        <v>83</v>
      </c>
      <c r="E32" s="16">
        <f t="shared" si="5"/>
        <v>277</v>
      </c>
      <c r="F32" s="14" t="e">
        <f t="shared" si="2"/>
        <v>#VALUE!</v>
      </c>
      <c r="G32" s="11"/>
      <c r="H32" s="17" t="e">
        <f t="shared" si="3"/>
        <v>#VALUE!</v>
      </c>
      <c r="I32" s="17">
        <f t="shared" si="3"/>
        <v>-66840</v>
      </c>
      <c r="M32">
        <v>30</v>
      </c>
      <c r="N32" t="s">
        <v>111</v>
      </c>
      <c r="O32" t="s">
        <v>112</v>
      </c>
      <c r="P32" s="12">
        <v>0.53465277777777775</v>
      </c>
      <c r="Q32" t="s">
        <v>34</v>
      </c>
      <c r="R32" s="13">
        <v>0.19930555555555554</v>
      </c>
      <c r="S32" s="13">
        <v>0.8979166666666667</v>
      </c>
      <c r="T32" s="13">
        <v>0.22916666666666666</v>
      </c>
      <c r="U32" s="13">
        <v>0.86736111111111114</v>
      </c>
      <c r="V32" s="13">
        <v>0.25763888888888892</v>
      </c>
      <c r="W32" s="13">
        <v>0.83958333333333324</v>
      </c>
      <c r="X32" t="s">
        <v>113</v>
      </c>
      <c r="Y32">
        <v>149.40100000000001</v>
      </c>
    </row>
    <row r="33" spans="1:25" ht="15.75" thickBot="1">
      <c r="A33" s="5">
        <f t="shared" si="1"/>
        <v>43190</v>
      </c>
      <c r="B33" s="18">
        <f t="shared" si="8"/>
        <v>0.23750000000000002</v>
      </c>
      <c r="C33" s="19">
        <f t="shared" si="7"/>
        <v>0.77500000000000013</v>
      </c>
      <c r="D33" s="20">
        <f t="shared" si="6"/>
        <v>82</v>
      </c>
      <c r="E33" s="21">
        <f t="shared" si="5"/>
        <v>278</v>
      </c>
      <c r="F33" s="14" t="e">
        <f t="shared" si="2"/>
        <v>#VALUE!</v>
      </c>
      <c r="G33" s="19"/>
      <c r="H33" s="22" t="e">
        <f t="shared" si="3"/>
        <v>#VALUE!</v>
      </c>
      <c r="I33" s="22">
        <f t="shared" si="3"/>
        <v>-66960</v>
      </c>
      <c r="M33">
        <v>31</v>
      </c>
      <c r="N33" t="s">
        <v>114</v>
      </c>
      <c r="O33" t="s">
        <v>115</v>
      </c>
      <c r="P33" s="12">
        <v>0.53741898148148148</v>
      </c>
      <c r="Q33" t="s">
        <v>34</v>
      </c>
      <c r="R33" s="13">
        <v>0.19722222222222222</v>
      </c>
      <c r="S33" s="13">
        <v>0.89930555555555547</v>
      </c>
      <c r="T33" s="13">
        <v>0.22708333333333333</v>
      </c>
      <c r="U33" s="13">
        <v>0.86875000000000002</v>
      </c>
      <c r="V33" s="13">
        <v>0.25555555555555559</v>
      </c>
      <c r="W33" s="13">
        <v>0.84027777777777779</v>
      </c>
      <c r="X33" t="s">
        <v>116</v>
      </c>
      <c r="Y33">
        <v>149.44399999999999</v>
      </c>
    </row>
    <row r="35" spans="1:25" ht="15.75" thickBot="1">
      <c r="H35" s="1" t="e">
        <f>AVERAGE(H37:H67)</f>
        <v>#VALUE!</v>
      </c>
      <c r="I35" s="1">
        <f>AVERAGE(I37:I67)</f>
        <v>-58437.931034482761</v>
      </c>
      <c r="M35" t="s">
        <v>117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14</v>
      </c>
      <c r="U35" t="s">
        <v>15</v>
      </c>
      <c r="V35" t="s">
        <v>14</v>
      </c>
      <c r="W35" t="s">
        <v>15</v>
      </c>
      <c r="X35" t="s">
        <v>16</v>
      </c>
      <c r="Y35" t="s">
        <v>17</v>
      </c>
    </row>
    <row r="36" spans="1:25">
      <c r="A36" s="5">
        <f>DATE(2025,11,M36)</f>
        <v>45962</v>
      </c>
      <c r="B36" s="6">
        <f t="shared" ref="B36:C51" si="9">LEFT(N36,5)*1</f>
        <v>0.29097222222222224</v>
      </c>
      <c r="C36" s="7">
        <f t="shared" si="9"/>
        <v>0.69166666666666676</v>
      </c>
      <c r="D36" s="8">
        <f>MID(N36,10,3)*1</f>
        <v>113</v>
      </c>
      <c r="E36" s="9">
        <f>MID(O36,10,3)*1</f>
        <v>247</v>
      </c>
      <c r="F36" s="14" t="e">
        <f t="shared" ref="F36:F65" si="10">riseset(0,A36,lat, long, 1,-0.8333)/24</f>
        <v>#VALUE!</v>
      </c>
      <c r="G36" s="7"/>
      <c r="H36" s="10" t="e">
        <f>(F36-B36)*24*3600</f>
        <v>#VALUE!</v>
      </c>
      <c r="I36" s="23">
        <f>(G36-C36)*24*3600</f>
        <v>-59760.000000000007</v>
      </c>
      <c r="M36">
        <v>1</v>
      </c>
      <c r="N36" t="s">
        <v>118</v>
      </c>
      <c r="O36" t="s">
        <v>119</v>
      </c>
      <c r="P36" s="12">
        <v>0.40096064814814819</v>
      </c>
      <c r="Q36" s="5" t="s">
        <v>120</v>
      </c>
      <c r="R36" s="13">
        <v>0.21180555555555555</v>
      </c>
      <c r="S36" s="13">
        <v>0.77083333333333337</v>
      </c>
      <c r="T36" s="13">
        <v>0.2388888888888889</v>
      </c>
      <c r="U36" s="13">
        <v>0.74444444444444446</v>
      </c>
      <c r="V36" s="13">
        <v>0.26666666666666666</v>
      </c>
      <c r="W36" s="13">
        <v>0.71666666666666667</v>
      </c>
      <c r="X36" t="s">
        <v>121</v>
      </c>
      <c r="Y36">
        <v>148.47200000000001</v>
      </c>
    </row>
    <row r="37" spans="1:25">
      <c r="A37" s="5">
        <f t="shared" ref="A37:A65" si="11">DATE(2025,11,M37)</f>
        <v>45963</v>
      </c>
      <c r="B37" s="14">
        <f t="shared" si="9"/>
        <v>0.29236111111111113</v>
      </c>
      <c r="C37" s="11">
        <f t="shared" si="9"/>
        <v>0.69097222222222221</v>
      </c>
      <c r="D37" s="15">
        <f>MID(N37,10,3)*1</f>
        <v>113</v>
      </c>
      <c r="E37" s="16">
        <f>MID(O37,10,3)*1</f>
        <v>246</v>
      </c>
      <c r="F37" s="14" t="e">
        <f t="shared" si="10"/>
        <v>#VALUE!</v>
      </c>
      <c r="G37" s="11"/>
      <c r="H37" s="17" t="e">
        <f t="shared" ref="H37:I52" si="12">(F37-B37)*24*3600</f>
        <v>#VALUE!</v>
      </c>
      <c r="I37" s="24">
        <f t="shared" si="12"/>
        <v>-59699.999999999993</v>
      </c>
      <c r="M37">
        <v>2</v>
      </c>
      <c r="N37" t="s">
        <v>122</v>
      </c>
      <c r="O37" t="s">
        <v>123</v>
      </c>
      <c r="P37" s="12">
        <v>0.39847222222222217</v>
      </c>
      <c r="Q37" s="5" t="s">
        <v>124</v>
      </c>
      <c r="R37" s="13">
        <v>0.21249999999999999</v>
      </c>
      <c r="S37" s="13">
        <v>0.77013888888888893</v>
      </c>
      <c r="T37" s="13">
        <v>0.23958333333333334</v>
      </c>
      <c r="U37" s="13">
        <v>0.74305555555555547</v>
      </c>
      <c r="V37" s="13">
        <v>0.2673611111111111</v>
      </c>
      <c r="W37" s="13">
        <v>0.71527777777777779</v>
      </c>
      <c r="X37" t="s">
        <v>125</v>
      </c>
      <c r="Y37">
        <v>148.43299999999999</v>
      </c>
    </row>
    <row r="38" spans="1:25">
      <c r="A38" s="5">
        <f t="shared" si="11"/>
        <v>45964</v>
      </c>
      <c r="B38" s="14">
        <f t="shared" si="9"/>
        <v>0.29375000000000001</v>
      </c>
      <c r="C38" s="11">
        <f t="shared" si="9"/>
        <v>0.68958333333333333</v>
      </c>
      <c r="D38" s="15">
        <f t="shared" ref="D38" si="13">MID(N38,10,IF(MID(N38,10,1)="1",3,2))*1</f>
        <v>114</v>
      </c>
      <c r="E38" s="16">
        <f>MID(O38,10,3)*1</f>
        <v>246</v>
      </c>
      <c r="F38" s="14" t="e">
        <f t="shared" si="10"/>
        <v>#VALUE!</v>
      </c>
      <c r="G38" s="11"/>
      <c r="H38" s="17" t="e">
        <f t="shared" si="12"/>
        <v>#VALUE!</v>
      </c>
      <c r="I38" s="24">
        <f t="shared" si="12"/>
        <v>-59580</v>
      </c>
      <c r="M38">
        <v>3</v>
      </c>
      <c r="N38" t="s">
        <v>126</v>
      </c>
      <c r="O38" t="s">
        <v>127</v>
      </c>
      <c r="P38" s="12">
        <v>0.39600694444444445</v>
      </c>
      <c r="Q38" s="5" t="s">
        <v>128</v>
      </c>
      <c r="R38" s="13">
        <v>0.21388888888888891</v>
      </c>
      <c r="S38" s="13">
        <v>0.76874999999999993</v>
      </c>
      <c r="T38" s="13">
        <v>0.24097222222222223</v>
      </c>
      <c r="U38" s="13">
        <v>0.7416666666666667</v>
      </c>
      <c r="V38" s="13">
        <v>0.26874999999999999</v>
      </c>
      <c r="W38" s="13">
        <v>0.71388888888888891</v>
      </c>
      <c r="X38" t="s">
        <v>129</v>
      </c>
      <c r="Y38">
        <v>148.39500000000001</v>
      </c>
    </row>
    <row r="39" spans="1:25">
      <c r="A39" s="5">
        <f t="shared" si="11"/>
        <v>45965</v>
      </c>
      <c r="B39" s="14">
        <f t="shared" si="9"/>
        <v>0.29444444444444445</v>
      </c>
      <c r="C39" s="11">
        <f t="shared" si="9"/>
        <v>0.68819444444444444</v>
      </c>
      <c r="D39" s="15">
        <f>MID(N39,10,IF(MID(N39,10,1)="1",3,2))*1</f>
        <v>114</v>
      </c>
      <c r="E39" s="16">
        <f>MID(O39,10,3)*1</f>
        <v>245</v>
      </c>
      <c r="F39" s="14" t="e">
        <f t="shared" si="10"/>
        <v>#VALUE!</v>
      </c>
      <c r="G39" s="11"/>
      <c r="H39" s="17" t="e">
        <f t="shared" si="12"/>
        <v>#VALUE!</v>
      </c>
      <c r="I39" s="24">
        <f t="shared" si="12"/>
        <v>-59460</v>
      </c>
      <c r="M39">
        <v>4</v>
      </c>
      <c r="N39" t="s">
        <v>130</v>
      </c>
      <c r="O39" t="s">
        <v>131</v>
      </c>
      <c r="P39" s="12">
        <v>0.39355324074074072</v>
      </c>
      <c r="Q39" s="5" t="s">
        <v>132</v>
      </c>
      <c r="R39" s="13">
        <v>0.21527777777777779</v>
      </c>
      <c r="S39" s="13">
        <v>0.7680555555555556</v>
      </c>
      <c r="T39" s="13">
        <v>0.24236111111111111</v>
      </c>
      <c r="U39" s="13">
        <v>0.74097222222222225</v>
      </c>
      <c r="V39" s="13">
        <v>0.27013888888888887</v>
      </c>
      <c r="W39" s="13">
        <v>0.71319444444444446</v>
      </c>
      <c r="X39" t="s">
        <v>133</v>
      </c>
      <c r="Y39">
        <v>148.357</v>
      </c>
    </row>
    <row r="40" spans="1:25">
      <c r="A40" s="5">
        <f t="shared" si="11"/>
        <v>45966</v>
      </c>
      <c r="B40" s="14">
        <f t="shared" si="9"/>
        <v>0.29583333333333334</v>
      </c>
      <c r="C40" s="11">
        <f t="shared" si="9"/>
        <v>0.68680555555555556</v>
      </c>
      <c r="D40" s="15">
        <f t="shared" ref="D40:D65" si="14">MID(N40,10,IF(MID(N40,10,1)="1",3,2))*1</f>
        <v>115</v>
      </c>
      <c r="E40" s="16">
        <f t="shared" ref="E40:E65" si="15">MID(O40,10,3)*1</f>
        <v>245</v>
      </c>
      <c r="F40" s="14" t="e">
        <f t="shared" si="10"/>
        <v>#VALUE!</v>
      </c>
      <c r="G40" s="11"/>
      <c r="H40" s="17" t="e">
        <f t="shared" si="12"/>
        <v>#VALUE!</v>
      </c>
      <c r="I40" s="24">
        <f t="shared" si="12"/>
        <v>-59340</v>
      </c>
      <c r="M40">
        <v>5</v>
      </c>
      <c r="N40" t="s">
        <v>134</v>
      </c>
      <c r="O40" t="s">
        <v>135</v>
      </c>
      <c r="P40" s="12">
        <v>0.39112268518518517</v>
      </c>
      <c r="Q40" s="5" t="s">
        <v>136</v>
      </c>
      <c r="R40" s="13">
        <v>0.21597222222222223</v>
      </c>
      <c r="S40" s="13">
        <v>0.76666666666666661</v>
      </c>
      <c r="T40" s="13">
        <v>0.24305555555555555</v>
      </c>
      <c r="U40" s="13">
        <v>0.73958333333333337</v>
      </c>
      <c r="V40" s="13">
        <v>0.27083333333333331</v>
      </c>
      <c r="W40" s="13">
        <v>0.71180555555555547</v>
      </c>
      <c r="X40" t="s">
        <v>137</v>
      </c>
      <c r="Y40">
        <v>148.31899999999999</v>
      </c>
    </row>
    <row r="41" spans="1:25">
      <c r="A41" s="5">
        <f t="shared" si="11"/>
        <v>45967</v>
      </c>
      <c r="B41" s="14">
        <f t="shared" si="9"/>
        <v>0.29722222222222222</v>
      </c>
      <c r="C41" s="11">
        <f t="shared" si="9"/>
        <v>0.68611111111111101</v>
      </c>
      <c r="D41" s="15">
        <f t="shared" si="14"/>
        <v>115</v>
      </c>
      <c r="E41" s="16">
        <f t="shared" si="15"/>
        <v>244</v>
      </c>
      <c r="F41" s="14" t="e">
        <f t="shared" si="10"/>
        <v>#VALUE!</v>
      </c>
      <c r="G41" s="11"/>
      <c r="H41" s="17" t="e">
        <f t="shared" si="12"/>
        <v>#VALUE!</v>
      </c>
      <c r="I41" s="24">
        <f t="shared" si="12"/>
        <v>-59279.999999999993</v>
      </c>
      <c r="M41">
        <v>6</v>
      </c>
      <c r="N41" t="s">
        <v>138</v>
      </c>
      <c r="O41" t="s">
        <v>139</v>
      </c>
      <c r="P41" s="12">
        <v>0.38871527777777781</v>
      </c>
      <c r="Q41" s="5" t="s">
        <v>140</v>
      </c>
      <c r="R41" s="13">
        <v>0.21736111111111112</v>
      </c>
      <c r="S41" s="13">
        <v>0.76597222222222217</v>
      </c>
      <c r="T41" s="13">
        <v>0.24444444444444446</v>
      </c>
      <c r="U41" s="13">
        <v>0.73888888888888893</v>
      </c>
      <c r="V41" s="13">
        <v>0.2722222222222222</v>
      </c>
      <c r="W41" s="13">
        <v>0.71111111111111114</v>
      </c>
      <c r="X41" t="s">
        <v>141</v>
      </c>
      <c r="Y41">
        <v>148.28200000000001</v>
      </c>
    </row>
    <row r="42" spans="1:25">
      <c r="A42" s="5">
        <f t="shared" si="11"/>
        <v>45968</v>
      </c>
      <c r="B42" s="14">
        <f t="shared" si="9"/>
        <v>0.2986111111111111</v>
      </c>
      <c r="C42" s="11">
        <f t="shared" si="9"/>
        <v>0.68472222222222223</v>
      </c>
      <c r="D42" s="15">
        <f t="shared" si="14"/>
        <v>116</v>
      </c>
      <c r="E42" s="16">
        <f t="shared" si="15"/>
        <v>244</v>
      </c>
      <c r="F42" s="14" t="e">
        <f t="shared" si="10"/>
        <v>#VALUE!</v>
      </c>
      <c r="G42" s="11"/>
      <c r="H42" s="17" t="e">
        <f t="shared" si="12"/>
        <v>#VALUE!</v>
      </c>
      <c r="I42" s="24">
        <f t="shared" si="12"/>
        <v>-59160</v>
      </c>
      <c r="M42">
        <v>7</v>
      </c>
      <c r="N42" t="s">
        <v>142</v>
      </c>
      <c r="O42" t="s">
        <v>143</v>
      </c>
      <c r="P42" s="12">
        <v>0.38633101851851853</v>
      </c>
      <c r="Q42" s="5" t="s">
        <v>144</v>
      </c>
      <c r="R42" s="13">
        <v>0.21805555555555556</v>
      </c>
      <c r="S42" s="13">
        <v>0.76458333333333339</v>
      </c>
      <c r="T42" s="13">
        <v>0.24513888888888888</v>
      </c>
      <c r="U42" s="13">
        <v>0.73749999999999993</v>
      </c>
      <c r="V42" s="13">
        <v>0.27361111111111108</v>
      </c>
      <c r="W42" s="13">
        <v>0.70972222222222225</v>
      </c>
      <c r="X42" t="s">
        <v>145</v>
      </c>
      <c r="Y42">
        <v>148.24600000000001</v>
      </c>
    </row>
    <row r="43" spans="1:25">
      <c r="A43" s="5">
        <f t="shared" si="11"/>
        <v>45969</v>
      </c>
      <c r="B43" s="14">
        <f t="shared" si="9"/>
        <v>0.3</v>
      </c>
      <c r="C43" s="11">
        <f t="shared" si="9"/>
        <v>0.68333333333333324</v>
      </c>
      <c r="D43" s="15">
        <f t="shared" si="14"/>
        <v>116</v>
      </c>
      <c r="E43" s="16">
        <f t="shared" si="15"/>
        <v>243</v>
      </c>
      <c r="F43" s="14" t="e">
        <f t="shared" si="10"/>
        <v>#VALUE!</v>
      </c>
      <c r="G43" s="11"/>
      <c r="H43" s="17" t="e">
        <f t="shared" si="12"/>
        <v>#VALUE!</v>
      </c>
      <c r="I43" s="24">
        <f t="shared" si="12"/>
        <v>-59039.999999999993</v>
      </c>
      <c r="M43">
        <v>8</v>
      </c>
      <c r="N43" t="s">
        <v>146</v>
      </c>
      <c r="O43" t="s">
        <v>147</v>
      </c>
      <c r="P43" s="12">
        <v>0.38395833333333335</v>
      </c>
      <c r="Q43" s="5" t="s">
        <v>148</v>
      </c>
      <c r="R43" s="13">
        <v>0.21944444444444444</v>
      </c>
      <c r="S43" s="13">
        <v>0.76388888888888884</v>
      </c>
      <c r="T43" s="13">
        <v>0.24652777777777779</v>
      </c>
      <c r="U43" s="13">
        <v>0.7368055555555556</v>
      </c>
      <c r="V43" s="13">
        <v>0.27430555555555552</v>
      </c>
      <c r="W43" s="13">
        <v>0.7090277777777777</v>
      </c>
      <c r="X43" t="s">
        <v>149</v>
      </c>
      <c r="Y43">
        <v>148.21</v>
      </c>
    </row>
    <row r="44" spans="1:25">
      <c r="A44" s="5">
        <f t="shared" si="11"/>
        <v>45970</v>
      </c>
      <c r="B44" s="14">
        <f t="shared" si="9"/>
        <v>0.30069444444444443</v>
      </c>
      <c r="C44" s="11">
        <f t="shared" si="9"/>
        <v>0.68263888888888891</v>
      </c>
      <c r="D44" s="15">
        <f t="shared" si="14"/>
        <v>117</v>
      </c>
      <c r="E44" s="16">
        <f t="shared" si="15"/>
        <v>243</v>
      </c>
      <c r="F44" s="14" t="e">
        <f t="shared" si="10"/>
        <v>#VALUE!</v>
      </c>
      <c r="G44" s="11"/>
      <c r="H44" s="17" t="e">
        <f t="shared" si="12"/>
        <v>#VALUE!</v>
      </c>
      <c r="I44" s="24">
        <f t="shared" si="12"/>
        <v>-58980</v>
      </c>
      <c r="M44">
        <v>9</v>
      </c>
      <c r="N44" t="s">
        <v>150</v>
      </c>
      <c r="O44" t="s">
        <v>151</v>
      </c>
      <c r="P44" s="12">
        <v>0.38163194444444448</v>
      </c>
      <c r="Q44" s="5" t="s">
        <v>152</v>
      </c>
      <c r="R44" s="13">
        <v>0.22013888888888888</v>
      </c>
      <c r="S44" s="13">
        <v>0.7631944444444444</v>
      </c>
      <c r="T44" s="13">
        <v>0.24722222222222223</v>
      </c>
      <c r="U44" s="13">
        <v>0.73611111111111116</v>
      </c>
      <c r="V44" s="13">
        <v>0.27569444444444446</v>
      </c>
      <c r="W44" s="13">
        <v>0.70763888888888893</v>
      </c>
      <c r="X44" t="s">
        <v>153</v>
      </c>
      <c r="Y44">
        <v>148.17500000000001</v>
      </c>
    </row>
    <row r="45" spans="1:25">
      <c r="A45" s="5">
        <f t="shared" si="11"/>
        <v>45971</v>
      </c>
      <c r="B45" s="14">
        <f t="shared" si="9"/>
        <v>0.30208333333333331</v>
      </c>
      <c r="C45" s="11">
        <f t="shared" si="9"/>
        <v>0.68125000000000002</v>
      </c>
      <c r="D45" s="15">
        <f t="shared" si="14"/>
        <v>117</v>
      </c>
      <c r="E45" s="16">
        <f t="shared" si="15"/>
        <v>242</v>
      </c>
      <c r="F45" s="14" t="e">
        <f t="shared" si="10"/>
        <v>#VALUE!</v>
      </c>
      <c r="G45" s="11"/>
      <c r="H45" s="17" t="e">
        <f t="shared" si="12"/>
        <v>#VALUE!</v>
      </c>
      <c r="I45" s="24">
        <f t="shared" si="12"/>
        <v>-58860.000000000007</v>
      </c>
      <c r="M45">
        <v>10</v>
      </c>
      <c r="N45" t="s">
        <v>154</v>
      </c>
      <c r="O45" t="s">
        <v>155</v>
      </c>
      <c r="P45" s="12">
        <v>0.3793171296296296</v>
      </c>
      <c r="Q45" s="5" t="s">
        <v>156</v>
      </c>
      <c r="R45" s="13">
        <v>0.22152777777777777</v>
      </c>
      <c r="S45" s="13">
        <v>0.76250000000000007</v>
      </c>
      <c r="T45" s="13">
        <v>0.24861111111111112</v>
      </c>
      <c r="U45" s="13">
        <v>0.73472222222222217</v>
      </c>
      <c r="V45" s="13">
        <v>0.27638888888888885</v>
      </c>
      <c r="W45" s="13">
        <v>0.70694444444444438</v>
      </c>
      <c r="X45" t="s">
        <v>157</v>
      </c>
      <c r="Y45">
        <v>148.14099999999999</v>
      </c>
    </row>
    <row r="46" spans="1:25">
      <c r="A46" s="5">
        <f t="shared" si="11"/>
        <v>45972</v>
      </c>
      <c r="B46" s="14">
        <f t="shared" si="9"/>
        <v>0.3034722222222222</v>
      </c>
      <c r="C46" s="11">
        <f t="shared" si="9"/>
        <v>0.68055555555555547</v>
      </c>
      <c r="D46" s="15">
        <f t="shared" si="14"/>
        <v>118</v>
      </c>
      <c r="E46" s="16">
        <f t="shared" si="15"/>
        <v>242</v>
      </c>
      <c r="F46" s="14" t="e">
        <f t="shared" si="10"/>
        <v>#VALUE!</v>
      </c>
      <c r="G46" s="11"/>
      <c r="H46" s="17" t="e">
        <f t="shared" si="12"/>
        <v>#VALUE!</v>
      </c>
      <c r="I46" s="24">
        <f t="shared" si="12"/>
        <v>-58799.999999999993</v>
      </c>
      <c r="M46">
        <v>11</v>
      </c>
      <c r="N46" t="s">
        <v>158</v>
      </c>
      <c r="O46" t="s">
        <v>159</v>
      </c>
      <c r="P46" s="12">
        <v>0.37703703703703706</v>
      </c>
      <c r="Q46" s="5" t="s">
        <v>160</v>
      </c>
      <c r="R46" s="13">
        <v>0.22222222222222221</v>
      </c>
      <c r="S46" s="13">
        <v>0.76111111111111107</v>
      </c>
      <c r="T46" s="13">
        <v>0.25</v>
      </c>
      <c r="U46" s="13">
        <v>0.73402777777777783</v>
      </c>
      <c r="V46" s="13">
        <v>0.27777777777777779</v>
      </c>
      <c r="W46" s="13">
        <v>0.7055555555555556</v>
      </c>
      <c r="X46" t="s">
        <v>161</v>
      </c>
      <c r="Y46">
        <v>148.107</v>
      </c>
    </row>
    <row r="47" spans="1:25">
      <c r="A47" s="5">
        <f t="shared" si="11"/>
        <v>45973</v>
      </c>
      <c r="B47" s="14">
        <f t="shared" si="9"/>
        <v>0.30486111111111108</v>
      </c>
      <c r="C47" s="11">
        <f t="shared" si="9"/>
        <v>0.6791666666666667</v>
      </c>
      <c r="D47" s="15">
        <f t="shared" si="14"/>
        <v>118</v>
      </c>
      <c r="E47" s="16">
        <f t="shared" si="15"/>
        <v>241</v>
      </c>
      <c r="F47" s="14" t="e">
        <f t="shared" si="10"/>
        <v>#VALUE!</v>
      </c>
      <c r="G47" s="11"/>
      <c r="H47" s="17" t="e">
        <f t="shared" si="12"/>
        <v>#VALUE!</v>
      </c>
      <c r="I47" s="24">
        <f t="shared" si="12"/>
        <v>-58680</v>
      </c>
      <c r="M47">
        <v>12</v>
      </c>
      <c r="N47" t="s">
        <v>162</v>
      </c>
      <c r="O47" t="s">
        <v>163</v>
      </c>
      <c r="P47" s="12">
        <v>0.3747800925925926</v>
      </c>
      <c r="Q47" s="5" t="s">
        <v>164</v>
      </c>
      <c r="R47" s="13">
        <v>0.22361111111111109</v>
      </c>
      <c r="S47" s="13">
        <v>0.76041666666666663</v>
      </c>
      <c r="T47" s="13">
        <v>0.25069444444444444</v>
      </c>
      <c r="U47" s="13">
        <v>0.73333333333333339</v>
      </c>
      <c r="V47" s="13">
        <v>0.27916666666666667</v>
      </c>
      <c r="W47" s="13">
        <v>0.70486111111111116</v>
      </c>
      <c r="X47" t="s">
        <v>165</v>
      </c>
      <c r="Y47">
        <v>148.07300000000001</v>
      </c>
    </row>
    <row r="48" spans="1:25">
      <c r="A48" s="5">
        <f t="shared" si="11"/>
        <v>45974</v>
      </c>
      <c r="B48" s="14">
        <f t="shared" si="9"/>
        <v>0.30555555555555552</v>
      </c>
      <c r="C48" s="11">
        <f t="shared" si="9"/>
        <v>0.67847222222222225</v>
      </c>
      <c r="D48" s="15">
        <f t="shared" si="14"/>
        <v>119</v>
      </c>
      <c r="E48" s="16">
        <f t="shared" si="15"/>
        <v>241</v>
      </c>
      <c r="F48" s="14" t="e">
        <f t="shared" si="10"/>
        <v>#VALUE!</v>
      </c>
      <c r="G48" s="11"/>
      <c r="H48" s="17" t="e">
        <f t="shared" si="12"/>
        <v>#VALUE!</v>
      </c>
      <c r="I48" s="24">
        <f t="shared" si="12"/>
        <v>-58620.000000000007</v>
      </c>
      <c r="M48">
        <v>13</v>
      </c>
      <c r="N48" t="s">
        <v>166</v>
      </c>
      <c r="O48" t="s">
        <v>167</v>
      </c>
      <c r="P48" s="12">
        <v>0.37255787037037041</v>
      </c>
      <c r="Q48" s="5" t="s">
        <v>168</v>
      </c>
      <c r="R48" s="13">
        <v>0.22430555555555556</v>
      </c>
      <c r="S48" s="13">
        <v>0.7597222222222223</v>
      </c>
      <c r="T48" s="13">
        <v>0.25208333333333333</v>
      </c>
      <c r="U48" s="13">
        <v>0.7319444444444444</v>
      </c>
      <c r="V48" s="13">
        <v>0.27986111111111112</v>
      </c>
      <c r="W48" s="13">
        <v>0.70416666666666661</v>
      </c>
      <c r="X48" t="s">
        <v>169</v>
      </c>
      <c r="Y48">
        <v>148.04</v>
      </c>
    </row>
    <row r="49" spans="1:25">
      <c r="A49" s="5">
        <f t="shared" si="11"/>
        <v>45975</v>
      </c>
      <c r="B49" s="14">
        <f t="shared" si="9"/>
        <v>0.30694444444444441</v>
      </c>
      <c r="C49" s="11">
        <f t="shared" si="9"/>
        <v>0.67708333333333337</v>
      </c>
      <c r="D49" s="15">
        <f t="shared" si="14"/>
        <v>119</v>
      </c>
      <c r="E49" s="16">
        <f t="shared" si="15"/>
        <v>241</v>
      </c>
      <c r="F49" s="14" t="e">
        <f t="shared" si="10"/>
        <v>#VALUE!</v>
      </c>
      <c r="G49" s="11"/>
      <c r="H49" s="17" t="e">
        <f t="shared" si="12"/>
        <v>#VALUE!</v>
      </c>
      <c r="I49" s="24">
        <f t="shared" si="12"/>
        <v>-58500</v>
      </c>
      <c r="M49">
        <v>14</v>
      </c>
      <c r="N49" t="s">
        <v>170</v>
      </c>
      <c r="O49" t="s">
        <v>171</v>
      </c>
      <c r="P49" s="12">
        <v>0.37034722222222222</v>
      </c>
      <c r="Q49" s="5" t="s">
        <v>172</v>
      </c>
      <c r="R49" s="13">
        <v>0.22569444444444445</v>
      </c>
      <c r="S49" s="13">
        <v>0.75902777777777775</v>
      </c>
      <c r="T49" s="13">
        <v>0.25277777777777777</v>
      </c>
      <c r="U49" s="13">
        <v>0.73125000000000007</v>
      </c>
      <c r="V49" s="13">
        <v>0.28125</v>
      </c>
      <c r="W49" s="13">
        <v>0.70277777777777783</v>
      </c>
      <c r="X49" t="s">
        <v>173</v>
      </c>
      <c r="Y49">
        <v>148.00700000000001</v>
      </c>
    </row>
    <row r="50" spans="1:25">
      <c r="A50" s="5">
        <f t="shared" si="11"/>
        <v>45976</v>
      </c>
      <c r="B50" s="14">
        <f t="shared" si="9"/>
        <v>0.30833333333333335</v>
      </c>
      <c r="C50" s="11">
        <f t="shared" si="9"/>
        <v>0.67638888888888893</v>
      </c>
      <c r="D50" s="15">
        <f t="shared" si="14"/>
        <v>120</v>
      </c>
      <c r="E50" s="16">
        <f t="shared" si="15"/>
        <v>240</v>
      </c>
      <c r="F50" s="14" t="e">
        <f t="shared" si="10"/>
        <v>#VALUE!</v>
      </c>
      <c r="G50" s="11"/>
      <c r="H50" s="17" t="e">
        <f t="shared" si="12"/>
        <v>#VALUE!</v>
      </c>
      <c r="I50" s="24">
        <f t="shared" si="12"/>
        <v>-58440</v>
      </c>
      <c r="M50">
        <v>15</v>
      </c>
      <c r="N50" t="s">
        <v>174</v>
      </c>
      <c r="O50" t="s">
        <v>175</v>
      </c>
      <c r="P50" s="12">
        <v>0.3681828703703704</v>
      </c>
      <c r="Q50" s="5" t="s">
        <v>176</v>
      </c>
      <c r="R50" s="13">
        <v>0.22638888888888889</v>
      </c>
      <c r="S50" s="13">
        <v>0.7583333333333333</v>
      </c>
      <c r="T50" s="13">
        <v>0.25416666666666665</v>
      </c>
      <c r="U50" s="13">
        <v>0.73055555555555562</v>
      </c>
      <c r="V50" s="13">
        <v>0.28263888888888888</v>
      </c>
      <c r="W50" s="13">
        <v>0.70208333333333339</v>
      </c>
      <c r="X50" t="s">
        <v>177</v>
      </c>
      <c r="Y50">
        <v>147.97499999999999</v>
      </c>
    </row>
    <row r="51" spans="1:25">
      <c r="A51" s="5">
        <f t="shared" si="11"/>
        <v>45977</v>
      </c>
      <c r="B51" s="14">
        <f t="shared" si="9"/>
        <v>0.30902777777777779</v>
      </c>
      <c r="C51" s="11">
        <f t="shared" si="9"/>
        <v>0.67569444444444438</v>
      </c>
      <c r="D51" s="15">
        <f t="shared" si="14"/>
        <v>120</v>
      </c>
      <c r="E51" s="16">
        <f t="shared" si="15"/>
        <v>240</v>
      </c>
      <c r="F51" s="14" t="e">
        <f t="shared" si="10"/>
        <v>#VALUE!</v>
      </c>
      <c r="G51" s="11"/>
      <c r="H51" s="17" t="e">
        <f t="shared" si="12"/>
        <v>#VALUE!</v>
      </c>
      <c r="I51" s="24">
        <f t="shared" si="12"/>
        <v>-58379.999999999993</v>
      </c>
      <c r="M51">
        <v>16</v>
      </c>
      <c r="N51" t="s">
        <v>178</v>
      </c>
      <c r="O51" t="s">
        <v>179</v>
      </c>
      <c r="P51" s="12">
        <v>0.36605324074074069</v>
      </c>
      <c r="Q51" s="5" t="s">
        <v>180</v>
      </c>
      <c r="R51" s="13">
        <v>0.22708333333333333</v>
      </c>
      <c r="S51" s="13">
        <v>0.75763888888888886</v>
      </c>
      <c r="T51" s="13">
        <v>0.25486111111111109</v>
      </c>
      <c r="U51" s="13">
        <v>0.72986111111111107</v>
      </c>
      <c r="V51" s="13">
        <v>0.28333333333333333</v>
      </c>
      <c r="W51" s="13">
        <v>0.70138888888888884</v>
      </c>
      <c r="X51" t="s">
        <v>181</v>
      </c>
      <c r="Y51">
        <v>147.94300000000001</v>
      </c>
    </row>
    <row r="52" spans="1:25">
      <c r="A52" s="5">
        <f t="shared" si="11"/>
        <v>45978</v>
      </c>
      <c r="B52" s="14">
        <f t="shared" ref="B52:C65" si="16">LEFT(N52,5)*1</f>
        <v>0.31041666666666667</v>
      </c>
      <c r="C52" s="11">
        <f t="shared" si="16"/>
        <v>0.6743055555555556</v>
      </c>
      <c r="D52" s="15">
        <f t="shared" si="14"/>
        <v>121</v>
      </c>
      <c r="E52" s="16">
        <f t="shared" si="15"/>
        <v>239</v>
      </c>
      <c r="F52" s="14" t="e">
        <f t="shared" si="10"/>
        <v>#VALUE!</v>
      </c>
      <c r="G52" s="11"/>
      <c r="H52" s="17" t="e">
        <f t="shared" si="12"/>
        <v>#VALUE!</v>
      </c>
      <c r="I52" s="24">
        <f t="shared" si="12"/>
        <v>-58260</v>
      </c>
      <c r="M52">
        <v>17</v>
      </c>
      <c r="N52" t="s">
        <v>182</v>
      </c>
      <c r="O52" t="s">
        <v>183</v>
      </c>
      <c r="P52" s="12">
        <v>0.36396990740740742</v>
      </c>
      <c r="Q52" t="s">
        <v>184</v>
      </c>
      <c r="R52" s="13">
        <v>0.22847222222222222</v>
      </c>
      <c r="S52" s="13">
        <v>0.75694444444444453</v>
      </c>
      <c r="T52" s="13">
        <v>0.25555555555555559</v>
      </c>
      <c r="U52" s="13">
        <v>0.72916666666666663</v>
      </c>
      <c r="V52" s="13">
        <v>0.28472222222222221</v>
      </c>
      <c r="W52" s="13">
        <v>0.7006944444444444</v>
      </c>
      <c r="X52" t="s">
        <v>185</v>
      </c>
      <c r="Y52">
        <v>147.91200000000001</v>
      </c>
    </row>
    <row r="53" spans="1:25">
      <c r="A53" s="5">
        <f t="shared" si="11"/>
        <v>45979</v>
      </c>
      <c r="B53" s="14">
        <f t="shared" si="16"/>
        <v>0.31180555555555556</v>
      </c>
      <c r="C53" s="11">
        <f t="shared" si="16"/>
        <v>0.67361111111111116</v>
      </c>
      <c r="D53" s="15">
        <f t="shared" si="14"/>
        <v>121</v>
      </c>
      <c r="E53" s="16">
        <f t="shared" si="15"/>
        <v>239</v>
      </c>
      <c r="F53" s="14" t="e">
        <f t="shared" si="10"/>
        <v>#VALUE!</v>
      </c>
      <c r="G53" s="11"/>
      <c r="H53" s="17" t="e">
        <f t="shared" ref="H53:I65" si="17">(F53-B53)*24*3600</f>
        <v>#VALUE!</v>
      </c>
      <c r="I53" s="24">
        <f t="shared" si="17"/>
        <v>-58200.000000000007</v>
      </c>
      <c r="M53">
        <v>18</v>
      </c>
      <c r="N53" t="s">
        <v>186</v>
      </c>
      <c r="O53" t="s">
        <v>187</v>
      </c>
      <c r="P53" s="12">
        <v>0.36190972222222223</v>
      </c>
      <c r="Q53" t="s">
        <v>188</v>
      </c>
      <c r="R53" s="13">
        <v>0.22916666666666666</v>
      </c>
      <c r="S53" s="13">
        <v>0.75624999999999998</v>
      </c>
      <c r="T53" s="13">
        <v>0.25694444444444448</v>
      </c>
      <c r="U53" s="13">
        <v>0.7284722222222223</v>
      </c>
      <c r="V53" s="13">
        <v>0.28541666666666665</v>
      </c>
      <c r="W53" s="13">
        <v>0.70000000000000007</v>
      </c>
      <c r="X53" t="s">
        <v>189</v>
      </c>
      <c r="Y53">
        <v>147.88</v>
      </c>
    </row>
    <row r="54" spans="1:25">
      <c r="A54" s="5">
        <f t="shared" si="11"/>
        <v>45980</v>
      </c>
      <c r="B54" s="14">
        <f t="shared" si="16"/>
        <v>0.31319444444444444</v>
      </c>
      <c r="C54" s="11">
        <f t="shared" si="16"/>
        <v>0.67291666666666661</v>
      </c>
      <c r="D54" s="15">
        <f t="shared" si="14"/>
        <v>121</v>
      </c>
      <c r="E54" s="16">
        <f t="shared" si="15"/>
        <v>238</v>
      </c>
      <c r="F54" s="14" t="e">
        <f t="shared" si="10"/>
        <v>#VALUE!</v>
      </c>
      <c r="G54" s="11"/>
      <c r="H54" s="17" t="e">
        <f t="shared" si="17"/>
        <v>#VALUE!</v>
      </c>
      <c r="I54" s="24">
        <f t="shared" si="17"/>
        <v>-58139.999999999993</v>
      </c>
      <c r="M54">
        <v>19</v>
      </c>
      <c r="N54" t="s">
        <v>190</v>
      </c>
      <c r="O54" t="s">
        <v>191</v>
      </c>
      <c r="P54" s="12">
        <v>0.3598958333333333</v>
      </c>
      <c r="Q54" t="s">
        <v>192</v>
      </c>
      <c r="R54" s="13">
        <v>0.23055555555555554</v>
      </c>
      <c r="S54" s="13">
        <v>0.75555555555555554</v>
      </c>
      <c r="T54" s="13">
        <v>0.25763888888888892</v>
      </c>
      <c r="U54" s="13">
        <v>0.72777777777777775</v>
      </c>
      <c r="V54" s="13">
        <v>0.28680555555555554</v>
      </c>
      <c r="W54" s="13">
        <v>0.69930555555555562</v>
      </c>
      <c r="X54" t="s">
        <v>193</v>
      </c>
      <c r="Y54">
        <v>147.84899999999999</v>
      </c>
    </row>
    <row r="55" spans="1:25">
      <c r="A55" s="5">
        <f t="shared" si="11"/>
        <v>45981</v>
      </c>
      <c r="B55" s="14">
        <f t="shared" si="16"/>
        <v>0.31388888888888888</v>
      </c>
      <c r="C55" s="11">
        <f t="shared" si="16"/>
        <v>0.67222222222222217</v>
      </c>
      <c r="D55" s="15">
        <f t="shared" si="14"/>
        <v>122</v>
      </c>
      <c r="E55" s="16">
        <f t="shared" si="15"/>
        <v>238</v>
      </c>
      <c r="F55" s="14" t="e">
        <f t="shared" si="10"/>
        <v>#VALUE!</v>
      </c>
      <c r="G55" s="11"/>
      <c r="H55" s="17" t="e">
        <f t="shared" si="17"/>
        <v>#VALUE!</v>
      </c>
      <c r="I55" s="24">
        <f t="shared" si="17"/>
        <v>-58080</v>
      </c>
      <c r="M55">
        <v>20</v>
      </c>
      <c r="N55" t="s">
        <v>194</v>
      </c>
      <c r="O55" t="s">
        <v>195</v>
      </c>
      <c r="P55" s="12">
        <v>0.35791666666666666</v>
      </c>
      <c r="Q55" t="s">
        <v>196</v>
      </c>
      <c r="R55" s="13">
        <v>0.23124999999999998</v>
      </c>
      <c r="S55" s="13">
        <v>0.75486111111111109</v>
      </c>
      <c r="T55" s="13">
        <v>0.2590277777777778</v>
      </c>
      <c r="U55" s="13">
        <v>0.7270833333333333</v>
      </c>
      <c r="V55" s="13">
        <v>0.28750000000000003</v>
      </c>
      <c r="W55" s="13">
        <v>0.69861111111111107</v>
      </c>
      <c r="X55" t="s">
        <v>197</v>
      </c>
      <c r="Y55">
        <v>147.81899999999999</v>
      </c>
    </row>
    <row r="56" spans="1:25">
      <c r="A56" s="5">
        <f t="shared" si="11"/>
        <v>45982</v>
      </c>
      <c r="B56" s="14">
        <f t="shared" si="16"/>
        <v>0.31527777777777777</v>
      </c>
      <c r="C56" s="11">
        <f t="shared" si="16"/>
        <v>0.67152777777777783</v>
      </c>
      <c r="D56" s="15">
        <f t="shared" si="14"/>
        <v>122</v>
      </c>
      <c r="E56" s="16">
        <f t="shared" si="15"/>
        <v>238</v>
      </c>
      <c r="F56" s="14" t="e">
        <f t="shared" si="10"/>
        <v>#VALUE!</v>
      </c>
      <c r="G56" s="11"/>
      <c r="H56" s="17" t="e">
        <f t="shared" si="17"/>
        <v>#VALUE!</v>
      </c>
      <c r="I56" s="24">
        <f t="shared" si="17"/>
        <v>-58020</v>
      </c>
      <c r="M56">
        <v>21</v>
      </c>
      <c r="N56" t="s">
        <v>198</v>
      </c>
      <c r="O56" t="s">
        <v>199</v>
      </c>
      <c r="P56" s="12">
        <v>0.35598379629629634</v>
      </c>
      <c r="Q56" t="s">
        <v>200</v>
      </c>
      <c r="R56" s="13">
        <v>0.23194444444444443</v>
      </c>
      <c r="S56" s="13">
        <v>0.75416666666666676</v>
      </c>
      <c r="T56" s="13">
        <v>0.25972222222222224</v>
      </c>
      <c r="U56" s="13">
        <v>0.72638888888888886</v>
      </c>
      <c r="V56" s="13">
        <v>0.28888888888888892</v>
      </c>
      <c r="W56" s="13">
        <v>0.69791666666666663</v>
      </c>
      <c r="X56" t="s">
        <v>201</v>
      </c>
      <c r="Y56">
        <v>147.78899999999999</v>
      </c>
    </row>
    <row r="57" spans="1:25">
      <c r="A57" s="5">
        <f t="shared" si="11"/>
        <v>45983</v>
      </c>
      <c r="B57" s="14">
        <f t="shared" si="16"/>
        <v>0.31666666666666665</v>
      </c>
      <c r="C57" s="11">
        <f t="shared" si="16"/>
        <v>0.67013888888888884</v>
      </c>
      <c r="D57" s="15">
        <f t="shared" si="14"/>
        <v>123</v>
      </c>
      <c r="E57" s="16">
        <f t="shared" si="15"/>
        <v>237</v>
      </c>
      <c r="F57" s="14" t="e">
        <f t="shared" si="10"/>
        <v>#VALUE!</v>
      </c>
      <c r="G57" s="11"/>
      <c r="H57" s="17" t="e">
        <f t="shared" si="17"/>
        <v>#VALUE!</v>
      </c>
      <c r="I57" s="24">
        <f t="shared" si="17"/>
        <v>-57899.999999999993</v>
      </c>
      <c r="M57">
        <v>22</v>
      </c>
      <c r="N57" t="s">
        <v>202</v>
      </c>
      <c r="O57" t="s">
        <v>203</v>
      </c>
      <c r="P57" s="12">
        <v>0.35408564814814819</v>
      </c>
      <c r="Q57" t="s">
        <v>204</v>
      </c>
      <c r="R57" s="13">
        <v>0.23333333333333331</v>
      </c>
      <c r="S57" s="13">
        <v>0.75347222222222221</v>
      </c>
      <c r="T57" s="13">
        <v>0.26111111111111113</v>
      </c>
      <c r="U57" s="13">
        <v>0.72569444444444453</v>
      </c>
      <c r="V57" s="13">
        <v>0.28958333333333336</v>
      </c>
      <c r="W57" s="13">
        <v>0.6972222222222223</v>
      </c>
      <c r="X57" t="s">
        <v>205</v>
      </c>
      <c r="Y57">
        <v>147.75899999999999</v>
      </c>
    </row>
    <row r="58" spans="1:25">
      <c r="A58" s="5">
        <f t="shared" si="11"/>
        <v>45984</v>
      </c>
      <c r="B58" s="14">
        <f t="shared" si="16"/>
        <v>0.31736111111111115</v>
      </c>
      <c r="C58" s="11">
        <f t="shared" si="16"/>
        <v>0.6694444444444444</v>
      </c>
      <c r="D58" s="15">
        <f t="shared" si="14"/>
        <v>123</v>
      </c>
      <c r="E58" s="16">
        <f t="shared" si="15"/>
        <v>237</v>
      </c>
      <c r="F58" s="14" t="e">
        <f t="shared" si="10"/>
        <v>#VALUE!</v>
      </c>
      <c r="G58" s="11"/>
      <c r="H58" s="17" t="e">
        <f t="shared" si="17"/>
        <v>#VALUE!</v>
      </c>
      <c r="I58" s="24">
        <f t="shared" si="17"/>
        <v>-57840</v>
      </c>
      <c r="M58">
        <v>23</v>
      </c>
      <c r="N58" t="s">
        <v>206</v>
      </c>
      <c r="O58" t="s">
        <v>207</v>
      </c>
      <c r="P58" s="12">
        <v>0.35223379629629631</v>
      </c>
      <c r="Q58" t="s">
        <v>208</v>
      </c>
      <c r="R58" s="13">
        <v>0.23402777777777781</v>
      </c>
      <c r="S58" s="13">
        <v>0.75277777777777777</v>
      </c>
      <c r="T58" s="13">
        <v>0.26180555555555557</v>
      </c>
      <c r="U58" s="13">
        <v>0.72499999999999998</v>
      </c>
      <c r="V58" s="13">
        <v>0.29097222222222224</v>
      </c>
      <c r="W58" s="13">
        <v>0.69652777777777775</v>
      </c>
      <c r="X58" t="s">
        <v>209</v>
      </c>
      <c r="Y58">
        <v>147.72900000000001</v>
      </c>
    </row>
    <row r="59" spans="1:25">
      <c r="A59" s="5">
        <f t="shared" si="11"/>
        <v>45985</v>
      </c>
      <c r="B59" s="14">
        <f t="shared" si="16"/>
        <v>0.31875000000000003</v>
      </c>
      <c r="C59" s="11">
        <f t="shared" si="16"/>
        <v>0.66875000000000007</v>
      </c>
      <c r="D59" s="15">
        <f t="shared" si="14"/>
        <v>123</v>
      </c>
      <c r="E59" s="16">
        <f t="shared" si="15"/>
        <v>236</v>
      </c>
      <c r="F59" s="14" t="e">
        <f t="shared" si="10"/>
        <v>#VALUE!</v>
      </c>
      <c r="G59" s="11"/>
      <c r="H59" s="17" t="e">
        <f t="shared" si="17"/>
        <v>#VALUE!</v>
      </c>
      <c r="I59" s="24">
        <f t="shared" si="17"/>
        <v>-57780</v>
      </c>
      <c r="M59">
        <v>24</v>
      </c>
      <c r="N59" t="s">
        <v>210</v>
      </c>
      <c r="O59" t="s">
        <v>211</v>
      </c>
      <c r="P59" s="12">
        <v>0.35042824074074069</v>
      </c>
      <c r="Q59" t="s">
        <v>212</v>
      </c>
      <c r="R59" s="13">
        <v>0.23472222222222219</v>
      </c>
      <c r="S59" s="13">
        <v>0.75277777777777777</v>
      </c>
      <c r="T59" s="13">
        <v>0.26250000000000001</v>
      </c>
      <c r="U59" s="13">
        <v>0.72499999999999998</v>
      </c>
      <c r="V59" s="13">
        <v>0.29166666666666669</v>
      </c>
      <c r="W59" s="13">
        <v>0.6958333333333333</v>
      </c>
      <c r="X59" t="s">
        <v>213</v>
      </c>
      <c r="Y59">
        <v>147.69999999999999</v>
      </c>
    </row>
    <row r="60" spans="1:25">
      <c r="A60" s="5">
        <f t="shared" si="11"/>
        <v>45986</v>
      </c>
      <c r="B60" s="14">
        <f t="shared" si="16"/>
        <v>0.31944444444444448</v>
      </c>
      <c r="C60" s="11">
        <f t="shared" si="16"/>
        <v>0.66805555555555562</v>
      </c>
      <c r="D60" s="15">
        <f t="shared" si="14"/>
        <v>124</v>
      </c>
      <c r="E60" s="16">
        <f t="shared" si="15"/>
        <v>236</v>
      </c>
      <c r="F60" s="14" t="e">
        <f t="shared" si="10"/>
        <v>#VALUE!</v>
      </c>
      <c r="G60" s="11"/>
      <c r="H60" s="17" t="e">
        <f t="shared" si="17"/>
        <v>#VALUE!</v>
      </c>
      <c r="I60" s="24">
        <f t="shared" si="17"/>
        <v>-57720.000000000007</v>
      </c>
      <c r="M60">
        <v>25</v>
      </c>
      <c r="N60" t="s">
        <v>214</v>
      </c>
      <c r="O60" t="s">
        <v>215</v>
      </c>
      <c r="P60" s="12">
        <v>0.34866898148148145</v>
      </c>
      <c r="Q60" t="s">
        <v>216</v>
      </c>
      <c r="R60" s="13">
        <v>0.23611111111111113</v>
      </c>
      <c r="S60" s="13">
        <v>0.75208333333333333</v>
      </c>
      <c r="T60" s="13">
        <v>0.2638888888888889</v>
      </c>
      <c r="U60" s="13">
        <v>0.72430555555555554</v>
      </c>
      <c r="V60" s="13">
        <v>0.29305555555555557</v>
      </c>
      <c r="W60" s="13">
        <v>0.69513888888888886</v>
      </c>
      <c r="X60" t="s">
        <v>217</v>
      </c>
      <c r="Y60">
        <v>147.672</v>
      </c>
    </row>
    <row r="61" spans="1:25">
      <c r="A61" s="5">
        <f t="shared" si="11"/>
        <v>45987</v>
      </c>
      <c r="B61" s="14">
        <f t="shared" si="16"/>
        <v>0.32083333333333336</v>
      </c>
      <c r="C61" s="11">
        <f t="shared" si="16"/>
        <v>0.66736111111111107</v>
      </c>
      <c r="D61" s="15">
        <f t="shared" si="14"/>
        <v>124</v>
      </c>
      <c r="E61" s="16">
        <f t="shared" si="15"/>
        <v>236</v>
      </c>
      <c r="F61" s="14" t="e">
        <f t="shared" si="10"/>
        <v>#VALUE!</v>
      </c>
      <c r="G61" s="11"/>
      <c r="H61" s="17" t="e">
        <f t="shared" si="17"/>
        <v>#VALUE!</v>
      </c>
      <c r="I61" s="24">
        <f t="shared" si="17"/>
        <v>-57660</v>
      </c>
      <c r="M61">
        <v>26</v>
      </c>
      <c r="N61" t="s">
        <v>218</v>
      </c>
      <c r="O61" t="s">
        <v>219</v>
      </c>
      <c r="P61" s="12">
        <v>0.34695601851851854</v>
      </c>
      <c r="Q61" t="s">
        <v>220</v>
      </c>
      <c r="R61" s="13">
        <v>0.23680555555555557</v>
      </c>
      <c r="S61" s="13">
        <v>0.75138888888888899</v>
      </c>
      <c r="T61" s="13">
        <v>0.26458333333333334</v>
      </c>
      <c r="U61" s="13">
        <v>0.72361111111111109</v>
      </c>
      <c r="V61" s="13">
        <v>0.29375000000000001</v>
      </c>
      <c r="W61" s="13">
        <v>0.69444444444444453</v>
      </c>
      <c r="X61" t="s">
        <v>221</v>
      </c>
      <c r="Y61">
        <v>147.64400000000001</v>
      </c>
    </row>
    <row r="62" spans="1:25">
      <c r="A62" s="5">
        <f t="shared" si="11"/>
        <v>45988</v>
      </c>
      <c r="B62" s="14">
        <f t="shared" si="16"/>
        <v>0.3215277777777778</v>
      </c>
      <c r="C62" s="11">
        <f t="shared" si="16"/>
        <v>0.66736111111111107</v>
      </c>
      <c r="D62" s="15">
        <f t="shared" si="14"/>
        <v>124</v>
      </c>
      <c r="E62" s="16">
        <f t="shared" si="15"/>
        <v>235</v>
      </c>
      <c r="F62" s="14" t="e">
        <f t="shared" si="10"/>
        <v>#VALUE!</v>
      </c>
      <c r="G62" s="11"/>
      <c r="H62" s="17" t="e">
        <f t="shared" si="17"/>
        <v>#VALUE!</v>
      </c>
      <c r="I62" s="24">
        <f t="shared" si="17"/>
        <v>-57660</v>
      </c>
      <c r="M62">
        <v>27</v>
      </c>
      <c r="N62" t="s">
        <v>222</v>
      </c>
      <c r="O62" t="s">
        <v>223</v>
      </c>
      <c r="P62" s="12">
        <v>0.34531249999999997</v>
      </c>
      <c r="Q62" t="s">
        <v>224</v>
      </c>
      <c r="R62" s="13">
        <v>0.23750000000000002</v>
      </c>
      <c r="S62" s="13">
        <v>0.75138888888888899</v>
      </c>
      <c r="T62" s="13">
        <v>0.26527777777777778</v>
      </c>
      <c r="U62" s="13">
        <v>0.72361111111111109</v>
      </c>
      <c r="V62" s="13">
        <v>0.2951388888888889</v>
      </c>
      <c r="W62" s="13">
        <v>0.69374999999999998</v>
      </c>
      <c r="X62" t="s">
        <v>225</v>
      </c>
      <c r="Y62">
        <v>147.61600000000001</v>
      </c>
    </row>
    <row r="63" spans="1:25">
      <c r="A63" s="5">
        <f t="shared" si="11"/>
        <v>45989</v>
      </c>
      <c r="B63" s="14">
        <f t="shared" si="16"/>
        <v>0.32291666666666669</v>
      </c>
      <c r="C63" s="11">
        <f t="shared" si="16"/>
        <v>0.66666666666666663</v>
      </c>
      <c r="D63" s="15">
        <f t="shared" si="14"/>
        <v>125</v>
      </c>
      <c r="E63" s="16">
        <f t="shared" si="15"/>
        <v>235</v>
      </c>
      <c r="F63" s="14" t="e">
        <f t="shared" si="10"/>
        <v>#VALUE!</v>
      </c>
      <c r="G63" s="11"/>
      <c r="H63" s="17" t="e">
        <f t="shared" si="17"/>
        <v>#VALUE!</v>
      </c>
      <c r="I63" s="24">
        <f t="shared" si="17"/>
        <v>-57600</v>
      </c>
      <c r="M63">
        <v>28</v>
      </c>
      <c r="N63" t="s">
        <v>226</v>
      </c>
      <c r="O63" t="s">
        <v>227</v>
      </c>
      <c r="P63" s="12">
        <v>0.34370370370370368</v>
      </c>
      <c r="Q63" t="s">
        <v>228</v>
      </c>
      <c r="R63" s="13">
        <v>0.23819444444444446</v>
      </c>
      <c r="S63" s="13">
        <v>0.75069444444444444</v>
      </c>
      <c r="T63" s="13">
        <v>0.26666666666666666</v>
      </c>
      <c r="U63" s="13">
        <v>0.72291666666666676</v>
      </c>
      <c r="V63" s="13">
        <v>0.29583333333333334</v>
      </c>
      <c r="W63" s="13">
        <v>0.69374999999999998</v>
      </c>
      <c r="X63" t="s">
        <v>229</v>
      </c>
      <c r="Y63">
        <v>147.589</v>
      </c>
    </row>
    <row r="64" spans="1:25">
      <c r="A64" s="5">
        <f t="shared" si="11"/>
        <v>45990</v>
      </c>
      <c r="B64" s="14">
        <f t="shared" si="16"/>
        <v>0.32361111111111113</v>
      </c>
      <c r="C64" s="11">
        <f t="shared" si="16"/>
        <v>0.66597222222222219</v>
      </c>
      <c r="D64" s="15">
        <f t="shared" si="14"/>
        <v>125</v>
      </c>
      <c r="E64" s="16">
        <f t="shared" si="15"/>
        <v>235</v>
      </c>
      <c r="F64" s="14" t="e">
        <f t="shared" si="10"/>
        <v>#VALUE!</v>
      </c>
      <c r="G64" s="11"/>
      <c r="H64" s="17" t="e">
        <f t="shared" si="17"/>
        <v>#VALUE!</v>
      </c>
      <c r="I64" s="24">
        <f t="shared" si="17"/>
        <v>-57540</v>
      </c>
      <c r="M64">
        <v>29</v>
      </c>
      <c r="N64" t="s">
        <v>230</v>
      </c>
      <c r="O64" t="s">
        <v>231</v>
      </c>
      <c r="P64" s="12">
        <v>0.34215277777777775</v>
      </c>
      <c r="Q64" t="s">
        <v>232</v>
      </c>
      <c r="R64" s="13">
        <v>0.23958333333333334</v>
      </c>
      <c r="S64" s="13">
        <v>0.75069444444444444</v>
      </c>
      <c r="T64" s="13">
        <v>0.2673611111111111</v>
      </c>
      <c r="U64" s="13">
        <v>0.72291666666666676</v>
      </c>
      <c r="V64" s="13">
        <v>0.29652777777777778</v>
      </c>
      <c r="W64" s="13">
        <v>0.69305555555555554</v>
      </c>
      <c r="X64" t="s">
        <v>233</v>
      </c>
      <c r="Y64">
        <v>147.56200000000001</v>
      </c>
    </row>
    <row r="65" spans="1:25">
      <c r="A65" s="5">
        <f t="shared" si="11"/>
        <v>45991</v>
      </c>
      <c r="B65" s="14">
        <f t="shared" si="16"/>
        <v>0.32500000000000001</v>
      </c>
      <c r="C65" s="11">
        <f t="shared" si="16"/>
        <v>0.66527777777777775</v>
      </c>
      <c r="D65" s="15">
        <f t="shared" si="14"/>
        <v>125</v>
      </c>
      <c r="E65" s="16">
        <f t="shared" si="15"/>
        <v>235</v>
      </c>
      <c r="F65" s="14" t="e">
        <f t="shared" si="10"/>
        <v>#VALUE!</v>
      </c>
      <c r="G65" s="11"/>
      <c r="H65" s="17" t="e">
        <f t="shared" si="17"/>
        <v>#VALUE!</v>
      </c>
      <c r="I65" s="24">
        <f t="shared" si="17"/>
        <v>-57479.999999999993</v>
      </c>
      <c r="M65">
        <v>30</v>
      </c>
      <c r="N65" t="s">
        <v>234</v>
      </c>
      <c r="O65" t="s">
        <v>235</v>
      </c>
      <c r="P65" s="12">
        <v>0.34065972222222224</v>
      </c>
      <c r="Q65" t="s">
        <v>236</v>
      </c>
      <c r="R65" s="13">
        <v>0.24027777777777778</v>
      </c>
      <c r="S65" s="13">
        <v>0.75</v>
      </c>
      <c r="T65" s="13">
        <v>0.26805555555555555</v>
      </c>
      <c r="U65" s="13">
        <v>0.72222222222222221</v>
      </c>
      <c r="V65" s="13">
        <v>0.29791666666666666</v>
      </c>
      <c r="W65" s="13">
        <v>0.69305555555555554</v>
      </c>
      <c r="X65" t="s">
        <v>237</v>
      </c>
      <c r="Y65">
        <v>147.53700000000001</v>
      </c>
    </row>
  </sheetData>
  <mergeCells count="4">
    <mergeCell ref="R1:S1"/>
    <mergeCell ref="T1:U1"/>
    <mergeCell ref="V1:W1"/>
    <mergeCell ref="X1:Y1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O22"/>
  <sheetViews>
    <sheetView workbookViewId="0">
      <selection activeCell="L18" sqref="L18"/>
    </sheetView>
  </sheetViews>
  <sheetFormatPr defaultRowHeight="15"/>
  <cols>
    <col min="1" max="1" width="12.28515625" bestFit="1" customWidth="1"/>
    <col min="2" max="2" width="15.85546875" bestFit="1" customWidth="1"/>
    <col min="3" max="3" width="12" bestFit="1" customWidth="1"/>
    <col min="5" max="5" width="17.42578125" bestFit="1" customWidth="1"/>
    <col min="6" max="7" width="14.28515625" bestFit="1" customWidth="1"/>
    <col min="8" max="8" width="8" bestFit="1" customWidth="1"/>
    <col min="10" max="10" width="17.85546875" bestFit="1" customWidth="1"/>
    <col min="11" max="12" width="9.5703125" bestFit="1" customWidth="1"/>
    <col min="13" max="13" width="9" bestFit="1" customWidth="1"/>
  </cols>
  <sheetData>
    <row r="1" spans="1:15" ht="15.75" thickBot="1">
      <c r="B1" s="25">
        <f>DATE(B3,B4,B5)</f>
        <v>45975</v>
      </c>
      <c r="K1">
        <f>VLOOKUP(K2,planetlookup,2,0)</f>
        <v>5</v>
      </c>
    </row>
    <row r="2" spans="1:15" ht="15.75" thickBot="1">
      <c r="A2" s="26" t="s">
        <v>238</v>
      </c>
      <c r="C2" t="s">
        <v>239</v>
      </c>
      <c r="J2" t="s">
        <v>262</v>
      </c>
      <c r="K2" s="39" t="s">
        <v>263</v>
      </c>
    </row>
    <row r="3" spans="1:15">
      <c r="A3" s="27" t="s">
        <v>240</v>
      </c>
      <c r="B3" s="28">
        <v>2025</v>
      </c>
      <c r="C3" s="29">
        <v>2018</v>
      </c>
      <c r="E3" t="s">
        <v>287</v>
      </c>
      <c r="F3" t="s">
        <v>257</v>
      </c>
      <c r="G3" t="s">
        <v>258</v>
      </c>
      <c r="H3" t="s">
        <v>286</v>
      </c>
      <c r="J3" t="s">
        <v>287</v>
      </c>
      <c r="K3" t="s">
        <v>257</v>
      </c>
      <c r="L3" t="s">
        <v>258</v>
      </c>
      <c r="M3" t="s">
        <v>286</v>
      </c>
    </row>
    <row r="4" spans="1:15">
      <c r="A4" s="30" t="s">
        <v>241</v>
      </c>
      <c r="B4" s="31">
        <v>11</v>
      </c>
      <c r="C4" s="32">
        <v>2</v>
      </c>
      <c r="E4" s="40" t="s">
        <v>252</v>
      </c>
      <c r="F4" s="43">
        <f>vbdays(B3,B4,B5,B6,B7,B8)</f>
        <v>9450.5006944444449</v>
      </c>
      <c r="G4" s="43">
        <f>days(B3,B4,B5,B6,B7,B8)</f>
        <v>9450.5006944444449</v>
      </c>
      <c r="H4" s="41">
        <f t="shared" ref="H4:H9" si="0">F4-G4</f>
        <v>0</v>
      </c>
      <c r="J4" s="40" t="s">
        <v>274</v>
      </c>
      <c r="K4" s="49">
        <f>vbmeananomaly(K1,$F$4)</f>
        <v>1.4851475462976502</v>
      </c>
      <c r="L4" s="49">
        <f>meananomaly(K1,$G$4)</f>
        <v>1.4851475462976502</v>
      </c>
      <c r="M4" s="41">
        <f t="shared" ref="M4:M11" si="1">K4-L4</f>
        <v>0</v>
      </c>
    </row>
    <row r="5" spans="1:15">
      <c r="A5" s="30" t="s">
        <v>242</v>
      </c>
      <c r="B5" s="31">
        <v>14</v>
      </c>
      <c r="C5" s="32">
        <v>25</v>
      </c>
      <c r="E5" s="40" t="s">
        <v>253</v>
      </c>
      <c r="F5" s="40">
        <f>vbjuliandate(B3,B4,B5,B6,B7,B8)</f>
        <v>2460994.0006944444</v>
      </c>
      <c r="G5" s="40">
        <f>juliandate(B3,B4,B5,B6,B7,B8)</f>
        <v>2460994.0006944444</v>
      </c>
      <c r="H5" s="41">
        <f t="shared" si="0"/>
        <v>0</v>
      </c>
      <c r="J5" s="40" t="s">
        <v>261</v>
      </c>
      <c r="K5" s="49">
        <f>vbEccentricity($K$1,$F$4)</f>
        <v>4.854023428760347E-2</v>
      </c>
      <c r="L5" s="49">
        <f>eccentricity(K1,$G$4)</f>
        <v>4.854023428760347E-2</v>
      </c>
      <c r="M5" s="41">
        <f t="shared" si="1"/>
        <v>0</v>
      </c>
    </row>
    <row r="6" spans="1:15">
      <c r="A6" s="30" t="s">
        <v>243</v>
      </c>
      <c r="B6" s="31">
        <v>12</v>
      </c>
      <c r="C6" s="32">
        <v>11</v>
      </c>
      <c r="E6" s="40" t="s">
        <v>254</v>
      </c>
      <c r="F6" s="44">
        <f>vblocalsiderealtime(B3,B4,B5,B6,B7,B8,long)/24</f>
        <v>0.64664166508681498</v>
      </c>
      <c r="G6" s="44">
        <f>localsiderealtime(B3,B4,B5,B6,B7,B8,long)/24</f>
        <v>0.64664166508681498</v>
      </c>
      <c r="H6" s="41">
        <f t="shared" si="0"/>
        <v>0</v>
      </c>
      <c r="J6" s="40" t="s">
        <v>275</v>
      </c>
      <c r="K6" s="49">
        <f>vbinclination(K1,$F$4)</f>
        <v>2.2715958630333589E-2</v>
      </c>
      <c r="L6" s="49">
        <f>Inclination(K1,$G$4)</f>
        <v>2.2715958630333589E-2</v>
      </c>
      <c r="M6" s="41">
        <f t="shared" si="1"/>
        <v>0</v>
      </c>
    </row>
    <row r="7" spans="1:15">
      <c r="A7" s="30" t="s">
        <v>244</v>
      </c>
      <c r="B7" s="31">
        <v>1</v>
      </c>
      <c r="C7" s="32">
        <v>22</v>
      </c>
      <c r="E7" s="45" t="s">
        <v>255</v>
      </c>
      <c r="F7" s="43">
        <f>vbastrodaysfromdt(DATE(B3,B4,B5)+TIME(B6,B7,B8))</f>
        <v>9450.5006944444449</v>
      </c>
      <c r="G7" s="40">
        <f>astrodaysfromdt(DATE(B3,B4,B5)+TIME(B6,B7,B8))</f>
        <v>9450.5006944444449</v>
      </c>
      <c r="H7" s="41">
        <f t="shared" si="0"/>
        <v>0</v>
      </c>
      <c r="J7" s="40" t="s">
        <v>276</v>
      </c>
      <c r="K7" s="49">
        <f>vbEccentricAnomaly(K4,K5)</f>
        <v>1.5336543030812242</v>
      </c>
      <c r="L7" s="49">
        <f>EccentricAnomaly(L4,L5)</f>
        <v>1.5336543030812242</v>
      </c>
      <c r="M7" s="41">
        <f t="shared" si="1"/>
        <v>0</v>
      </c>
    </row>
    <row r="8" spans="1:15" ht="15.75" thickBot="1">
      <c r="A8" s="30" t="s">
        <v>245</v>
      </c>
      <c r="B8" s="31">
        <v>0</v>
      </c>
      <c r="C8" s="33">
        <v>46</v>
      </c>
      <c r="E8" s="45" t="s">
        <v>256</v>
      </c>
      <c r="F8" s="44">
        <f>vblstfromdt(DATE(B3,B4,B5)+TIME(B6,B7,B8),long)/24</f>
        <v>0.64664166508681498</v>
      </c>
      <c r="G8" s="44">
        <f>lstfromdt(DATE(B3,B4,B5)+TIME(B6,B7,B8),long)/24</f>
        <v>0.64664166508681498</v>
      </c>
      <c r="H8" s="41">
        <f t="shared" si="0"/>
        <v>0</v>
      </c>
      <c r="J8" s="40" t="s">
        <v>279</v>
      </c>
      <c r="K8" s="49">
        <f>vbPlanTrueAnomaly(K1,F4)</f>
        <v>1.5822239226832915</v>
      </c>
      <c r="L8" s="49">
        <f>PlanTrueAnomaly(K1,G4)</f>
        <v>1.5822239226832917</v>
      </c>
      <c r="M8" s="41">
        <f t="shared" si="1"/>
        <v>0</v>
      </c>
    </row>
    <row r="9" spans="1:15">
      <c r="A9" s="30" t="s">
        <v>246</v>
      </c>
      <c r="B9" s="34">
        <v>10</v>
      </c>
      <c r="C9" t="s">
        <v>247</v>
      </c>
      <c r="E9" s="45" t="s">
        <v>259</v>
      </c>
      <c r="F9" s="46">
        <f>vbtoUnixTS(DATE(B3,B4,B5)+TIME(B6,B7,B8))/1000</f>
        <v>1763121660</v>
      </c>
      <c r="G9" s="46">
        <f>DtvalToUnixTS(DATE(B3,B4,B5)+TIME(B6,B7,B8))</f>
        <v>1763121660</v>
      </c>
      <c r="H9" s="41">
        <f t="shared" si="0"/>
        <v>0</v>
      </c>
      <c r="J9" s="40" t="s">
        <v>302</v>
      </c>
      <c r="K9" s="49">
        <f>vbPlanDist($K$1,F4)</f>
        <v>5.1931825518746804</v>
      </c>
      <c r="L9" s="49">
        <f>PlanDist($K$1,G4)</f>
        <v>5.1931825518746804</v>
      </c>
      <c r="M9" s="41">
        <f t="shared" si="1"/>
        <v>0</v>
      </c>
    </row>
    <row r="10" spans="1:15" ht="15.75" thickBot="1">
      <c r="A10" s="35" t="s">
        <v>248</v>
      </c>
      <c r="B10" s="36">
        <v>1010</v>
      </c>
      <c r="C10" t="s">
        <v>249</v>
      </c>
      <c r="E10" s="40" t="s">
        <v>277</v>
      </c>
      <c r="F10" s="40">
        <f>vbObliquityofEcliptic(F4)</f>
        <v>0.40903406560434097</v>
      </c>
      <c r="G10" s="40">
        <f>ObliquityofEcliptic(G4)</f>
        <v>0.40903406560434097</v>
      </c>
      <c r="H10" s="42">
        <f>F10-G10</f>
        <v>0</v>
      </c>
      <c r="J10" s="40" t="s">
        <v>288</v>
      </c>
      <c r="K10" s="47">
        <f>vbPlanetXYZ(K1,F4,6,F6,lat,temp,pres)/15/24</f>
        <v>0.3240861849334063</v>
      </c>
      <c r="L10" s="47">
        <f>PlanetXYZ(K1,F4,6,F6,lat,temp,pres)/15/24</f>
        <v>0.3240861849334063</v>
      </c>
      <c r="M10" s="41">
        <f t="shared" si="1"/>
        <v>0</v>
      </c>
    </row>
    <row r="11" spans="1:15">
      <c r="A11" s="37" t="s">
        <v>250</v>
      </c>
      <c r="B11" s="9">
        <f>51+52/60+58.11/3600</f>
        <v>51.882808333333337</v>
      </c>
      <c r="E11" s="40" t="s">
        <v>281</v>
      </c>
      <c r="F11" s="40">
        <f>vbPlanTrueAnomaly(0,F4)</f>
        <v>5.3928457179848834</v>
      </c>
      <c r="G11" s="40">
        <f>PlanTrueAnomaly(0,G4)</f>
        <v>5.3928457179848834</v>
      </c>
      <c r="H11" s="41">
        <f t="shared" ref="H11" si="2">F11-G11</f>
        <v>0</v>
      </c>
      <c r="J11" s="40" t="s">
        <v>289</v>
      </c>
      <c r="K11" s="49">
        <f>vbPlanetXYZ(K1,F4,7,F6,lat,temp,pres)</f>
        <v>21.294853638584105</v>
      </c>
      <c r="L11" s="49">
        <f>PlanetXYZ(K1,F4,7,F6,lat,temp,pres)</f>
        <v>21.294853638584105</v>
      </c>
      <c r="M11" s="41">
        <f t="shared" si="1"/>
        <v>0</v>
      </c>
      <c r="N11" t="str">
        <f t="shared" ref="N11:O13" si="3">convert_degree(K11)</f>
        <v>21° 17' 41"</v>
      </c>
      <c r="O11" t="str">
        <f t="shared" si="3"/>
        <v>21° 17' 41"</v>
      </c>
    </row>
    <row r="12" spans="1:15">
      <c r="A12" s="38" t="s">
        <v>251</v>
      </c>
      <c r="B12" s="16">
        <f>-(1+18/60+21.08/3600)</f>
        <v>-1.3058555555555555</v>
      </c>
      <c r="C12" s="16"/>
      <c r="E12" s="40" t="s">
        <v>280</v>
      </c>
      <c r="F12" s="40">
        <f>SunLongitude(F11,F4)</f>
        <v>10.338854997865504</v>
      </c>
      <c r="G12" s="40">
        <f>SunLongitude(G11,G4)</f>
        <v>10.338854997865504</v>
      </c>
      <c r="H12" s="41">
        <f>F12-G12</f>
        <v>0</v>
      </c>
      <c r="J12" s="40" t="s">
        <v>290</v>
      </c>
      <c r="K12" s="49">
        <f>vbPlanetXYZ(K1,F4,8,F6,lat,temp,pres)</f>
        <v>2.1524192466934884</v>
      </c>
      <c r="L12" s="49">
        <f>PlanetXYZ(K1,F4,8,F6,lat,temp,pres)</f>
        <v>2.1524192466934884</v>
      </c>
      <c r="M12" s="41">
        <f>K12-L12</f>
        <v>0</v>
      </c>
      <c r="N12" t="str">
        <f t="shared" si="3"/>
        <v>2° 9' 9"</v>
      </c>
      <c r="O12" t="str">
        <f t="shared" ref="O12:O13" si="4">convert_degree(L12)</f>
        <v>2° 9' 9"</v>
      </c>
    </row>
    <row r="13" spans="1:15">
      <c r="E13" s="40" t="s">
        <v>282</v>
      </c>
      <c r="F13" s="40">
        <f>vbsunra(F4)</f>
        <v>229.96399742440309</v>
      </c>
      <c r="G13" s="40">
        <f>sunra(F4)</f>
        <v>229.96399742440309</v>
      </c>
      <c r="H13" s="41">
        <f>F13-G13</f>
        <v>0</v>
      </c>
      <c r="J13" s="40" t="s">
        <v>291</v>
      </c>
      <c r="K13" s="49">
        <f>vbPlanetXYZ(K1,F4,9,F6,lat,temp,pres)</f>
        <v>303.17391548807063</v>
      </c>
      <c r="L13" s="49">
        <f>PlanetXYZ(K1,F4,9,F6,lat,temp,pres)</f>
        <v>303.17391548807063</v>
      </c>
      <c r="M13" s="41">
        <f>K13-L13</f>
        <v>0</v>
      </c>
      <c r="N13" t="str">
        <f t="shared" si="3"/>
        <v>303° 10' 26"</v>
      </c>
      <c r="O13" t="str">
        <f t="shared" si="4"/>
        <v>303° 10' 26"</v>
      </c>
    </row>
    <row r="14" spans="1:15">
      <c r="A14" s="40" t="s">
        <v>284</v>
      </c>
      <c r="B14" s="40">
        <v>10</v>
      </c>
      <c r="E14" s="40" t="s">
        <v>283</v>
      </c>
      <c r="F14" s="40">
        <f>vbsundec(F4)</f>
        <v>-18.360608549693232</v>
      </c>
      <c r="G14" s="40">
        <f>sundec(F4)</f>
        <v>-18.360608549693236</v>
      </c>
      <c r="H14" s="41">
        <f>F14-G14</f>
        <v>0</v>
      </c>
      <c r="J14" s="40" t="s">
        <v>303</v>
      </c>
      <c r="K14" s="49">
        <f>vbPlanetXYZ(K1,F4,10,F6,lat,temp,pres)</f>
        <v>4.6595850690223246</v>
      </c>
      <c r="L14" s="49">
        <f>PlanetXYZ(K1,F4,10,F6,lat,temp,pres)</f>
        <v>4.6595850690223255</v>
      </c>
      <c r="M14" s="41">
        <f t="shared" ref="M14:M17" si="5">K14-L14</f>
        <v>0</v>
      </c>
      <c r="N14" s="48"/>
      <c r="O14" s="48"/>
    </row>
    <row r="15" spans="1:15">
      <c r="A15" s="40" t="s">
        <v>285</v>
      </c>
      <c r="B15" s="40">
        <v>1010</v>
      </c>
      <c r="E15" s="40" t="s">
        <v>278</v>
      </c>
      <c r="F15" s="40">
        <f>vbPrecessionCorr(2000,F4)</f>
        <v>-0.36138147625513889</v>
      </c>
      <c r="G15" s="40">
        <f>PrecessionCorr(2000,G4)</f>
        <v>-0.36138147625513889</v>
      </c>
      <c r="H15" s="41">
        <f t="shared" ref="H15" si="6">F15-G15</f>
        <v>0</v>
      </c>
      <c r="J15" s="40" t="s">
        <v>292</v>
      </c>
      <c r="K15" s="49">
        <f>vbVisualMagnitude(K1,F4)</f>
        <v>-2.1950846967374527</v>
      </c>
      <c r="L15" s="49">
        <f>VisualMagnitude(K1,G4)</f>
        <v>-2.1950846967374527</v>
      </c>
      <c r="M15" s="41">
        <f t="shared" si="5"/>
        <v>0</v>
      </c>
    </row>
    <row r="16" spans="1:15">
      <c r="A16" s="40" t="s">
        <v>297</v>
      </c>
      <c r="B16" s="40">
        <v>-0.83333299999999999</v>
      </c>
      <c r="E16" s="40" t="s">
        <v>10</v>
      </c>
      <c r="F16" s="47">
        <f>vbriseset(0,B1, lat, long,1,hval)/24</f>
        <v>0.30852218822999417</v>
      </c>
      <c r="G16" s="47">
        <f>riseset(0,B1, lat, long,1,hval,temp,pres)/24</f>
        <v>0.30852218822999417</v>
      </c>
      <c r="H16" s="41">
        <f>F16-G16</f>
        <v>0</v>
      </c>
      <c r="J16" s="40" t="s">
        <v>293</v>
      </c>
      <c r="K16" s="49">
        <f>vbApparentSize(K1,F4)</f>
        <v>42.136799112285786</v>
      </c>
      <c r="L16" s="49">
        <f>ApparentSize(K1,G4)</f>
        <v>42.136799112285779</v>
      </c>
      <c r="M16" s="41">
        <f>K16-L16</f>
        <v>0</v>
      </c>
    </row>
    <row r="17" spans="5:15">
      <c r="E17" s="40" t="s">
        <v>11</v>
      </c>
      <c r="F17" s="47">
        <f>vbriseset(0,B1, lat, long,2,hval)/24</f>
        <v>0.67715247759732</v>
      </c>
      <c r="G17" s="47">
        <f>riseset(0,B1, lat, long,2,hval,temp,pres)/24</f>
        <v>0.67715247759732</v>
      </c>
      <c r="H17" s="41">
        <f>F17-G17</f>
        <v>0</v>
      </c>
      <c r="J17" s="40" t="s">
        <v>294</v>
      </c>
      <c r="K17" s="47">
        <f>vbTimeofTransit(K1,B1, lat, long)/24</f>
        <v>0.17952927686794343</v>
      </c>
      <c r="L17" s="47">
        <f>TimeofTransit(K1,B1, lat, long)/24</f>
        <v>0.17952927686794343</v>
      </c>
      <c r="M17" s="41">
        <f t="shared" si="5"/>
        <v>0</v>
      </c>
    </row>
    <row r="18" spans="5:15">
      <c r="E18" s="40" t="s">
        <v>300</v>
      </c>
      <c r="F18" s="49">
        <f>vbAzFromRADec(F6,F13,F14,lat,"a",temp,pres)</f>
        <v>19.759567744725214</v>
      </c>
      <c r="G18" s="49">
        <f>AzFromRADec(F6,F13,F14,lat,CODE("a"),temp,pres)</f>
        <v>19.759567744725214</v>
      </c>
      <c r="H18" s="41">
        <f>F18-G18</f>
        <v>0</v>
      </c>
      <c r="J18" s="40" t="s">
        <v>313</v>
      </c>
      <c r="K18" s="47"/>
      <c r="L18" s="71">
        <f>AltAtTransit(planetno,B1, lat, long, temp, pres)</f>
        <v>59.417870162386357</v>
      </c>
      <c r="M18" s="41"/>
      <c r="N18" t="str">
        <f>convert_degree(L18)</f>
        <v>59° 25' 4"</v>
      </c>
    </row>
    <row r="19" spans="5:15">
      <c r="E19" s="40" t="s">
        <v>301</v>
      </c>
      <c r="F19" s="49">
        <f>vbAzFromRADec(F6,F13,F14,lat,"z",temp,pres)</f>
        <v>182.85014364421821</v>
      </c>
      <c r="G19" s="49">
        <f>AzFromRADec(F6,F13,F14,lat,CODE("z"),temp,pres)</f>
        <v>182.85014364421821</v>
      </c>
      <c r="H19" s="41">
        <f>F19-G19</f>
        <v>0</v>
      </c>
      <c r="J19" s="40" t="s">
        <v>295</v>
      </c>
      <c r="K19" s="47">
        <f>vbriseset(K1,B1, lat, long,1,hval)/24</f>
        <v>0.84302758709494796</v>
      </c>
      <c r="L19" s="47">
        <f>riseset(planetno,B1, lat, long,1,hval, temp, pres)/24</f>
        <v>0.84302758709494796</v>
      </c>
      <c r="M19" s="41">
        <f>K19-L19</f>
        <v>0</v>
      </c>
    </row>
    <row r="20" spans="5:15">
      <c r="J20" s="40" t="s">
        <v>296</v>
      </c>
      <c r="K20" s="47">
        <f>vbriseset(K1,B1, lat, long,2,hval)/24</f>
        <v>0.51603096664093895</v>
      </c>
      <c r="L20" s="47">
        <f>riseset(planetno,B1, lat, long,2,hval,temp, pres)/24</f>
        <v>0.51603096664093895</v>
      </c>
      <c r="M20" s="41">
        <f>K20-L20</f>
        <v>0</v>
      </c>
    </row>
    <row r="21" spans="5:15">
      <c r="J21" s="40" t="s">
        <v>298</v>
      </c>
      <c r="K21" s="49">
        <f>vbIsVisible(K1,B1, lat, long,1,"a")</f>
        <v>59.41713478769536</v>
      </c>
      <c r="L21" s="49">
        <f>IsVisible(K1,B1, lat, long,1,1, temp, pres)</f>
        <v>59.417870162386357</v>
      </c>
      <c r="M21" s="41">
        <f>K21-L21</f>
        <v>-7.3537469099704822E-4</v>
      </c>
      <c r="N21" t="str">
        <f>convert_degree(K21)</f>
        <v>59° 25' 2"</v>
      </c>
      <c r="O21" t="str">
        <f>convert_degree(L21)</f>
        <v>59° 25' 4"</v>
      </c>
    </row>
    <row r="22" spans="5:15">
      <c r="J22" s="40" t="s">
        <v>299</v>
      </c>
      <c r="K22" s="47">
        <f>vbIsVisible(K1,B1, lat, long,1,"t")</f>
        <v>0.17952927686794343</v>
      </c>
      <c r="L22" s="47">
        <f>IsVisible(K1,B1, lat, long,1,2, temp, pres)</f>
        <v>0.17952927686794343</v>
      </c>
      <c r="M22" s="41">
        <f>K22-L22</f>
        <v>0</v>
      </c>
    </row>
  </sheetData>
  <conditionalFormatting sqref="H4:H19 M4:M22">
    <cfRule type="cellIs" dxfId="12" priority="16" operator="lessThan">
      <formula>-0.000000001</formula>
    </cfRule>
    <cfRule type="cellIs" dxfId="11" priority="17" operator="greaterThan">
      <formula>1000000000</formula>
    </cfRule>
    <cfRule type="cellIs" dxfId="10" priority="18" operator="between">
      <formula>-0.000000001</formula>
      <formula>1000000000</formula>
    </cfRule>
  </conditionalFormatting>
  <dataValidations disablePrompts="1" count="1">
    <dataValidation type="list" allowBlank="1" showInputMessage="1" showErrorMessage="1" sqref="K2">
      <formula1>Sheet2!$C$4:$C$14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C3:D14"/>
  <sheetViews>
    <sheetView workbookViewId="0">
      <selection activeCell="C1" sqref="C1:D2"/>
    </sheetView>
  </sheetViews>
  <sheetFormatPr defaultRowHeight="15"/>
  <sheetData>
    <row r="3" spans="3:4" ht="15.75" thickBot="1">
      <c r="C3" t="s">
        <v>264</v>
      </c>
    </row>
    <row r="4" spans="3:4">
      <c r="C4" s="37" t="s">
        <v>265</v>
      </c>
      <c r="D4" s="9">
        <v>0</v>
      </c>
    </row>
    <row r="5" spans="3:4">
      <c r="C5" s="38" t="s">
        <v>260</v>
      </c>
      <c r="D5" s="16">
        <v>1</v>
      </c>
    </row>
    <row r="6" spans="3:4">
      <c r="C6" s="38" t="s">
        <v>266</v>
      </c>
      <c r="D6" s="16">
        <v>2</v>
      </c>
    </row>
    <row r="7" spans="3:4">
      <c r="C7" s="38" t="s">
        <v>267</v>
      </c>
      <c r="D7" s="16">
        <v>3</v>
      </c>
    </row>
    <row r="8" spans="3:4">
      <c r="C8" s="38" t="s">
        <v>268</v>
      </c>
      <c r="D8" s="16">
        <v>4</v>
      </c>
    </row>
    <row r="9" spans="3:4">
      <c r="C9" s="38" t="s">
        <v>263</v>
      </c>
      <c r="D9" s="16">
        <v>5</v>
      </c>
    </row>
    <row r="10" spans="3:4">
      <c r="C10" s="38" t="s">
        <v>269</v>
      </c>
      <c r="D10" s="16">
        <v>6</v>
      </c>
    </row>
    <row r="11" spans="3:4">
      <c r="C11" s="38" t="s">
        <v>270</v>
      </c>
      <c r="D11" s="16">
        <v>7</v>
      </c>
    </row>
    <row r="12" spans="3:4">
      <c r="C12" s="38" t="s">
        <v>271</v>
      </c>
      <c r="D12" s="16">
        <v>8</v>
      </c>
    </row>
    <row r="13" spans="3:4">
      <c r="C13" s="38" t="s">
        <v>272</v>
      </c>
      <c r="D13" s="16">
        <v>9</v>
      </c>
    </row>
    <row r="14" spans="3:4">
      <c r="C14" s="38" t="s">
        <v>273</v>
      </c>
      <c r="D14" s="16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G48"/>
  <sheetViews>
    <sheetView tabSelected="1" workbookViewId="0">
      <selection activeCell="C2" sqref="C2"/>
    </sheetView>
  </sheetViews>
  <sheetFormatPr defaultRowHeight="15"/>
  <cols>
    <col min="1" max="1" width="21.85546875" bestFit="1" customWidth="1"/>
    <col min="2" max="2" width="16.28515625" customWidth="1"/>
    <col min="3" max="3" width="18.140625" style="50" customWidth="1"/>
    <col min="4" max="5" width="12.140625" bestFit="1" customWidth="1"/>
    <col min="6" max="6" width="19.42578125" customWidth="1"/>
    <col min="7" max="7" width="12.140625" bestFit="1" customWidth="1"/>
    <col min="9" max="10" width="12" bestFit="1" customWidth="1"/>
  </cols>
  <sheetData>
    <row r="1" spans="1:6" ht="28.5">
      <c r="A1" s="73" t="s">
        <v>304</v>
      </c>
      <c r="B1" s="73"/>
      <c r="C1" s="73"/>
      <c r="D1" s="73"/>
      <c r="E1" s="73"/>
      <c r="F1" s="73"/>
    </row>
    <row r="2" spans="1:6">
      <c r="A2" t="s">
        <v>305</v>
      </c>
      <c r="B2">
        <v>58</v>
      </c>
    </row>
    <row r="3" spans="1:6">
      <c r="A3" t="s">
        <v>306</v>
      </c>
      <c r="B3" s="51">
        <f>lat</f>
        <v>51.882808333333337</v>
      </c>
    </row>
    <row r="4" spans="1:6">
      <c r="A4" t="s">
        <v>307</v>
      </c>
      <c r="B4" s="51">
        <f>long</f>
        <v>-1.3058555555555555</v>
      </c>
      <c r="D4">
        <v>1</v>
      </c>
      <c r="E4">
        <v>2</v>
      </c>
    </row>
    <row r="5" spans="1:6">
      <c r="A5" s="58" t="s">
        <v>4</v>
      </c>
      <c r="B5" s="59" t="s">
        <v>312</v>
      </c>
      <c r="C5" s="60" t="s">
        <v>311</v>
      </c>
      <c r="D5" s="61" t="s">
        <v>308</v>
      </c>
      <c r="E5" s="62" t="s">
        <v>309</v>
      </c>
      <c r="F5" s="63" t="s">
        <v>310</v>
      </c>
    </row>
    <row r="6" spans="1:6">
      <c r="A6" s="56">
        <v>43235</v>
      </c>
      <c r="B6" s="52">
        <f>TimeofTransit(0,A6, $B$3, $B$4)/24</f>
        <v>0.5011018203040748</v>
      </c>
      <c r="C6" s="53">
        <f t="shared" ref="C6:C31" si="0">AltAtTransit(0,A6, $B$3,$B$4, 10,1010)</f>
        <v>57.04900033474847</v>
      </c>
      <c r="D6" s="54" t="str">
        <f>IF(SunRiseSet($A6,$B$3, $B$4, D$4,$B$2,temp,pres)&lt;0,"Not possible",SunRiseSet($A6,$B$3, $B$4, D$4,$B$2,temp,pres)/24)</f>
        <v>Not possible</v>
      </c>
      <c r="E6" s="55" t="str">
        <f>IF(SunRiseSet($A6,$B$3, $B$4, E$4,$B$2,temp,pres)&lt;0,"Not possible",SunRiseSet($A6,$B$3, $B$4, E$4,$B$2,temp,pres)/24)</f>
        <v>Not possible</v>
      </c>
      <c r="F6" s="57" t="str">
        <f>IF(LEFT(D6,3)="Not","",E6-D6)</f>
        <v/>
      </c>
    </row>
    <row r="7" spans="1:6">
      <c r="A7" s="56">
        <f>A6+3</f>
        <v>43238</v>
      </c>
      <c r="B7" s="52">
        <f>TimeofTransit(0,A7, $B$3, $B$4)/24</f>
        <v>0.50114797901898822</v>
      </c>
      <c r="C7" s="53">
        <f>AltAtTransit(0,A7, $B$3,$B$4, 10,1010)</f>
        <v>57.728671813533239</v>
      </c>
      <c r="D7" s="54" t="str">
        <f>IF(SunRiseSet($A7,$B$3, $B$4, D$4,$B$2,temp,pres)&lt;0,"Not possible",SunRiseSet($A7,$B$3, $B$4, D$4,$B$2,temp,pres)/24)</f>
        <v>Not possible</v>
      </c>
      <c r="E7" s="55" t="str">
        <f>IF(SunRiseSet($A7,$B$3, $B$4, E$4,$B$2,temp,pres)&lt;0,"Not possible",SunRiseSet($A7,$B$3, $B$4, E$4,$B$2,temp,pres)/24)</f>
        <v>Not possible</v>
      </c>
      <c r="F7" s="57" t="str">
        <f t="shared" ref="F7:F31" si="1">IF(LEFT(D7,3)="Not","",E7-D7)</f>
        <v/>
      </c>
    </row>
    <row r="8" spans="1:6">
      <c r="A8" s="56">
        <f t="shared" ref="A8:A31" si="2">A7+3</f>
        <v>43241</v>
      </c>
      <c r="B8" s="52">
        <f>TimeofTransit(0,A8, $B$3, $B$4)/24</f>
        <v>0.50125183863695666</v>
      </c>
      <c r="C8" s="53">
        <f>AltAtTransit(0,A8, $B$3,$B$4, 10,1010)</f>
        <v>58.35835289386246</v>
      </c>
      <c r="D8" s="54">
        <f>IF(SunRiseSet($A8,$B$3, $B$4, D$4,$B$2,temp,pres)&lt;0,"Not possible",SunRiseSet($A8,$B$3, $B$4, D$4,$B$2,temp,pres)/24)</f>
        <v>0.48451509831431255</v>
      </c>
      <c r="E8" s="55">
        <f>IF(SunRiseSet($A8,$B$3, $B$4, E$4,$B$2,temp,pres)&lt;0,"Not possible",SunRiseSet($A8,$B$3, $B$4, E$4,$B$2,temp,pres)/24)</f>
        <v>0.51801526106692142</v>
      </c>
      <c r="F8" s="57">
        <f t="shared" si="1"/>
        <v>3.3500162752608864E-2</v>
      </c>
    </row>
    <row r="9" spans="1:6">
      <c r="A9" s="56">
        <f t="shared" si="2"/>
        <v>43244</v>
      </c>
      <c r="B9" s="52">
        <f>TimeofTransit(0,A9, $B$3, $B$4)/24</f>
        <v>0.50141133167888452</v>
      </c>
      <c r="C9" s="53">
        <f>AltAtTransit(0,A9, $B$3,$B$4, 10,1010)</f>
        <v>58.936133427887718</v>
      </c>
      <c r="D9" s="54">
        <f>IF(SunRiseSet($A9,$B$3, $B$4, D$4,$B$2,temp,pres)&lt;0,"Not possible",SunRiseSet($A9,$B$3, $B$4, D$4,$B$2,temp,pres)/24)</f>
        <v>0.47420080382483304</v>
      </c>
      <c r="E9" s="55">
        <f>IF(SunRiseSet($A9,$B$3, $B$4, E$4,$B$2,temp,pres)&lt;0,"Not possible",SunRiseSet($A9,$B$3, $B$4, E$4,$B$2,temp,pres)/24)</f>
        <v>0.52866657734119671</v>
      </c>
      <c r="F9" s="57">
        <f t="shared" si="1"/>
        <v>5.4465773516363669E-2</v>
      </c>
    </row>
    <row r="10" spans="1:6">
      <c r="A10" s="56">
        <f t="shared" si="2"/>
        <v>43247</v>
      </c>
      <c r="B10" s="52">
        <f t="shared" ref="B6:B12" si="3">TimeofTransit(0,A10, $B$3, $B$4)/24</f>
        <v>0.50162363217678607</v>
      </c>
      <c r="C10" s="53">
        <f>AltAtTransit(0,A10, $B$3,$B$4, 10,1010)</f>
        <v>59.4602351640672</v>
      </c>
      <c r="D10" s="54">
        <f>IF(SunRiseSet($A10,$B$3, $B$4, D$4,$B$2,temp,pres)&lt;0,"Not possible",SunRiseSet($A10,$B$3, $B$4, D$4,$B$2,temp,pres)/24)</f>
        <v>0.46763149863279946</v>
      </c>
      <c r="E10" s="55">
        <f>IF(SunRiseSet($A10,$B$3, $B$4, E$4,$B$2,temp,pres)&lt;0,"Not possible",SunRiseSet($A10,$B$3, $B$4, E$4,$B$2,temp,pres)/24)</f>
        <v>0.53567743123565426</v>
      </c>
      <c r="F10" s="57">
        <f t="shared" si="1"/>
        <v>6.8045932602854797E-2</v>
      </c>
    </row>
    <row r="11" spans="1:6">
      <c r="A11" s="56">
        <f t="shared" si="2"/>
        <v>43250</v>
      </c>
      <c r="B11" s="52">
        <f t="shared" si="3"/>
        <v>0.50188516903328284</v>
      </c>
      <c r="C11" s="53">
        <f>AltAtTransit(0,A11, $B$3,$B$4, 10,1010)</f>
        <v>59.929001736711122</v>
      </c>
      <c r="D11" s="54">
        <f>IF(SunRiseSet($A11,$B$3, $B$4, D$4,$B$2,temp,pres)&lt;0,"Not possible",SunRiseSet($A11,$B$3, $B$4, D$4,$B$2,temp,pres)/24)</f>
        <v>0.46283738375401978</v>
      </c>
      <c r="E11" s="55">
        <f>IF(SunRiseSet($A11,$B$3, $B$4, E$4,$B$2,temp,pres)&lt;0,"Not possible",SunRiseSet($A11,$B$3, $B$4, E$4,$B$2,temp,pres)/24)</f>
        <v>0.54101023568910633</v>
      </c>
      <c r="F11" s="57">
        <f t="shared" si="1"/>
        <v>7.8172851935086551E-2</v>
      </c>
    </row>
    <row r="12" spans="1:6">
      <c r="A12" s="56">
        <f t="shared" si="2"/>
        <v>43253</v>
      </c>
      <c r="B12" s="52">
        <f t="shared" si="3"/>
        <v>0.50219165329446913</v>
      </c>
      <c r="C12" s="53">
        <f>AltAtTransit(0,A12, $B$3,$B$4, 10,1010)</f>
        <v>60.340944745431059</v>
      </c>
      <c r="D12" s="54">
        <f>IF(SunRiseSet($A12,$B$3, $B$4, D$4,$B$2,temp,pres)&lt;0,"Not possible",SunRiseSet($A12,$B$3, $B$4, D$4,$B$2,temp,pres)/24)</f>
        <v>0.45920663016647617</v>
      </c>
      <c r="E12" s="55">
        <f>IF(SunRiseSet($A12,$B$3, $B$4, E$4,$B$2,temp,pres)&lt;0,"Not possible",SunRiseSet($A12,$B$3, $B$4, E$4,$B$2,temp,pres)/24)</f>
        <v>0.5452680098749797</v>
      </c>
      <c r="F12" s="57">
        <f t="shared" si="1"/>
        <v>8.6061379708503527E-2</v>
      </c>
    </row>
    <row r="13" spans="1:6">
      <c r="A13" s="56">
        <f t="shared" si="2"/>
        <v>43256</v>
      </c>
      <c r="B13" s="52">
        <f t="shared" ref="B13:B31" si="4">TimeofTransit(0,A13, $B$3, $B$4)/24</f>
        <v>0.50253812004645493</v>
      </c>
      <c r="C13" s="53">
        <f t="shared" si="0"/>
        <v>60.694729570602142</v>
      </c>
      <c r="D13" s="54">
        <f>IF(SunRiseSet($A13,$B$3, $B$4, D$4,$B$2,temp,pres)&lt;0,"Not possible",SunRiseSet($A13,$B$3, $B$4, D$4,$B$2,temp,pres)/24)</f>
        <v>0.45645148411056641</v>
      </c>
      <c r="E13" s="55">
        <f>IF(SunRiseSet($A13,$B$3, $B$4, E$4,$B$2,temp,pres)&lt;0,"Not possible",SunRiseSet($A13,$B$3, $B$4, E$4,$B$2,temp,pres)/24)</f>
        <v>0.54872836263881031</v>
      </c>
      <c r="F13" s="57">
        <f t="shared" si="1"/>
        <v>9.22768785282439E-2</v>
      </c>
    </row>
    <row r="14" spans="1:6">
      <c r="A14" s="56">
        <f t="shared" si="2"/>
        <v>43259</v>
      </c>
      <c r="B14" s="52">
        <f t="shared" si="4"/>
        <v>0.50291898514423627</v>
      </c>
      <c r="C14" s="53">
        <f t="shared" si="0"/>
        <v>60.98920797534894</v>
      </c>
      <c r="D14" s="54">
        <f>IF(SunRiseSet($A14,$B$3, $B$4, D$4,$B$2,temp,pres)&lt;0,"Not possible",SunRiseSet($A14,$B$3, $B$4, D$4,$B$2,temp,pres)/24)</f>
        <v>0.45440964420980606</v>
      </c>
      <c r="E14" s="55">
        <f>IF(SunRiseSet($A14,$B$3, $B$4, E$4,$B$2,temp,pres)&lt;0,"Not possible",SunRiseSet($A14,$B$3, $B$4, E$4,$B$2,temp,pres)/24)</f>
        <v>0.55154223374088063</v>
      </c>
      <c r="F14" s="57">
        <f t="shared" si="1"/>
        <v>9.7132589531074565E-2</v>
      </c>
    </row>
    <row r="15" spans="1:6">
      <c r="A15" s="56">
        <f t="shared" si="2"/>
        <v>43262</v>
      </c>
      <c r="B15" s="52">
        <f t="shared" si="4"/>
        <v>0.50332811640701558</v>
      </c>
      <c r="C15" s="53">
        <f t="shared" si="0"/>
        <v>61.223420792268819</v>
      </c>
      <c r="D15" s="54">
        <f>IF(SunRiseSet($A15,$B$3, $B$4, D$4,$B$2,temp,pres)&lt;0,"Not possible",SunRiseSet($A15,$B$3, $B$4, D$4,$B$2,temp,pres)/24)</f>
        <v>0.45297988528505712</v>
      </c>
      <c r="E15" s="55">
        <f>IF(SunRiseSet($A15,$B$3, $B$4, E$4,$B$2,temp,pres)&lt;0,"Not possible",SunRiseSet($A15,$B$3, $B$4, E$4,$B$2,temp,pres)/24)</f>
        <v>0.55379841709764932</v>
      </c>
      <c r="F15" s="57">
        <f t="shared" si="1"/>
        <v>0.1008185318125922</v>
      </c>
    </row>
    <row r="16" spans="1:6">
      <c r="A16" s="56">
        <f t="shared" si="2"/>
        <v>43265</v>
      </c>
      <c r="B16" s="52">
        <f t="shared" si="4"/>
        <v>0.50375891829806363</v>
      </c>
      <c r="C16" s="53">
        <f t="shared" si="0"/>
        <v>61.396614546988374</v>
      </c>
      <c r="D16" s="54">
        <f>IF(SunRiseSet($A16,$B$3, $B$4, D$4,$B$2,temp,pres)&lt;0,"Not possible",SunRiseSet($A16,$B$3, $B$4, D$4,$B$2,temp,pres)/24)</f>
        <v>0.45209546999274569</v>
      </c>
      <c r="E16" s="55">
        <f>IF(SunRiseSet($A16,$B$3, $B$4, E$4,$B$2,temp,pres)&lt;0,"Not possible",SunRiseSet($A16,$B$3, $B$4, E$4,$B$2,temp,pres)/24)</f>
        <v>0.5555503227195987</v>
      </c>
      <c r="F16" s="57">
        <f t="shared" si="1"/>
        <v>0.10345485272685301</v>
      </c>
    </row>
    <row r="17" spans="1:7">
      <c r="A17" s="56">
        <f t="shared" si="2"/>
        <v>43268</v>
      </c>
      <c r="B17" s="52">
        <f t="shared" si="4"/>
        <v>0.50420442848866476</v>
      </c>
      <c r="C17" s="53">
        <f t="shared" si="0"/>
        <v>61.508246744200967</v>
      </c>
      <c r="D17" s="54">
        <f>IF(SunRiseSet($A17,$B$3, $B$4, D$4,$B$2,temp,pres)&lt;0,"Not possible",SunRiseSet($A17,$B$3, $B$4, D$4,$B$2,temp,pres)/24)</f>
        <v>0.45171155703957327</v>
      </c>
      <c r="E17" s="55">
        <f>IF(SunRiseSet($A17,$B$3, $B$4, E$4,$B$2,temp,pres)&lt;0,"Not possible",SunRiseSet($A17,$B$3, $B$4, E$4,$B$2,temp,pres)/24)</f>
        <v>0.55682876519144164</v>
      </c>
      <c r="F17" s="57">
        <f t="shared" si="1"/>
        <v>0.10511720815186837</v>
      </c>
    </row>
    <row r="18" spans="1:7">
      <c r="A18" s="56">
        <f t="shared" si="2"/>
        <v>43271</v>
      </c>
      <c r="B18" s="52">
        <f t="shared" si="4"/>
        <v>0.50465742412814407</v>
      </c>
      <c r="C18" s="53">
        <f t="shared" si="0"/>
        <v>61.557986707946824</v>
      </c>
      <c r="D18" s="54">
        <f>IF(SunRiseSet($A18,$B$3, $B$4, D$4,$B$2,temp,pres)&lt;0,"Not possible",SunRiseSet($A18,$B$3, $B$4, D$4,$B$2,temp,pres)/24)</f>
        <v>0.45179882754232242</v>
      </c>
      <c r="E18" s="55">
        <f>IF(SunRiseSet($A18,$B$3, $B$4, E$4,$B$2,temp,pres)&lt;0,"Not possible",SunRiseSet($A18,$B$3, $B$4, E$4,$B$2,temp,pres)/24)</f>
        <v>0.55764855259178325</v>
      </c>
      <c r="F18" s="57">
        <f t="shared" si="1"/>
        <v>0.10584972504946083</v>
      </c>
    </row>
    <row r="19" spans="1:7">
      <c r="A19" s="56">
        <f t="shared" si="2"/>
        <v>43274</v>
      </c>
      <c r="B19" s="52">
        <f t="shared" si="4"/>
        <v>0.50511053514927529</v>
      </c>
      <c r="C19" s="53">
        <f t="shared" si="0"/>
        <v>61.545730468294785</v>
      </c>
      <c r="D19" s="54">
        <f>IF(SunRiseSet($A19,$B$3, $B$4, D$4,$B$2,temp,pres)&lt;0,"Not possible",SunRiseSet($A19,$B$3, $B$4, D$4,$B$2,temp,pres)/24)</f>
        <v>0.45234033060147105</v>
      </c>
      <c r="E19" s="55">
        <f>IF(SunRiseSet($A19,$B$3, $B$4, E$4,$B$2,temp,pres)&lt;0,"Not possible",SunRiseSet($A19,$B$3, $B$4, E$4,$B$2,temp,pres)/24)</f>
        <v>0.55801186930015456</v>
      </c>
      <c r="F19" s="57">
        <f t="shared" si="1"/>
        <v>0.10567153869868351</v>
      </c>
    </row>
    <row r="20" spans="1:7">
      <c r="A20" s="56">
        <f t="shared" si="2"/>
        <v>43277</v>
      </c>
      <c r="B20" s="52">
        <f t="shared" si="4"/>
        <v>0.505556361570077</v>
      </c>
      <c r="C20" s="53">
        <f t="shared" si="0"/>
        <v>61.471595471287699</v>
      </c>
      <c r="D20" s="54">
        <f>IF(SunRiseSet($A20,$B$3, $B$4, D$4,$B$2,temp,pres)&lt;0,"Not possible",SunRiseSet($A20,$B$3, $B$4, D$4,$B$2,temp,pres)/24)</f>
        <v>0.4533303092221434</v>
      </c>
      <c r="E20" s="55">
        <f>IF(SunRiseSet($A20,$B$3, $B$4, E$4,$B$2,temp,pres)&lt;0,"Not possible",SunRiseSet($A20,$B$3, $B$4, E$4,$B$2,temp,pres)/24)</f>
        <v>0.55790968538597951</v>
      </c>
      <c r="F20" s="57">
        <f t="shared" si="1"/>
        <v>0.10457937616383611</v>
      </c>
    </row>
    <row r="21" spans="1:7">
      <c r="A21" s="56">
        <f t="shared" si="2"/>
        <v>43280</v>
      </c>
      <c r="B21" s="52">
        <f t="shared" si="4"/>
        <v>0.50598759153984962</v>
      </c>
      <c r="C21" s="53">
        <f t="shared" si="0"/>
        <v>61.335915587737858</v>
      </c>
      <c r="D21" s="54">
        <f>IF(SunRiseSet($A21,$B$3, $B$4, D$4,$B$2,temp,pres)&lt;0,"Not possible",SunRiseSet($A21,$B$3, $B$4, D$4,$B$2,temp,pres)/24)</f>
        <v>0.45477456983276782</v>
      </c>
      <c r="E21" s="55">
        <f>IF(SunRiseSet($A21,$B$3, $B$4, E$4,$B$2,temp,pres)&lt;0,"Not possible",SunRiseSet($A21,$B$3, $B$4, E$4,$B$2,temp,pres)/24)</f>
        <v>0.55732162278688568</v>
      </c>
      <c r="F21" s="57">
        <f t="shared" si="1"/>
        <v>0.10254705295411787</v>
      </c>
    </row>
    <row r="22" spans="1:7">
      <c r="A22" s="56">
        <f t="shared" si="2"/>
        <v>43283</v>
      </c>
      <c r="B22" s="52">
        <f t="shared" si="4"/>
        <v>0.50639711683745703</v>
      </c>
      <c r="C22" s="53">
        <f t="shared" si="0"/>
        <v>61.139244741352734</v>
      </c>
      <c r="D22" s="54">
        <f>IF(SunRiseSet($A22,$B$3, $B$4, D$4,$B$2,temp,pres)&lt;0,"Not possible",SunRiseSet($A22,$B$3, $B$4, D$4,$B$2,temp,pres)/24)</f>
        <v>0.45669247518157885</v>
      </c>
      <c r="E22" s="55">
        <f>IF(SunRiseSet($A22,$B$3, $B$4, E$4,$B$2,temp,pres)&lt;0,"Not possible",SunRiseSet($A22,$B$3, $B$4, E$4,$B$2,temp,pres)/24)</f>
        <v>0.55621419193360688</v>
      </c>
      <c r="F22" s="57">
        <f t="shared" si="1"/>
        <v>9.9521716752028033E-2</v>
      </c>
    </row>
    <row r="23" spans="1:7">
      <c r="A23" s="56">
        <f t="shared" si="2"/>
        <v>43286</v>
      </c>
      <c r="B23" s="52">
        <f t="shared" si="4"/>
        <v>0.50677814266682508</v>
      </c>
      <c r="C23" s="53">
        <f t="shared" si="0"/>
        <v>60.882345152192919</v>
      </c>
      <c r="D23" s="54">
        <f>IF(SunRiseSet($A23,$B$3, $B$4, D$4,$B$2,temp,pres)&lt;0,"Not possible",SunRiseSet($A23,$B$3, $B$4, D$4,$B$2,temp,pres)/24)</f>
        <v>0.45912121006342477</v>
      </c>
      <c r="E23" s="55">
        <f>IF(SunRiseSet($A23,$B$3, $B$4, E$4,$B$2,temp,pres)&lt;0,"Not possible",SunRiseSet($A23,$B$3, $B$4, E$4,$B$2,temp,pres)/24)</f>
        <v>0.55453674313774948</v>
      </c>
      <c r="F23" s="57">
        <f t="shared" si="1"/>
        <v>9.541553307432471E-2</v>
      </c>
    </row>
    <row r="24" spans="1:7">
      <c r="A24" s="56">
        <f t="shared" si="2"/>
        <v>43289</v>
      </c>
      <c r="B24" s="52">
        <f t="shared" si="4"/>
        <v>0.50712428889664884</v>
      </c>
      <c r="C24" s="53">
        <f t="shared" si="0"/>
        <v>60.566177457262206</v>
      </c>
      <c r="D24" s="54">
        <f>IF(SunRiseSet($A24,$B$3, $B$4, D$4,$B$2,temp,pres)&lt;0,"Not possible",SunRiseSet($A24,$B$3, $B$4, D$4,$B$2,temp,pres)/24)</f>
        <v>0.46212398947780442</v>
      </c>
      <c r="E24" s="55">
        <f>IF(SunRiseSet($A24,$B$3, $B$4, E$4,$B$2,temp,pres)&lt;0,"Not possible",SunRiseSet($A24,$B$3, $B$4, E$4,$B$2,temp,pres)/24)</f>
        <v>0.55221345756504625</v>
      </c>
      <c r="F24" s="57">
        <f t="shared" si="1"/>
        <v>9.0089468087241831E-2</v>
      </c>
    </row>
    <row r="25" spans="1:7">
      <c r="A25" s="56">
        <f t="shared" si="2"/>
        <v>43292</v>
      </c>
      <c r="B25" s="52">
        <f t="shared" si="4"/>
        <v>0.50742968033294733</v>
      </c>
      <c r="C25" s="53">
        <f t="shared" si="0"/>
        <v>60.191891661200344</v>
      </c>
      <c r="D25" s="54">
        <f>IF(SunRiseSet($A25,$B$3, $B$4, D$4,$B$2,temp,pres)&lt;0,"Not possible",SunRiseSet($A25,$B$3, $B$4, D$4,$B$2,temp,pres)/24)</f>
        <v>0.4658063053009982</v>
      </c>
      <c r="E25" s="55">
        <f>IF(SunRiseSet($A25,$B$3, $B$4, E$4,$B$2,temp,pres)&lt;0,"Not possible",SunRiseSet($A25,$B$3, $B$4, E$4,$B$2,temp,pres)/24)</f>
        <v>0.54912727705804298</v>
      </c>
      <c r="F25" s="57">
        <f t="shared" si="1"/>
        <v>8.3320971757044782E-2</v>
      </c>
    </row>
    <row r="26" spans="1:7">
      <c r="A26" s="56">
        <f t="shared" si="2"/>
        <v>43295</v>
      </c>
      <c r="B26" s="52">
        <f t="shared" si="4"/>
        <v>0.50768902415829353</v>
      </c>
      <c r="C26" s="53">
        <f t="shared" si="0"/>
        <v>59.760813474360553</v>
      </c>
      <c r="D26" s="54">
        <f>IF(SunRiseSet($A26,$B$3, $B$4, D$4,$B$2,temp,pres)&lt;0,"Not possible",SunRiseSet($A26,$B$3, $B$4, D$4,$B$2,temp,pres)/24)</f>
        <v>0.47035136087311508</v>
      </c>
      <c r="E26" s="55">
        <f>IF(SunRiseSet($A26,$B$3, $B$4, E$4,$B$2,temp,pres)&lt;0,"Not possible",SunRiseSet($A26,$B$3, $B$4, E$4,$B$2,temp,pres)/24)</f>
        <v>0.54508461987104351</v>
      </c>
      <c r="F26" s="57">
        <f t="shared" si="1"/>
        <v>7.4733258997928431E-2</v>
      </c>
    </row>
    <row r="27" spans="1:7">
      <c r="A27" s="56">
        <f t="shared" si="2"/>
        <v>43298</v>
      </c>
      <c r="B27" s="52">
        <f t="shared" si="4"/>
        <v>0.50789767327779234</v>
      </c>
      <c r="C27" s="53">
        <f t="shared" si="0"/>
        <v>59.274430605024357</v>
      </c>
      <c r="D27" s="54">
        <f>IF(SunRiseSet($A27,$B$3, $B$4, D$4,$B$2,temp,pres)&lt;0,"Not possible",SunRiseSet($A27,$B$3, $B$4, D$4,$B$2,temp,pres)/24)</f>
        <v>0.47611167943361904</v>
      </c>
      <c r="E27" s="55">
        <f>IF(SunRiseSet($A27,$B$3, $B$4, E$4,$B$2,temp,pres)&lt;0,"Not possible",SunRiseSet($A27,$B$3, $B$4, E$4,$B$2,temp,pres)/24)</f>
        <v>0.53972389407160903</v>
      </c>
      <c r="F27" s="57">
        <f t="shared" si="1"/>
        <v>6.3612214637989994E-2</v>
      </c>
    </row>
    <row r="28" spans="1:7">
      <c r="A28" s="56">
        <f>A27+3</f>
        <v>43301</v>
      </c>
      <c r="B28" s="52">
        <f t="shared" si="4"/>
        <v>0.5080516749349635</v>
      </c>
      <c r="C28" s="53">
        <f t="shared" si="0"/>
        <v>58.734377710530033</v>
      </c>
      <c r="D28" s="54">
        <f>IF(SunRiseSet($A28,$B$3, $B$4, D$4,$B$2,temp,pres)&lt;0,"Not possible",SunRiseSet($A28,$B$3, $B$4, D$4,$B$2,temp,pres)/24)</f>
        <v>0.48393064395176455</v>
      </c>
      <c r="E28" s="55">
        <f>IF(SunRiseSet($A28,$B$3, $B$4, E$4,$B$2,temp,pres)&lt;0,"Not possible",SunRiseSet($A28,$B$3, $B$4, E$4,$B$2,temp,pres)/24)</f>
        <v>0.53219404999348208</v>
      </c>
      <c r="F28" s="57">
        <f t="shared" si="1"/>
        <v>4.8263406041717527E-2</v>
      </c>
    </row>
    <row r="29" spans="1:7">
      <c r="A29" s="56">
        <f t="shared" si="2"/>
        <v>43304</v>
      </c>
      <c r="B29" s="52">
        <f t="shared" si="4"/>
        <v>0.50814780455913744</v>
      </c>
      <c r="C29" s="53">
        <f t="shared" si="0"/>
        <v>58.142420286594302</v>
      </c>
      <c r="D29" s="54">
        <f>IF(SunRiseSet($A29,$B$3, $B$4, D$4,$B$2,temp,pres)&lt;0,"Not possible",SunRiseSet($A29,$B$3, $B$4, D$4,$B$2,temp,pres)/24)</f>
        <v>0.49770330305708416</v>
      </c>
      <c r="E29" s="55">
        <f>IF(SunRiseSet($A29,$B$3, $B$4, E$4,$B$2,temp,pres)&lt;0,"Not possible",SunRiseSet($A29,$B$3, $B$4, E$4,$B$2,temp,pres)/24)</f>
        <v>0.51859383714854834</v>
      </c>
      <c r="F29" s="57">
        <f t="shared" si="1"/>
        <v>2.0890534091464186E-2</v>
      </c>
    </row>
    <row r="30" spans="1:7">
      <c r="A30" s="56">
        <f t="shared" si="2"/>
        <v>43307</v>
      </c>
      <c r="B30" s="52">
        <f t="shared" si="4"/>
        <v>0.50818358534471442</v>
      </c>
      <c r="C30" s="53">
        <f t="shared" si="0"/>
        <v>57.500437014736235</v>
      </c>
      <c r="D30" s="54" t="str">
        <f>IF(SunRiseSet($A30,$B$3, $B$4, D$4,$B$2,temp,pres)&lt;0,"Not possible",SunRiseSet($A30,$B$3, $B$4, D$4,$B$2,temp,pres)/24)</f>
        <v>Not possible</v>
      </c>
      <c r="E30" s="55" t="str">
        <f>IF(SunRiseSet($A30,$B$3, $B$4, E$4,$B$2,temp,pres)&lt;0,"Not possible",SunRiseSet($A30,$B$3, $B$4, E$4,$B$2,temp,pres)/24)</f>
        <v>Not possible</v>
      </c>
      <c r="F30" s="57" t="str">
        <f t="shared" si="1"/>
        <v/>
      </c>
    </row>
    <row r="31" spans="1:7">
      <c r="A31" s="64">
        <f t="shared" si="2"/>
        <v>43310</v>
      </c>
      <c r="B31" s="65">
        <f t="shared" si="4"/>
        <v>0.50815729451542191</v>
      </c>
      <c r="C31" s="66">
        <f t="shared" si="0"/>
        <v>56.810417426744202</v>
      </c>
      <c r="D31" s="67" t="str">
        <f>IF(SunRiseSet($A31,$B$3, $B$4, D$4,$B$2,temp,pres)&lt;0,"Not possible",SunRiseSet($A31,$B$3, $B$4, D$4,$B$2,temp,pres)/24)</f>
        <v>Not possible</v>
      </c>
      <c r="E31" s="68" t="str">
        <f>IF(SunRiseSet($A31,$B$3, $B$4, E$4,$B$2,temp,pres)&lt;0,"Not possible",SunRiseSet($A31,$B$3, $B$4, E$4,$B$2,temp,pres)/24)</f>
        <v>Not possible</v>
      </c>
      <c r="F31" s="69" t="str">
        <f t="shared" si="1"/>
        <v/>
      </c>
    </row>
    <row r="32" spans="1:7">
      <c r="C32" s="70"/>
      <c r="D32" s="5"/>
      <c r="E32" s="5"/>
      <c r="F32" s="12"/>
      <c r="G32" s="12"/>
    </row>
    <row r="33" spans="3:7">
      <c r="C33" s="70"/>
      <c r="D33" s="5"/>
      <c r="E33" s="5"/>
      <c r="F33" s="12"/>
      <c r="G33" s="12"/>
    </row>
    <row r="34" spans="3:7">
      <c r="C34" s="70"/>
      <c r="D34" s="5"/>
      <c r="E34" s="5"/>
      <c r="F34" s="12"/>
      <c r="G34" s="12"/>
    </row>
    <row r="35" spans="3:7">
      <c r="C35" s="70"/>
      <c r="D35" s="5"/>
      <c r="E35" s="5"/>
      <c r="F35" s="12"/>
      <c r="G35" s="12"/>
    </row>
    <row r="36" spans="3:7">
      <c r="C36" s="70"/>
      <c r="D36" s="5"/>
      <c r="E36" s="5"/>
      <c r="F36" s="12"/>
      <c r="G36" s="12"/>
    </row>
    <row r="37" spans="3:7">
      <c r="C37" s="70"/>
      <c r="D37" s="5"/>
      <c r="E37" s="5"/>
      <c r="F37" s="12"/>
      <c r="G37" s="12"/>
    </row>
    <row r="38" spans="3:7">
      <c r="C38" s="70"/>
      <c r="D38" s="5"/>
      <c r="E38" s="5"/>
      <c r="F38" s="12"/>
      <c r="G38" s="12"/>
    </row>
    <row r="39" spans="3:7">
      <c r="C39" s="70"/>
      <c r="D39" s="5"/>
      <c r="E39" s="5"/>
      <c r="F39" s="12"/>
      <c r="G39" s="12"/>
    </row>
    <row r="40" spans="3:7">
      <c r="C40" s="70"/>
      <c r="D40" s="5"/>
      <c r="E40" s="5"/>
      <c r="F40" s="12"/>
      <c r="G40" s="12"/>
    </row>
    <row r="41" spans="3:7">
      <c r="C41" s="70"/>
      <c r="D41" s="5"/>
      <c r="E41" s="5"/>
      <c r="F41" s="12"/>
      <c r="G41" s="12"/>
    </row>
    <row r="42" spans="3:7">
      <c r="C42" s="70"/>
      <c r="D42" s="5"/>
      <c r="E42" s="5"/>
      <c r="F42" s="12"/>
      <c r="G42" s="12"/>
    </row>
    <row r="43" spans="3:7">
      <c r="C43" s="70"/>
      <c r="D43" s="5"/>
      <c r="E43" s="5"/>
      <c r="F43" s="12"/>
      <c r="G43" s="12"/>
    </row>
    <row r="44" spans="3:7">
      <c r="C44" s="70"/>
      <c r="D44" s="5"/>
      <c r="E44" s="5"/>
      <c r="F44" s="12"/>
      <c r="G44" s="12"/>
    </row>
    <row r="45" spans="3:7">
      <c r="C45" s="70"/>
      <c r="D45" s="5"/>
      <c r="E45" s="5"/>
      <c r="F45" s="12"/>
      <c r="G45" s="12"/>
    </row>
    <row r="46" spans="3:7">
      <c r="C46" s="70"/>
      <c r="D46" s="5"/>
      <c r="E46" s="5"/>
      <c r="F46" s="12"/>
      <c r="G46" s="12"/>
    </row>
    <row r="47" spans="3:7">
      <c r="C47" s="70"/>
      <c r="D47" s="5"/>
      <c r="E47" s="5"/>
      <c r="F47" s="12"/>
      <c r="G47" s="12"/>
    </row>
    <row r="48" spans="3:7">
      <c r="C48" s="70"/>
      <c r="D48" s="5"/>
      <c r="E48" s="5"/>
      <c r="F48" s="12"/>
      <c r="G48" s="12"/>
    </row>
  </sheetData>
  <mergeCells count="1">
    <mergeCell ref="A1:F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SunriseSet</vt:lpstr>
      <vt:lpstr>Testing</vt:lpstr>
      <vt:lpstr>Sheet2</vt:lpstr>
      <vt:lpstr>Sheet3</vt:lpstr>
      <vt:lpstr>hval</vt:lpstr>
      <vt:lpstr>lat</vt:lpstr>
      <vt:lpstr>long</vt:lpstr>
      <vt:lpstr>planetlookup</vt:lpstr>
      <vt:lpstr>planetno</vt:lpstr>
      <vt:lpstr>pres</vt:lpstr>
      <vt:lpstr>Sheet3!Print_Area</vt:lpstr>
      <vt:lpstr>temp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2018-04-07T17:34:14Z</cp:lastPrinted>
  <dcterms:created xsi:type="dcterms:W3CDTF">2018-04-06T18:10:20Z</dcterms:created>
  <dcterms:modified xsi:type="dcterms:W3CDTF">2018-04-08T12:47:00Z</dcterms:modified>
</cp:coreProperties>
</file>