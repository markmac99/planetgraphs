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5315" windowHeight="699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E7" i="1"/>
  <c r="B12"/>
  <c r="B11"/>
  <c r="B8"/>
  <c r="B9" s="1"/>
  <c r="E14"/>
  <c r="E13"/>
</calcChain>
</file>

<file path=xl/sharedStrings.xml><?xml version="1.0" encoding="utf-8"?>
<sst xmlns="http://schemas.openxmlformats.org/spreadsheetml/2006/main" count="10" uniqueCount="10">
  <si>
    <t>G</t>
  </si>
  <si>
    <t>Me</t>
  </si>
  <si>
    <t>Re</t>
  </si>
  <si>
    <t>H</t>
  </si>
  <si>
    <t>v</t>
  </si>
  <si>
    <t>m/s</t>
  </si>
  <si>
    <t>miles/hr</t>
  </si>
  <si>
    <t>T</t>
  </si>
  <si>
    <t>secs</t>
  </si>
  <si>
    <t>mins</t>
  </si>
</sst>
</file>

<file path=xl/styles.xml><?xml version="1.0" encoding="utf-8"?>
<styleSheet xmlns="http://schemas.openxmlformats.org/spreadsheetml/2006/main">
  <numFmts count="2">
    <numFmt numFmtId="43" formatCode="_-* #,##0.00_-;\-* #,##0.00_-;_-* &quot;-&quot;??_-;_-@_-"/>
    <numFmt numFmtId="164" formatCode="_-* #,##0.000000_-;\-* #,##0.000000_-;_-* &quot;-&quot;??_-;_-@_-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11" fontId="0" fillId="0" borderId="0" xfId="0" applyNumberFormat="1"/>
    <xf numFmtId="43" fontId="0" fillId="0" borderId="0" xfId="1" applyFont="1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E14"/>
  <sheetViews>
    <sheetView tabSelected="1" workbookViewId="0">
      <selection activeCell="E14" sqref="E14"/>
    </sheetView>
  </sheetViews>
  <sheetFormatPr defaultRowHeight="15"/>
  <cols>
    <col min="5" max="5" width="15.85546875" bestFit="1" customWidth="1"/>
  </cols>
  <sheetData>
    <row r="2" spans="1:5">
      <c r="A2" t="s">
        <v>0</v>
      </c>
      <c r="B2" s="1">
        <v>6.67E-11</v>
      </c>
    </row>
    <row r="3" spans="1:5">
      <c r="A3" t="s">
        <v>1</v>
      </c>
      <c r="B3" s="1">
        <v>5.9800000000000005E+24</v>
      </c>
    </row>
    <row r="4" spans="1:5">
      <c r="A4" t="s">
        <v>2</v>
      </c>
      <c r="B4" s="1">
        <v>6370000</v>
      </c>
    </row>
    <row r="6" spans="1:5">
      <c r="A6" t="s">
        <v>3</v>
      </c>
      <c r="B6" s="1">
        <v>150</v>
      </c>
    </row>
    <row r="7" spans="1:5">
      <c r="E7" s="3">
        <f ca="1">NOW()</f>
        <v>43192.838168518516</v>
      </c>
    </row>
    <row r="8" spans="1:5">
      <c r="A8" t="s">
        <v>4</v>
      </c>
      <c r="B8">
        <f>SQRT(B2*B3/(B4+B6*1000))</f>
        <v>7821.4939027762248</v>
      </c>
      <c r="C8" t="s">
        <v>5</v>
      </c>
    </row>
    <row r="9" spans="1:5">
      <c r="B9">
        <f>B8*100/2.54/12/5280*3600</f>
        <v>17496.183569202363</v>
      </c>
      <c r="C9" t="s">
        <v>6</v>
      </c>
    </row>
    <row r="11" spans="1:5">
      <c r="A11" t="s">
        <v>7</v>
      </c>
      <c r="B11" s="1">
        <f>2*PI()*(B4+B6*1000)/B8</f>
        <v>5237.6654270957069</v>
      </c>
      <c r="C11" t="s">
        <v>8</v>
      </c>
    </row>
    <row r="12" spans="1:5">
      <c r="B12" s="2">
        <f>B11/60</f>
        <v>87.294423784928455</v>
      </c>
      <c r="C12" t="s">
        <v>9</v>
      </c>
    </row>
    <row r="13" spans="1:5">
      <c r="E13">
        <f>MeanAnomaly(0,days(2018,2,25,11,22,46))</f>
        <v>0.90808836351218858</v>
      </c>
    </row>
    <row r="14" spans="1:5">
      <c r="E14">
        <f>MeanAnomaly(0,days(2018,4,2,19,0,0))</f>
        <v>1.5328212933896275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dcterms:created xsi:type="dcterms:W3CDTF">2018-04-01T21:31:51Z</dcterms:created>
  <dcterms:modified xsi:type="dcterms:W3CDTF">2018-04-02T19:07:07Z</dcterms:modified>
</cp:coreProperties>
</file>