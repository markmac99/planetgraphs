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2435" windowHeight="6990"/>
  </bookViews>
  <sheets>
    <sheet name="Sheet1" sheetId="1" r:id="rId1"/>
    <sheet name="Sheet2" sheetId="2" r:id="rId2"/>
    <sheet name="Sheet3" sheetId="3" r:id="rId3"/>
  </sheets>
  <functionGroups/>
  <definedNames>
    <definedName name="AU">Sheet1!$A$19</definedName>
    <definedName name="lati">Sheet1!$E$12</definedName>
    <definedName name="longi">Sheet1!$E$11</definedName>
    <definedName name="planetlookup">Sheet1!$A$2:$B$21</definedName>
    <definedName name="planlookup">Sheet1!$W$4:$X$19</definedName>
  </definedNames>
  <calcPr calcId="125725"/>
</workbook>
</file>

<file path=xl/calcChain.xml><?xml version="1.0" encoding="utf-8"?>
<calcChain xmlns="http://schemas.openxmlformats.org/spreadsheetml/2006/main">
  <c r="F14" i="1"/>
  <c r="G26"/>
  <c r="F18"/>
  <c r="F17"/>
  <c r="F16"/>
  <c r="J25"/>
  <c r="J24"/>
  <c r="J23"/>
  <c r="J22"/>
  <c r="J21"/>
  <c r="J20"/>
  <c r="J19"/>
  <c r="J18"/>
  <c r="J17"/>
  <c r="J16"/>
  <c r="J15"/>
  <c r="J14"/>
  <c r="F23"/>
  <c r="F22"/>
  <c r="F21"/>
  <c r="F20"/>
  <c r="F24" s="1"/>
  <c r="F26" l="1"/>
  <c r="G21"/>
  <c r="E7" l="1"/>
  <c r="K19"/>
  <c r="K18"/>
  <c r="K17"/>
  <c r="K16"/>
  <c r="K15"/>
  <c r="K14"/>
</calcChain>
</file>

<file path=xl/sharedStrings.xml><?xml version="1.0" encoding="utf-8"?>
<sst xmlns="http://schemas.openxmlformats.org/spreadsheetml/2006/main" count="55" uniqueCount="54">
  <si>
    <t>Object IDs</t>
  </si>
  <si>
    <t>Sun</t>
  </si>
  <si>
    <t>Visual</t>
  </si>
  <si>
    <t>Planet</t>
  </si>
  <si>
    <t>Ceres</t>
  </si>
  <si>
    <t>Moon</t>
  </si>
  <si>
    <t>Imaging</t>
  </si>
  <si>
    <t>Date</t>
  </si>
  <si>
    <t>Mercury</t>
  </si>
  <si>
    <t>Astrodate</t>
  </si>
  <si>
    <t>Venus</t>
  </si>
  <si>
    <t>Julian Date</t>
  </si>
  <si>
    <t>Mars</t>
  </si>
  <si>
    <t>1AU</t>
  </si>
  <si>
    <t>LST</t>
  </si>
  <si>
    <t>Jupiter</t>
  </si>
  <si>
    <t>Earth Rad</t>
  </si>
  <si>
    <t>Saturn</t>
  </si>
  <si>
    <t>Eccentricity</t>
  </si>
  <si>
    <t>Uranus</t>
  </si>
  <si>
    <t>Temp</t>
  </si>
  <si>
    <t>MA</t>
  </si>
  <si>
    <t>Neptune</t>
  </si>
  <si>
    <t>Press</t>
  </si>
  <si>
    <t>Omega</t>
  </si>
  <si>
    <t>Earth</t>
  </si>
  <si>
    <t>Long Of Asc</t>
  </si>
  <si>
    <t>Pluto</t>
  </si>
  <si>
    <t>eccentric Anomaly</t>
  </si>
  <si>
    <t>RA</t>
  </si>
  <si>
    <t>Dec</t>
  </si>
  <si>
    <t>Az</t>
  </si>
  <si>
    <t>Alt</t>
  </si>
  <si>
    <t>Lonecl</t>
  </si>
  <si>
    <t>Latecl</t>
  </si>
  <si>
    <t>Dist Earth</t>
  </si>
  <si>
    <t>Plan Dist from Sun</t>
  </si>
  <si>
    <t>GMT</t>
  </si>
  <si>
    <t>Mag</t>
  </si>
  <si>
    <t>Size</t>
  </si>
  <si>
    <t>Elong</t>
  </si>
  <si>
    <t>Phase</t>
  </si>
  <si>
    <t>Longitude</t>
  </si>
  <si>
    <t>Latitude</t>
  </si>
  <si>
    <t>My Calcs</t>
  </si>
  <si>
    <t>Hour Angle</t>
  </si>
  <si>
    <t>Pallas</t>
  </si>
  <si>
    <t>Juno</t>
  </si>
  <si>
    <t>Vesta</t>
  </si>
  <si>
    <t>Astraea</t>
  </si>
  <si>
    <t>Hebe</t>
  </si>
  <si>
    <t>Iris</t>
  </si>
  <si>
    <t>Flora</t>
  </si>
  <si>
    <t>Metis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</si>
</sst>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0.00000E+00"/>
    <numFmt numFmtId="165" formatCode="dd/mm/yyyy\ hh:mm:ss"/>
    <numFmt numFmtId="166" formatCode="0.00000"/>
    <numFmt numFmtId="167" formatCode="[$-F400]h:mm:ss\ AM/PM"/>
  </numFmts>
  <fonts count="3">
    <font>
      <sz val="11"/>
      <color theme="1"/>
      <name val="Calibri"/>
      <family val="2"/>
      <scheme val="minor"/>
    </font>
    <font>
      <sz val="10"/>
      <color rgb="FFAAFFFF"/>
      <name val="Courier New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64" fontId="0" fillId="0" borderId="2" xfId="0" applyNumberFormat="1" applyBorder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3" fontId="1" fillId="0" borderId="0" xfId="0" applyNumberFormat="1" applyFont="1"/>
    <xf numFmtId="43" fontId="0" fillId="0" borderId="0" xfId="1" applyFont="1"/>
    <xf numFmtId="0" fontId="0" fillId="0" borderId="3" xfId="0" applyFill="1" applyBorder="1"/>
    <xf numFmtId="0" fontId="0" fillId="0" borderId="4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topLeftCell="A11" workbookViewId="0">
      <selection activeCell="F14" sqref="F14"/>
    </sheetView>
  </sheetViews>
  <sheetFormatPr defaultRowHeight="15"/>
  <cols>
    <col min="1" max="1" width="10" bestFit="1" customWidth="1"/>
    <col min="4" max="4" width="17.5703125" bestFit="1" customWidth="1"/>
    <col min="6" max="6" width="18.5703125" bestFit="1" customWidth="1"/>
    <col min="9" max="9" width="17.42578125" bestFit="1" customWidth="1"/>
    <col min="10" max="10" width="12" bestFit="1" customWidth="1"/>
    <col min="11" max="11" width="10.85546875" bestFit="1" customWidth="1"/>
    <col min="13" max="13" width="13.7109375" bestFit="1" customWidth="1"/>
    <col min="15" max="15" width="9.5703125" bestFit="1" customWidth="1"/>
    <col min="16" max="16" width="10.85546875" bestFit="1" customWidth="1"/>
  </cols>
  <sheetData>
    <row r="1" spans="1:15" ht="15.75" thickBot="1">
      <c r="A1" t="s">
        <v>0</v>
      </c>
    </row>
    <row r="2" spans="1:15">
      <c r="A2" s="1" t="s">
        <v>1</v>
      </c>
      <c r="B2" s="2">
        <v>0</v>
      </c>
      <c r="D2" s="1" t="s">
        <v>2</v>
      </c>
      <c r="E2" s="2">
        <v>1</v>
      </c>
    </row>
    <row r="3" spans="1:15" ht="15.75" thickBot="1">
      <c r="A3" s="3" t="s">
        <v>5</v>
      </c>
      <c r="B3" s="4">
        <v>1</v>
      </c>
      <c r="D3" s="5" t="s">
        <v>6</v>
      </c>
      <c r="E3" s="6">
        <v>2</v>
      </c>
    </row>
    <row r="4" spans="1:15">
      <c r="A4" s="3" t="s">
        <v>8</v>
      </c>
      <c r="B4" s="4">
        <v>2</v>
      </c>
      <c r="D4" s="1"/>
      <c r="E4" s="8"/>
    </row>
    <row r="5" spans="1:15">
      <c r="A5" s="3" t="s">
        <v>10</v>
      </c>
      <c r="B5" s="4">
        <v>3</v>
      </c>
      <c r="D5" s="3"/>
      <c r="E5" s="4"/>
    </row>
    <row r="6" spans="1:15">
      <c r="A6" s="3" t="s">
        <v>12</v>
      </c>
      <c r="B6" s="4">
        <v>4</v>
      </c>
      <c r="D6" s="3" t="s">
        <v>13</v>
      </c>
      <c r="E6" s="4">
        <v>149597870.69999999</v>
      </c>
    </row>
    <row r="7" spans="1:15" ht="15.75" thickBot="1">
      <c r="A7" s="3" t="s">
        <v>15</v>
      </c>
      <c r="B7" s="4">
        <v>5</v>
      </c>
      <c r="D7" s="5" t="s">
        <v>16</v>
      </c>
      <c r="E7" s="6">
        <f>6378140/1000</f>
        <v>6378.14</v>
      </c>
    </row>
    <row r="8" spans="1:15">
      <c r="A8" s="3" t="s">
        <v>17</v>
      </c>
      <c r="B8" s="4">
        <v>6</v>
      </c>
    </row>
    <row r="9" spans="1:15">
      <c r="A9" s="3" t="s">
        <v>19</v>
      </c>
      <c r="B9" s="4">
        <v>7</v>
      </c>
      <c r="D9" t="s">
        <v>20</v>
      </c>
      <c r="E9">
        <v>10</v>
      </c>
    </row>
    <row r="10" spans="1:15">
      <c r="A10" s="3" t="s">
        <v>22</v>
      </c>
      <c r="B10" s="4">
        <v>8</v>
      </c>
      <c r="D10" t="s">
        <v>23</v>
      </c>
      <c r="E10">
        <v>1010</v>
      </c>
      <c r="M10" s="12"/>
    </row>
    <row r="11" spans="1:15">
      <c r="A11" s="3" t="s">
        <v>25</v>
      </c>
      <c r="B11" s="4">
        <v>9</v>
      </c>
      <c r="D11" t="s">
        <v>42</v>
      </c>
      <c r="E11">
        <v>-1.31</v>
      </c>
    </row>
    <row r="12" spans="1:15">
      <c r="A12" s="3" t="s">
        <v>27</v>
      </c>
      <c r="B12" s="4">
        <v>10</v>
      </c>
      <c r="D12" t="s">
        <v>43</v>
      </c>
      <c r="E12">
        <v>51.88</v>
      </c>
    </row>
    <row r="13" spans="1:15">
      <c r="A13" s="3" t="s">
        <v>4</v>
      </c>
      <c r="B13" s="4">
        <v>11</v>
      </c>
      <c r="J13" t="s">
        <v>44</v>
      </c>
    </row>
    <row r="14" spans="1:15">
      <c r="A14" s="3" t="s">
        <v>46</v>
      </c>
      <c r="B14" s="4">
        <v>12</v>
      </c>
      <c r="D14" t="s">
        <v>3</v>
      </c>
      <c r="E14" t="s">
        <v>53</v>
      </c>
      <c r="F14">
        <f>VLOOKUP(E14,planetlookup,2,0)</f>
        <v>19</v>
      </c>
      <c r="H14">
        <v>6</v>
      </c>
      <c r="I14" t="s">
        <v>29</v>
      </c>
      <c r="J14" s="10">
        <f>PlanetXYZ($F$14,$F$16,H14,$F$18,lati, 10,1010)</f>
        <v>273.10795341070883</v>
      </c>
      <c r="K14" t="str">
        <f>Convert_Degree(J14/15)</f>
        <v>18° 12' 26"</v>
      </c>
      <c r="O14" s="10"/>
    </row>
    <row r="15" spans="1:15">
      <c r="A15" s="3" t="s">
        <v>47</v>
      </c>
      <c r="B15" s="4">
        <v>13</v>
      </c>
      <c r="D15" t="s">
        <v>7</v>
      </c>
      <c r="F15" s="9">
        <v>43201.917685185188</v>
      </c>
      <c r="G15" t="s">
        <v>37</v>
      </c>
      <c r="H15">
        <v>7</v>
      </c>
      <c r="I15" t="s">
        <v>30</v>
      </c>
      <c r="J15" s="10">
        <f>PlanetXYZ($F$14,$F$16,H15,$F$18,lati, 10,1010)</f>
        <v>-23.795533965371309</v>
      </c>
      <c r="K15" t="str">
        <f>Convert_Degree(J15)</f>
        <v>-23° 47' 44"</v>
      </c>
      <c r="O15" s="10"/>
    </row>
    <row r="16" spans="1:15">
      <c r="A16" s="3" t="s">
        <v>48</v>
      </c>
      <c r="B16" s="4">
        <v>14</v>
      </c>
      <c r="D16" t="s">
        <v>9</v>
      </c>
      <c r="F16" s="10">
        <f>astrodaysfromdt(F15)</f>
        <v>6676.9176851851853</v>
      </c>
      <c r="H16">
        <v>9</v>
      </c>
      <c r="I16" t="s">
        <v>31</v>
      </c>
      <c r="J16" s="10">
        <f>PlanetXYZ($F$14,$F$16,H16,$F$18,lati, 10,1010)</f>
        <v>94.839614636983598</v>
      </c>
      <c r="K16" t="str">
        <f>Convert_Degree(J16)</f>
        <v>94° 50' 23"</v>
      </c>
      <c r="O16" s="10"/>
    </row>
    <row r="17" spans="1:15">
      <c r="A17" s="14" t="s">
        <v>49</v>
      </c>
      <c r="B17" s="15">
        <v>15</v>
      </c>
      <c r="D17" t="s">
        <v>11</v>
      </c>
      <c r="F17">
        <f>juliandate(YEAR(F15),MONTH(F15),DAY(F15),HOUR(F15), MINUTE(F15), SECOND(F15))</f>
        <v>2458220.4176851851</v>
      </c>
      <c r="H17">
        <v>8</v>
      </c>
      <c r="I17" t="s">
        <v>32</v>
      </c>
      <c r="J17" s="10">
        <f>PlanetXYZ($F$14,$F$16,H17,$F$18,lati, 10,1010)</f>
        <v>-27.027251912199119</v>
      </c>
      <c r="K17" t="str">
        <f>Convert_Degree(J17)</f>
        <v>-27° 1' 38"</v>
      </c>
      <c r="O17" s="10"/>
    </row>
    <row r="18" spans="1:15">
      <c r="A18" t="s">
        <v>50</v>
      </c>
      <c r="B18" s="15">
        <v>16</v>
      </c>
      <c r="D18" t="s">
        <v>14</v>
      </c>
      <c r="F18" s="11">
        <f>LSTFromDt(F15, longi)/24</f>
        <v>0.46980203538201071</v>
      </c>
      <c r="H18">
        <v>4</v>
      </c>
      <c r="I18" t="s">
        <v>33</v>
      </c>
      <c r="J18" s="10">
        <f>PlanetXYZ(F14,F16,4,F18,lati, 10,1010)</f>
        <v>252.14195509325009</v>
      </c>
      <c r="K18" t="str">
        <f>Convert_Degree(J18)</f>
        <v>252° 8' 31"</v>
      </c>
      <c r="O18" s="10"/>
    </row>
    <row r="19" spans="1:15">
      <c r="A19" t="s">
        <v>51</v>
      </c>
      <c r="B19" s="15">
        <v>17</v>
      </c>
      <c r="H19">
        <v>5</v>
      </c>
      <c r="I19" t="s">
        <v>34</v>
      </c>
      <c r="J19" s="10">
        <f>PlanetXYZ(F14,F16,5,F18,lati, 10,1010)</f>
        <v>-0.31643588467700046</v>
      </c>
      <c r="K19" t="str">
        <f>Convert_Degree(J19)</f>
        <v>-0° 18' 59"</v>
      </c>
      <c r="O19" s="10"/>
    </row>
    <row r="20" spans="1:15">
      <c r="A20" t="s">
        <v>52</v>
      </c>
      <c r="B20" s="15">
        <v>18</v>
      </c>
      <c r="D20" t="s">
        <v>18</v>
      </c>
      <c r="F20" s="10">
        <f>Eccentricity(F14,F16)</f>
        <v>0.1225377</v>
      </c>
      <c r="H20">
        <v>10</v>
      </c>
      <c r="I20" t="s">
        <v>35</v>
      </c>
      <c r="J20" s="10">
        <f>PlanetXYZ($F$14,$F$16,H20,$F$18,lati, 10,1010)</f>
        <v>2.1774575692400022</v>
      </c>
      <c r="O20" s="10"/>
    </row>
    <row r="21" spans="1:15" ht="15.75" thickBot="1">
      <c r="A21" s="5" t="s">
        <v>53</v>
      </c>
      <c r="B21" s="6">
        <v>19</v>
      </c>
      <c r="D21" t="s">
        <v>21</v>
      </c>
      <c r="F21" s="10">
        <f>MeanAnomaly(F14,F16)</f>
        <v>3.0737151004503609</v>
      </c>
      <c r="G21">
        <f>F21*180/PI()</f>
        <v>176.11090268143559</v>
      </c>
      <c r="I21" t="s">
        <v>36</v>
      </c>
      <c r="J21" s="10">
        <f>PlanDist(F14,F16)</f>
        <v>2.6787785578442862</v>
      </c>
      <c r="O21" s="10"/>
    </row>
    <row r="22" spans="1:15">
      <c r="D22" t="s">
        <v>24</v>
      </c>
      <c r="F22" s="10">
        <f>ArgOfPerihelion(F14,F16)*180/PI()</f>
        <v>6.3215700003400803</v>
      </c>
      <c r="I22" t="s">
        <v>38</v>
      </c>
      <c r="J22" s="10">
        <f>VisualMagnitude(F14,F16)</f>
        <v>10.273944602481237</v>
      </c>
      <c r="O22" s="10"/>
    </row>
    <row r="23" spans="1:15">
      <c r="D23" t="s">
        <v>26</v>
      </c>
      <c r="F23" s="10">
        <f>LongOfAscNode(F14,F16)*180/PI()</f>
        <v>347.63810716390299</v>
      </c>
      <c r="I23" t="s">
        <v>39</v>
      </c>
      <c r="J23" s="10">
        <f>ApparentSize(F14,F16)</f>
        <v>0</v>
      </c>
      <c r="O23" s="10"/>
    </row>
    <row r="24" spans="1:15">
      <c r="D24" t="s">
        <v>28</v>
      </c>
      <c r="F24" s="10">
        <f>EccentricAnomaly(F21,F20)</f>
        <v>3.0811206813844345</v>
      </c>
      <c r="I24" t="s">
        <v>40</v>
      </c>
      <c r="J24">
        <f>Elongation(F14,F16)</f>
        <v>109.12483759161748</v>
      </c>
      <c r="O24" s="10"/>
    </row>
    <row r="25" spans="1:15">
      <c r="I25" t="s">
        <v>41</v>
      </c>
      <c r="J25">
        <f>Phase(F14,F16)</f>
        <v>0.96771781093444209</v>
      </c>
    </row>
    <row r="26" spans="1:15">
      <c r="D26" t="s">
        <v>45</v>
      </c>
      <c r="F26" s="13">
        <f>(F18*360-J14)/15</f>
        <v>-6.9319480448789985</v>
      </c>
      <c r="G26">
        <f>2+26.5/60</f>
        <v>2.4416666666666664</v>
      </c>
    </row>
    <row r="28" spans="1:15">
      <c r="F28" s="7"/>
    </row>
    <row r="29" spans="1:15">
      <c r="O29" s="10"/>
    </row>
    <row r="30" spans="1:15">
      <c r="O30" s="10"/>
    </row>
    <row r="31" spans="1:15">
      <c r="O31" s="10"/>
    </row>
    <row r="32" spans="1:15">
      <c r="F32" s="1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D9"/>
  <sheetViews>
    <sheetView workbookViewId="0">
      <selection activeCell="B1" sqref="B1:H1048576"/>
    </sheetView>
  </sheetViews>
  <sheetFormatPr defaultRowHeight="15"/>
  <cols>
    <col min="3" max="3" width="10.7109375" bestFit="1" customWidth="1"/>
    <col min="4" max="4" width="12.7109375" bestFit="1" customWidth="1"/>
  </cols>
  <sheetData>
    <row r="4" spans="3:4">
      <c r="C4" s="7"/>
      <c r="D4" s="7"/>
    </row>
    <row r="9" spans="3:4">
      <c r="D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AU</vt:lpstr>
      <vt:lpstr>lati</vt:lpstr>
      <vt:lpstr>longi</vt:lpstr>
      <vt:lpstr>planetlookup</vt:lpstr>
      <vt:lpstr>planlookup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2018-04-11T09:51:33Z</dcterms:created>
  <dcterms:modified xsi:type="dcterms:W3CDTF">2018-04-12T22:55:19Z</dcterms:modified>
</cp:coreProperties>
</file>