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60" windowWidth="12435" windowHeight="6990"/>
  </bookViews>
  <sheets>
    <sheet name="Sheet1" sheetId="1" r:id="rId1"/>
    <sheet name="Sheet2" sheetId="2" r:id="rId2"/>
    <sheet name="Sheet3" sheetId="3" r:id="rId3"/>
  </sheets>
  <functionGroups/>
  <definedNames>
    <definedName name="AU">Sheet1!$A$19</definedName>
    <definedName name="lati">Sheet1!$E$5</definedName>
    <definedName name="longi">Sheet1!$E$4</definedName>
    <definedName name="planetlookup">Sheet1!$A$2:$B$21</definedName>
    <definedName name="planlookup">Sheet1!$W$4:$X$19</definedName>
  </definedNames>
  <calcPr calcId="125725"/>
</workbook>
</file>

<file path=xl/calcChain.xml><?xml version="1.0" encoding="utf-8"?>
<calcChain xmlns="http://schemas.openxmlformats.org/spreadsheetml/2006/main">
  <c r="E20" i="1"/>
  <c r="J4"/>
  <c r="A2" a="1"/>
  <c r="J5"/>
  <c r="J3"/>
  <c r="D21"/>
  <c r="F14"/>
  <c r="F13"/>
  <c r="F12"/>
  <c r="F11"/>
  <c r="F10"/>
  <c r="J19"/>
  <c r="J18"/>
  <c r="J17"/>
  <c r="J16"/>
  <c r="J15"/>
  <c r="J14"/>
  <c r="J13"/>
  <c r="J12"/>
  <c r="J11"/>
  <c r="J10"/>
  <c r="J9"/>
  <c r="J8"/>
  <c r="A16" l="1"/>
  <c r="A12"/>
  <c r="A15"/>
  <c r="A10"/>
  <c r="A7"/>
  <c r="A17"/>
  <c r="A8"/>
  <c r="A11"/>
  <c r="A6"/>
  <c r="A3"/>
  <c r="A13"/>
  <c r="A19"/>
  <c r="A14"/>
  <c r="A5"/>
  <c r="A21"/>
  <c r="A4"/>
  <c r="A20"/>
  <c r="A2"/>
  <c r="F7" s="1"/>
  <c r="A18"/>
  <c r="A9"/>
  <c r="K13"/>
  <c r="K12"/>
  <c r="K11"/>
  <c r="K10"/>
  <c r="K9"/>
  <c r="K8"/>
</calcChain>
</file>

<file path=xl/sharedStrings.xml><?xml version="1.0" encoding="utf-8"?>
<sst xmlns="http://schemas.openxmlformats.org/spreadsheetml/2006/main" count="35" uniqueCount="32">
  <si>
    <t>Object IDs</t>
  </si>
  <si>
    <t>Planet</t>
  </si>
  <si>
    <t>Date</t>
  </si>
  <si>
    <t>Astrodate</t>
  </si>
  <si>
    <t>Julian Date</t>
  </si>
  <si>
    <t>LST</t>
  </si>
  <si>
    <t>Eccentricity</t>
  </si>
  <si>
    <t>Temp</t>
  </si>
  <si>
    <t>Press</t>
  </si>
  <si>
    <t>Long Of Asc</t>
  </si>
  <si>
    <t>eccentric Anomaly</t>
  </si>
  <si>
    <t>RA</t>
  </si>
  <si>
    <t>Dec</t>
  </si>
  <si>
    <t>Az</t>
  </si>
  <si>
    <t>Alt</t>
  </si>
  <si>
    <t>Lonecl</t>
  </si>
  <si>
    <t>Latecl</t>
  </si>
  <si>
    <t>Dist Earth</t>
  </si>
  <si>
    <t>Plan Dist from Sun</t>
  </si>
  <si>
    <t>GMT</t>
  </si>
  <si>
    <t>Mag</t>
  </si>
  <si>
    <t>Size</t>
  </si>
  <si>
    <t>Elong</t>
  </si>
  <si>
    <t>Phase</t>
  </si>
  <si>
    <t>Longitude</t>
  </si>
  <si>
    <t>Latitude</t>
  </si>
  <si>
    <t>My Calcs</t>
  </si>
  <si>
    <t>Arg of Perihelion</t>
  </si>
  <si>
    <t xml:space="preserve">Mean Anomaly </t>
  </si>
  <si>
    <t>radians</t>
  </si>
  <si>
    <t>degrees</t>
  </si>
  <si>
    <t>(4) Vesta</t>
  </si>
</sst>
</file>

<file path=xl/styles.xml><?xml version="1.0" encoding="utf-8"?>
<styleSheet xmlns="http://schemas.openxmlformats.org/spreadsheetml/2006/main">
  <numFmts count="4">
    <numFmt numFmtId="43" formatCode="_-* #,##0.00_-;\-* #,##0.00_-;_-* &quot;-&quot;??_-;_-@_-"/>
    <numFmt numFmtId="164" formatCode="dd/mm/yyyy\ hh:mm:ss"/>
    <numFmt numFmtId="165" formatCode="0.00000"/>
    <numFmt numFmtId="166" formatCode="[$-F400]h:mm:ss\ AM/PM"/>
  </numFmts>
  <fonts count="3">
    <font>
      <sz val="11"/>
      <color theme="1"/>
      <name val="Calibri"/>
      <family val="2"/>
      <scheme val="minor"/>
    </font>
    <font>
      <sz val="10"/>
      <color rgb="FFAAFFFF"/>
      <name val="Courier New"/>
      <family val="3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0" xfId="0" applyNumberFormat="1"/>
    <xf numFmtId="165" fontId="0" fillId="0" borderId="0" xfId="0" applyNumberFormat="1"/>
    <xf numFmtId="3" fontId="1" fillId="0" borderId="0" xfId="0" applyNumberFormat="1" applyFont="1"/>
    <xf numFmtId="43" fontId="0" fillId="0" borderId="0" xfId="1" applyFont="1"/>
    <xf numFmtId="0" fontId="0" fillId="0" borderId="3" xfId="0" applyFill="1" applyBorder="1"/>
    <xf numFmtId="0" fontId="0" fillId="0" borderId="4" xfId="0" applyFill="1" applyBorder="1"/>
    <xf numFmtId="0" fontId="0" fillId="2" borderId="0" xfId="0" applyFill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165" fontId="0" fillId="2" borderId="0" xfId="0" applyNumberFormat="1" applyFill="1"/>
    <xf numFmtId="166" fontId="0" fillId="2" borderId="0" xfId="0" applyNumberFormat="1" applyFill="1"/>
    <xf numFmtId="164" fontId="0" fillId="2" borderId="9" xfId="0" applyNumberFormat="1" applyFill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2"/>
  <sheetViews>
    <sheetView tabSelected="1" workbookViewId="0">
      <selection activeCell="F15" sqref="F15"/>
    </sheetView>
  </sheetViews>
  <sheetFormatPr defaultRowHeight="15"/>
  <cols>
    <col min="1" max="1" width="10.5703125" bestFit="1" customWidth="1"/>
    <col min="4" max="4" width="17.5703125" bestFit="1" customWidth="1"/>
    <col min="5" max="5" width="10.7109375" bestFit="1" customWidth="1"/>
    <col min="6" max="6" width="18.5703125" bestFit="1" customWidth="1"/>
    <col min="9" max="9" width="17.42578125" bestFit="1" customWidth="1"/>
    <col min="10" max="10" width="13.140625" customWidth="1"/>
    <col min="11" max="11" width="10.85546875" bestFit="1" customWidth="1"/>
    <col min="13" max="13" width="13.7109375" bestFit="1" customWidth="1"/>
    <col min="15" max="15" width="9.5703125" bestFit="1" customWidth="1"/>
    <col min="16" max="16" width="10.85546875" bestFit="1" customWidth="1"/>
  </cols>
  <sheetData>
    <row r="1" spans="1:15" ht="15.75" thickBot="1">
      <c r="A1" t="s">
        <v>0</v>
      </c>
    </row>
    <row r="2" spans="1:15">
      <c r="A2" s="1" t="str">
        <f t="array" ref="A2:A21">VBGetObjectNames()</f>
        <v>Sun</v>
      </c>
      <c r="B2" s="2">
        <v>0</v>
      </c>
      <c r="D2" s="13" t="s">
        <v>7</v>
      </c>
      <c r="E2" s="13">
        <v>10</v>
      </c>
    </row>
    <row r="3" spans="1:15">
      <c r="A3" s="3" t="str">
        <v>Moon</v>
      </c>
      <c r="B3" s="4">
        <v>1</v>
      </c>
      <c r="D3" s="13" t="s">
        <v>8</v>
      </c>
      <c r="E3" s="13">
        <v>1010</v>
      </c>
      <c r="I3" s="13" t="s">
        <v>3</v>
      </c>
      <c r="J3" s="17">
        <f>astrodaysfromdt(F8)</f>
        <v>6676.9176851851853</v>
      </c>
    </row>
    <row r="4" spans="1:15">
      <c r="A4" s="3" t="str">
        <v>Mercury</v>
      </c>
      <c r="B4" s="4">
        <v>2</v>
      </c>
      <c r="D4" s="13" t="s">
        <v>24</v>
      </c>
      <c r="E4" s="13">
        <v>-1.31</v>
      </c>
      <c r="I4" s="13" t="s">
        <v>4</v>
      </c>
      <c r="J4" s="13">
        <f>juliandate(YEAR(F8),MONTH(F8),DAY(F8),HOUR(F8), MINUTE(F8), SECOND(F8))</f>
        <v>2458220.4176851851</v>
      </c>
    </row>
    <row r="5" spans="1:15">
      <c r="A5" s="3" t="str">
        <v>Venus</v>
      </c>
      <c r="B5" s="4">
        <v>3</v>
      </c>
      <c r="D5" s="13" t="s">
        <v>25</v>
      </c>
      <c r="E5" s="13">
        <v>51.88</v>
      </c>
      <c r="I5" s="13" t="s">
        <v>5</v>
      </c>
      <c r="J5" s="18">
        <f>LSTFromDt(F8, longi)/24</f>
        <v>0.46980203538201071</v>
      </c>
    </row>
    <row r="6" spans="1:15" ht="15.75" thickBot="1">
      <c r="A6" s="3" t="str">
        <v>Mars</v>
      </c>
      <c r="B6" s="4">
        <v>4</v>
      </c>
    </row>
    <row r="7" spans="1:15" ht="15.75" thickBot="1">
      <c r="A7" s="3" t="str">
        <v>Jupiter</v>
      </c>
      <c r="B7" s="4">
        <v>5</v>
      </c>
      <c r="D7" s="14" t="s">
        <v>1</v>
      </c>
      <c r="E7" s="15" t="s">
        <v>31</v>
      </c>
      <c r="F7" s="16">
        <f>VLOOKUP(E7,planetlookup,2,0)</f>
        <v>14</v>
      </c>
      <c r="J7" t="s">
        <v>26</v>
      </c>
    </row>
    <row r="8" spans="1:15" ht="15.75" thickBot="1">
      <c r="A8" s="3" t="str">
        <v>Saturn</v>
      </c>
      <c r="B8" s="4">
        <v>6</v>
      </c>
      <c r="D8" s="14" t="s">
        <v>2</v>
      </c>
      <c r="E8" s="15"/>
      <c r="F8" s="19">
        <v>43201.917685185188</v>
      </c>
      <c r="G8" t="s">
        <v>19</v>
      </c>
      <c r="H8">
        <v>6</v>
      </c>
      <c r="I8" t="s">
        <v>11</v>
      </c>
      <c r="J8" s="8">
        <f>PlanetXYZ($F$7,$J$3,H8,$J$5,lati, 10,1010)</f>
        <v>274.44009682043452</v>
      </c>
      <c r="K8" t="str">
        <f>Convert_Degree(J8/15)</f>
        <v>18° 17' 46"</v>
      </c>
    </row>
    <row r="9" spans="1:15">
      <c r="A9" s="3" t="str">
        <v>Uranus</v>
      </c>
      <c r="B9" s="4">
        <v>7</v>
      </c>
      <c r="H9">
        <v>7</v>
      </c>
      <c r="I9" t="s">
        <v>12</v>
      </c>
      <c r="J9" s="8">
        <f>PlanetXYZ($F$7,$J$3,H9,$J$5,lati, 10,1010)</f>
        <v>-17.796411217159118</v>
      </c>
      <c r="K9" t="str">
        <f>Convert_Degree(J9)</f>
        <v>-17° 47' 47"</v>
      </c>
    </row>
    <row r="10" spans="1:15">
      <c r="A10" s="3" t="str">
        <v>Neptune</v>
      </c>
      <c r="B10" s="4">
        <v>8</v>
      </c>
      <c r="D10" t="s">
        <v>6</v>
      </c>
      <c r="E10" t="s">
        <v>30</v>
      </c>
      <c r="F10" s="8">
        <f>Eccentricity(F7,J3)</f>
        <v>8.9067999999999994E-2</v>
      </c>
      <c r="H10">
        <v>9</v>
      </c>
      <c r="I10" t="s">
        <v>13</v>
      </c>
      <c r="J10" s="8">
        <f>PlanetXYZ($F$7,$J$3,H10,$J$5,lati, 10,1010)</f>
        <v>89.4303001232025</v>
      </c>
      <c r="K10" t="str">
        <f>Convert_Degree(J10)</f>
        <v>89° 25' 49"</v>
      </c>
      <c r="M10" s="9"/>
    </row>
    <row r="11" spans="1:15">
      <c r="A11" s="3" t="str">
        <v>Earth</v>
      </c>
      <c r="B11" s="4">
        <v>9</v>
      </c>
      <c r="D11" t="s">
        <v>28</v>
      </c>
      <c r="E11" t="s">
        <v>29</v>
      </c>
      <c r="F11" s="8">
        <f>MeanAnomaly(F7,J3)</f>
        <v>6.1823451059522618</v>
      </c>
      <c r="H11">
        <v>8</v>
      </c>
      <c r="I11" t="s">
        <v>14</v>
      </c>
      <c r="J11" s="8">
        <f>PlanetXYZ($F$7,$J$3,H11,$J$5,lati, 10,1010)</f>
        <v>-23.347930433076055</v>
      </c>
      <c r="K11" t="str">
        <f>Convert_Degree(J11)</f>
        <v>-23° 20' 53"</v>
      </c>
    </row>
    <row r="12" spans="1:15">
      <c r="A12" s="3" t="str">
        <v>Pluto</v>
      </c>
      <c r="B12" s="4">
        <v>10</v>
      </c>
      <c r="D12" t="s">
        <v>27</v>
      </c>
      <c r="E12" t="s">
        <v>30</v>
      </c>
      <c r="F12" s="8">
        <f>ArgOfPerihelion(F7,J3)*180/PI()</f>
        <v>150.76142000811043</v>
      </c>
      <c r="H12">
        <v>4</v>
      </c>
      <c r="I12" t="s">
        <v>15</v>
      </c>
      <c r="J12" s="8">
        <f>PlanetXYZ(F7,J3,4,J5,lati, 10,1010)</f>
        <v>247.84804635817855</v>
      </c>
      <c r="K12" t="str">
        <f>Convert_Degree(J12)</f>
        <v>247° 50' 53"</v>
      </c>
    </row>
    <row r="13" spans="1:15">
      <c r="A13" s="3" t="str">
        <v>(1) Ceres</v>
      </c>
      <c r="B13" s="4">
        <v>11</v>
      </c>
      <c r="D13" t="s">
        <v>9</v>
      </c>
      <c r="E13" t="s">
        <v>30</v>
      </c>
      <c r="F13" s="8">
        <f>LongOfAscNode(F7,J3)*180/PI()</f>
        <v>187.68548545933146</v>
      </c>
      <c r="H13">
        <v>5</v>
      </c>
      <c r="I13" t="s">
        <v>16</v>
      </c>
      <c r="J13" s="8">
        <f>PlanetXYZ(F7,J3,5,J5,lati, 10,1010)</f>
        <v>4.2073000624627346</v>
      </c>
      <c r="K13" t="str">
        <f>Convert_Degree(J13)</f>
        <v>4° 12' 26"</v>
      </c>
    </row>
    <row r="14" spans="1:15">
      <c r="A14" s="3" t="str">
        <v>(2) Pallas</v>
      </c>
      <c r="B14" s="4">
        <v>12</v>
      </c>
      <c r="D14" t="s">
        <v>10</v>
      </c>
      <c r="E14" t="s">
        <v>30</v>
      </c>
      <c r="F14" s="8">
        <f>EccentricAnomaly(F11,F10)*180/PI()</f>
        <v>353.65862049356923</v>
      </c>
      <c r="H14">
        <v>10</v>
      </c>
      <c r="I14" t="s">
        <v>17</v>
      </c>
      <c r="J14" s="8">
        <f>PlanetXYZ($F$7,$J$3,H14,$J$5,lati, 10,1010)</f>
        <v>1.6258972048923674</v>
      </c>
      <c r="O14" s="8"/>
    </row>
    <row r="15" spans="1:15">
      <c r="A15" s="3" t="str">
        <v>(3) Juno</v>
      </c>
      <c r="B15" s="4">
        <v>13</v>
      </c>
      <c r="I15" t="s">
        <v>18</v>
      </c>
      <c r="J15" s="8">
        <f>PlanDist(F7,J3)</f>
        <v>2.1530030261092246</v>
      </c>
      <c r="O15" s="8"/>
    </row>
    <row r="16" spans="1:15">
      <c r="A16" s="3" t="str">
        <v>(4) Vesta</v>
      </c>
      <c r="B16" s="4">
        <v>14</v>
      </c>
      <c r="I16" t="s">
        <v>20</v>
      </c>
      <c r="J16" s="8">
        <f>VisualMagnitude(F7,J3)</f>
        <v>6.2240814425044162</v>
      </c>
      <c r="O16" s="8"/>
    </row>
    <row r="17" spans="1:15">
      <c r="A17" s="11" t="str">
        <v>(5) Astraea</v>
      </c>
      <c r="B17" s="12">
        <v>15</v>
      </c>
      <c r="I17" t="s">
        <v>21</v>
      </c>
      <c r="J17" s="8">
        <f>ApparentSize(F7,J3)</f>
        <v>0</v>
      </c>
      <c r="O17" s="8"/>
    </row>
    <row r="18" spans="1:15">
      <c r="A18" t="str">
        <v>(6) Hebe</v>
      </c>
      <c r="B18" s="12">
        <v>16</v>
      </c>
      <c r="I18" t="s">
        <v>22</v>
      </c>
      <c r="J18">
        <f>Elongation(F7,J3)</f>
        <v>107.6349356336313</v>
      </c>
      <c r="O18" s="8"/>
    </row>
    <row r="19" spans="1:15">
      <c r="A19" t="str">
        <v>(7) Iris</v>
      </c>
      <c r="B19" s="12">
        <v>17</v>
      </c>
      <c r="I19" t="s">
        <v>23</v>
      </c>
      <c r="J19">
        <f>Phase(F7,J3)</f>
        <v>0.94810255948000144</v>
      </c>
      <c r="O19" s="8"/>
    </row>
    <row r="20" spans="1:15">
      <c r="A20" t="str">
        <v>(8) Flora</v>
      </c>
      <c r="B20" s="12">
        <v>18</v>
      </c>
      <c r="D20" s="7">
        <v>36525</v>
      </c>
      <c r="E20" s="10">
        <f>D20*1</f>
        <v>36525</v>
      </c>
      <c r="K20" s="10"/>
      <c r="O20" s="8"/>
    </row>
    <row r="21" spans="1:15" ht="15.75" thickBot="1">
      <c r="A21" s="5" t="str">
        <v>(9) Metis</v>
      </c>
      <c r="B21" s="6">
        <v>19</v>
      </c>
      <c r="D21">
        <f>astrodaysfromdt(D20)</f>
        <v>0</v>
      </c>
      <c r="O21" s="8"/>
    </row>
    <row r="22" spans="1:15">
      <c r="O22" s="8"/>
    </row>
    <row r="23" spans="1:15">
      <c r="O23" s="8"/>
    </row>
    <row r="24" spans="1:15">
      <c r="O24" s="8"/>
    </row>
    <row r="28" spans="1:15">
      <c r="F28" s="7"/>
    </row>
    <row r="29" spans="1:15">
      <c r="O29" s="8"/>
    </row>
    <row r="30" spans="1:15">
      <c r="O30" s="8"/>
    </row>
    <row r="31" spans="1:15">
      <c r="O31" s="8"/>
    </row>
    <row r="32" spans="1:15">
      <c r="F32" s="8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4:D9"/>
  <sheetViews>
    <sheetView workbookViewId="0">
      <selection activeCell="B1" sqref="B1:H1048576"/>
    </sheetView>
  </sheetViews>
  <sheetFormatPr defaultRowHeight="15"/>
  <cols>
    <col min="3" max="3" width="10.7109375" bestFit="1" customWidth="1"/>
    <col min="4" max="4" width="12.7109375" bestFit="1" customWidth="1"/>
  </cols>
  <sheetData>
    <row r="4" spans="3:4">
      <c r="C4" s="7"/>
      <c r="D4" s="7"/>
    </row>
    <row r="9" spans="3:4">
      <c r="D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AU</vt:lpstr>
      <vt:lpstr>lati</vt:lpstr>
      <vt:lpstr>longi</vt:lpstr>
      <vt:lpstr>planetlookup</vt:lpstr>
      <vt:lpstr>planlookup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dcterms:created xsi:type="dcterms:W3CDTF">2018-04-11T09:51:33Z</dcterms:created>
  <dcterms:modified xsi:type="dcterms:W3CDTF">2018-05-29T22:30:04Z</dcterms:modified>
</cp:coreProperties>
</file>