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30" windowWidth="20115" windowHeight="8010"/>
  </bookViews>
  <sheets>
    <sheet name="Sheet1" sheetId="1" r:id="rId1"/>
    <sheet name="Sheet2" sheetId="2" r:id="rId2"/>
    <sheet name="Sheet3" sheetId="3" r:id="rId3"/>
  </sheets>
  <functionGroups/>
  <definedNames>
    <definedName name="lati">Sheet1!$B$1</definedName>
    <definedName name="longi">Sheet1!$B$2</definedName>
  </definedNames>
  <calcPr calcId="125725"/>
</workbook>
</file>

<file path=xl/calcChain.xml><?xml version="1.0" encoding="utf-8"?>
<calcChain xmlns="http://schemas.openxmlformats.org/spreadsheetml/2006/main">
  <c r="A7" i="1"/>
  <c r="B7"/>
  <c r="C7"/>
  <c r="C6"/>
  <c r="B6"/>
  <c r="D6"/>
  <c r="E6"/>
  <c r="F6"/>
  <c r="G6"/>
  <c r="H6"/>
  <c r="I6"/>
  <c r="J6"/>
  <c r="K6"/>
  <c r="L6"/>
  <c r="M6"/>
  <c r="N6"/>
  <c r="O6"/>
  <c r="P6"/>
  <c r="Q6"/>
  <c r="D7"/>
  <c r="E7"/>
  <c r="F7"/>
  <c r="G7"/>
  <c r="H7"/>
  <c r="I7"/>
  <c r="J7"/>
  <c r="K7"/>
  <c r="L7"/>
  <c r="M7"/>
  <c r="N7"/>
  <c r="O7"/>
  <c r="P7"/>
  <c r="Q7"/>
  <c r="R7"/>
  <c r="S7"/>
  <c r="R6"/>
  <c r="S6"/>
  <c r="T7"/>
  <c r="U7"/>
  <c r="T6"/>
  <c r="U6"/>
  <c r="V7"/>
  <c r="W7"/>
  <c r="V6"/>
  <c r="W6"/>
  <c r="A8" l="1"/>
  <c r="B8"/>
  <c r="C8"/>
  <c r="I8" s="1"/>
  <c r="D8"/>
  <c r="E8"/>
  <c r="F8"/>
  <c r="G8"/>
  <c r="H8"/>
  <c r="J8"/>
  <c r="K8"/>
  <c r="L8"/>
  <c r="M8"/>
  <c r="N8"/>
  <c r="O8"/>
  <c r="P8"/>
  <c r="Q8"/>
  <c r="R8"/>
  <c r="S8"/>
  <c r="T8"/>
  <c r="U8"/>
  <c r="V8"/>
  <c r="W8"/>
  <c r="A9" l="1"/>
  <c r="B9"/>
  <c r="C9"/>
  <c r="D9"/>
  <c r="E9"/>
  <c r="F9"/>
  <c r="G9"/>
  <c r="H9"/>
  <c r="I9"/>
  <c r="J9"/>
  <c r="K9"/>
  <c r="L9"/>
  <c r="M9"/>
  <c r="N9"/>
  <c r="O9"/>
  <c r="P9"/>
  <c r="Q9"/>
  <c r="R9"/>
  <c r="S9"/>
  <c r="T9"/>
  <c r="U9"/>
  <c r="V9"/>
  <c r="W9"/>
  <c r="A10" l="1"/>
  <c r="B10"/>
  <c r="C10"/>
  <c r="D10"/>
  <c r="E10"/>
  <c r="F10"/>
  <c r="G10"/>
  <c r="H10"/>
  <c r="I10"/>
  <c r="J10"/>
  <c r="K10"/>
  <c r="L10"/>
  <c r="M10"/>
  <c r="N10"/>
  <c r="O10"/>
  <c r="P10"/>
  <c r="Q10"/>
  <c r="R10"/>
  <c r="S10"/>
  <c r="T10"/>
  <c r="U10"/>
  <c r="V10"/>
  <c r="W10"/>
  <c r="A11" l="1"/>
  <c r="B11"/>
  <c r="C11"/>
  <c r="D11"/>
  <c r="E11"/>
  <c r="F11"/>
  <c r="G11"/>
  <c r="H11"/>
  <c r="I11"/>
  <c r="J11"/>
  <c r="K11"/>
  <c r="L11"/>
  <c r="M11"/>
  <c r="N11"/>
  <c r="O11"/>
  <c r="P11"/>
  <c r="Q11"/>
  <c r="R11"/>
  <c r="S11"/>
  <c r="T11"/>
  <c r="U11"/>
  <c r="V11"/>
  <c r="W11"/>
  <c r="A12" l="1"/>
  <c r="B12"/>
  <c r="C12"/>
  <c r="D12"/>
  <c r="E12"/>
  <c r="F12"/>
  <c r="G12"/>
  <c r="H12"/>
  <c r="I12"/>
  <c r="J12"/>
  <c r="K12"/>
  <c r="L12"/>
  <c r="M12"/>
  <c r="N12"/>
  <c r="O12"/>
  <c r="P12"/>
  <c r="Q12"/>
  <c r="R12"/>
  <c r="S12"/>
  <c r="T12"/>
  <c r="U12"/>
  <c r="V12"/>
  <c r="W12"/>
  <c r="A13" l="1"/>
  <c r="B13"/>
  <c r="C13"/>
  <c r="D13"/>
  <c r="E13"/>
  <c r="F13"/>
  <c r="G13"/>
  <c r="H13"/>
  <c r="I13"/>
  <c r="J13"/>
  <c r="K13"/>
  <c r="L13"/>
  <c r="M13"/>
  <c r="N13"/>
  <c r="O13"/>
  <c r="P13"/>
  <c r="Q13"/>
  <c r="R13"/>
  <c r="S13"/>
  <c r="T13"/>
  <c r="U13"/>
  <c r="V13"/>
  <c r="W13"/>
  <c r="A14" l="1"/>
  <c r="B14"/>
  <c r="C14"/>
  <c r="D14"/>
  <c r="E14"/>
  <c r="F14"/>
  <c r="G14"/>
  <c r="H14"/>
  <c r="I14"/>
  <c r="J14"/>
  <c r="K14"/>
  <c r="L14"/>
  <c r="M14"/>
  <c r="N14"/>
  <c r="O14"/>
  <c r="P14"/>
  <c r="Q14"/>
  <c r="R14"/>
  <c r="S14"/>
  <c r="T14"/>
  <c r="U14"/>
  <c r="V14"/>
  <c r="W14"/>
  <c r="A15" l="1"/>
  <c r="B15"/>
  <c r="C15"/>
  <c r="D15"/>
  <c r="E15"/>
  <c r="F15"/>
  <c r="G15"/>
  <c r="H15"/>
  <c r="I15"/>
  <c r="J15"/>
  <c r="K15"/>
  <c r="L15"/>
  <c r="M15"/>
  <c r="N15"/>
  <c r="O15"/>
  <c r="P15"/>
  <c r="Q15"/>
  <c r="R15"/>
  <c r="S15"/>
  <c r="T15"/>
  <c r="U15"/>
  <c r="V15"/>
  <c r="W15"/>
  <c r="A16" l="1"/>
  <c r="B16"/>
  <c r="C16"/>
  <c r="D16"/>
  <c r="E16"/>
  <c r="F16"/>
  <c r="G16"/>
  <c r="H16"/>
  <c r="I16"/>
  <c r="J16"/>
  <c r="K16"/>
  <c r="L16"/>
  <c r="M16"/>
  <c r="N16"/>
  <c r="O16"/>
  <c r="P16"/>
  <c r="Q16"/>
  <c r="R16"/>
  <c r="S16"/>
  <c r="T16"/>
  <c r="U16"/>
  <c r="V16"/>
  <c r="W16"/>
  <c r="A17" l="1"/>
  <c r="B17"/>
  <c r="C17"/>
  <c r="D17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A18" l="1"/>
  <c r="B18"/>
  <c r="C18"/>
  <c r="D18"/>
  <c r="E18"/>
  <c r="F18"/>
  <c r="G18"/>
  <c r="H18"/>
  <c r="I18"/>
  <c r="J18"/>
  <c r="K18"/>
  <c r="L18"/>
  <c r="M18"/>
  <c r="N18"/>
  <c r="O18"/>
  <c r="P18"/>
  <c r="Q18"/>
  <c r="R18"/>
  <c r="S18"/>
  <c r="T18"/>
  <c r="U18"/>
  <c r="V18"/>
  <c r="W18"/>
  <c r="A19" l="1"/>
  <c r="B19"/>
  <c r="C19"/>
  <c r="D19"/>
  <c r="E19"/>
  <c r="F19"/>
  <c r="G19"/>
  <c r="H19"/>
  <c r="I19"/>
  <c r="J19"/>
  <c r="K19"/>
  <c r="L19"/>
  <c r="M19"/>
  <c r="N19"/>
  <c r="O19"/>
  <c r="P19"/>
  <c r="Q19"/>
  <c r="R19"/>
  <c r="S19"/>
  <c r="T19"/>
  <c r="U19"/>
  <c r="V19"/>
  <c r="W19"/>
  <c r="A20" l="1"/>
  <c r="B20"/>
  <c r="C20"/>
  <c r="D20"/>
  <c r="E20"/>
  <c r="F20"/>
  <c r="G20"/>
  <c r="H20"/>
  <c r="I20"/>
  <c r="J20"/>
  <c r="K20"/>
  <c r="L20"/>
  <c r="M20"/>
  <c r="N20"/>
  <c r="O20"/>
  <c r="P20"/>
  <c r="Q20"/>
  <c r="R20"/>
  <c r="S20"/>
  <c r="T20"/>
  <c r="U20"/>
  <c r="V20"/>
  <c r="W20"/>
  <c r="A21" l="1"/>
  <c r="B21"/>
  <c r="C21"/>
  <c r="D21"/>
  <c r="E21"/>
  <c r="F21"/>
  <c r="G21"/>
  <c r="H21"/>
  <c r="I21"/>
  <c r="J21"/>
  <c r="K21"/>
  <c r="L21"/>
  <c r="M21"/>
  <c r="N21"/>
  <c r="O21"/>
  <c r="P21"/>
  <c r="Q21"/>
  <c r="R21"/>
  <c r="S21"/>
  <c r="T21"/>
  <c r="U21"/>
  <c r="V21"/>
  <c r="W21"/>
  <c r="A22" l="1"/>
  <c r="B22"/>
  <c r="C22"/>
  <c r="D22"/>
  <c r="E22"/>
  <c r="F22"/>
  <c r="G22"/>
  <c r="H22"/>
  <c r="I22"/>
  <c r="J22"/>
  <c r="K22"/>
  <c r="L22"/>
  <c r="M22"/>
  <c r="N22"/>
  <c r="O22"/>
  <c r="P22"/>
  <c r="Q22"/>
  <c r="R22"/>
  <c r="S22"/>
  <c r="T22"/>
  <c r="U22"/>
  <c r="V22"/>
  <c r="W22"/>
  <c r="A23" l="1"/>
  <c r="A24" s="1"/>
  <c r="A25" s="1"/>
  <c r="A26" s="1"/>
  <c r="A27" s="1"/>
</calcChain>
</file>

<file path=xl/sharedStrings.xml><?xml version="1.0" encoding="utf-8"?>
<sst xmlns="http://schemas.openxmlformats.org/spreadsheetml/2006/main" count="35" uniqueCount="17">
  <si>
    <t>Moon</t>
  </si>
  <si>
    <t>Mercury</t>
  </si>
  <si>
    <t>Venus</t>
  </si>
  <si>
    <t>Mars</t>
  </si>
  <si>
    <t>Jupiter</t>
  </si>
  <si>
    <t>Saturn</t>
  </si>
  <si>
    <t>Uranus</t>
  </si>
  <si>
    <t>Neptune</t>
  </si>
  <si>
    <t>Pluto</t>
  </si>
  <si>
    <t>Ceres</t>
  </si>
  <si>
    <t>DATE</t>
  </si>
  <si>
    <t>Astrodt</t>
  </si>
  <si>
    <t>Lat</t>
  </si>
  <si>
    <t>Long</t>
  </si>
  <si>
    <t>RA</t>
  </si>
  <si>
    <t>Dec</t>
  </si>
  <si>
    <t>LST</t>
  </si>
</sst>
</file>

<file path=xl/styles.xml><?xml version="1.0" encoding="utf-8"?>
<styleSheet xmlns="http://schemas.openxmlformats.org/spreadsheetml/2006/main">
  <numFmts count="1">
    <numFmt numFmtId="43" formatCode="_-* #,##0.00_-;\-* #,##0.00_-;_-* &quot;-&quot;??_-;_-@_-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">
    <xf numFmtId="0" fontId="0" fillId="0" borderId="0" xfId="0"/>
    <xf numFmtId="14" fontId="0" fillId="0" borderId="0" xfId="0" applyNumberFormat="1"/>
    <xf numFmtId="43" fontId="0" fillId="0" borderId="0" xfId="1" applyFont="1"/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2" fillId="0" borderId="0" xfId="0" applyFon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W27"/>
  <sheetViews>
    <sheetView tabSelected="1" workbookViewId="0">
      <selection activeCell="V22" sqref="V22"/>
    </sheetView>
  </sheetViews>
  <sheetFormatPr defaultRowHeight="15"/>
  <cols>
    <col min="1" max="1" width="10.7109375" bestFit="1" customWidth="1"/>
    <col min="2" max="2" width="9.5703125" bestFit="1" customWidth="1"/>
    <col min="3" max="3" width="7" bestFit="1" customWidth="1"/>
    <col min="4" max="4" width="8" bestFit="1" customWidth="1"/>
    <col min="5" max="5" width="7" bestFit="1" customWidth="1"/>
    <col min="6" max="6" width="8.28515625" bestFit="1" customWidth="1"/>
    <col min="7" max="7" width="7" bestFit="1" customWidth="1"/>
    <col min="8" max="8" width="8" bestFit="1" customWidth="1"/>
    <col min="9" max="9" width="7" bestFit="1" customWidth="1"/>
    <col min="10" max="10" width="8" bestFit="1" customWidth="1"/>
    <col min="11" max="11" width="7" bestFit="1" customWidth="1"/>
    <col min="12" max="12" width="8" bestFit="1" customWidth="1"/>
    <col min="13" max="13" width="7" bestFit="1" customWidth="1"/>
    <col min="14" max="14" width="8" bestFit="1" customWidth="1"/>
    <col min="15" max="15" width="7" bestFit="1" customWidth="1"/>
    <col min="16" max="16" width="7.140625" bestFit="1" customWidth="1"/>
    <col min="17" max="17" width="7" bestFit="1" customWidth="1"/>
    <col min="18" max="18" width="8.85546875" bestFit="1" customWidth="1"/>
    <col min="19" max="19" width="6" bestFit="1" customWidth="1"/>
    <col min="20" max="20" width="8" bestFit="1" customWidth="1"/>
    <col min="21" max="21" width="7" bestFit="1" customWidth="1"/>
    <col min="22" max="22" width="8" bestFit="1" customWidth="1"/>
    <col min="23" max="23" width="7" bestFit="1" customWidth="1"/>
  </cols>
  <sheetData>
    <row r="1" spans="1:23">
      <c r="A1" t="s">
        <v>12</v>
      </c>
      <c r="B1" s="3">
        <v>51.883000000000003</v>
      </c>
      <c r="C1" s="3"/>
    </row>
    <row r="2" spans="1:23">
      <c r="A2" t="s">
        <v>13</v>
      </c>
      <c r="B2" s="4">
        <v>-1.3080000000000001</v>
      </c>
      <c r="C2" s="4"/>
    </row>
    <row r="3" spans="1:23">
      <c r="D3" t="s">
        <v>0</v>
      </c>
      <c r="F3" t="s">
        <v>1</v>
      </c>
      <c r="H3" t="s">
        <v>2</v>
      </c>
      <c r="J3" t="s">
        <v>3</v>
      </c>
      <c r="L3" t="s">
        <v>4</v>
      </c>
      <c r="N3" t="s">
        <v>5</v>
      </c>
      <c r="P3" t="s">
        <v>6</v>
      </c>
      <c r="R3" t="s">
        <v>7</v>
      </c>
      <c r="T3" t="s">
        <v>8</v>
      </c>
      <c r="V3" t="s">
        <v>9</v>
      </c>
    </row>
    <row r="4" spans="1:23">
      <c r="D4">
        <v>1</v>
      </c>
      <c r="F4">
        <v>2</v>
      </c>
      <c r="H4">
        <v>3</v>
      </c>
      <c r="J4">
        <v>4</v>
      </c>
      <c r="L4">
        <v>5</v>
      </c>
      <c r="N4">
        <v>6</v>
      </c>
      <c r="P4">
        <v>7</v>
      </c>
      <c r="R4">
        <v>8</v>
      </c>
      <c r="T4">
        <v>10</v>
      </c>
      <c r="V4">
        <v>11</v>
      </c>
    </row>
    <row r="5" spans="1:23">
      <c r="A5" s="5" t="s">
        <v>10</v>
      </c>
      <c r="B5" s="5" t="s">
        <v>11</v>
      </c>
      <c r="C5" s="5" t="s">
        <v>16</v>
      </c>
      <c r="D5" s="5" t="s">
        <v>14</v>
      </c>
      <c r="E5" s="5" t="s">
        <v>15</v>
      </c>
      <c r="F5" s="5" t="s">
        <v>14</v>
      </c>
      <c r="G5" s="5" t="s">
        <v>15</v>
      </c>
      <c r="H5" s="5" t="s">
        <v>14</v>
      </c>
      <c r="I5" s="5" t="s">
        <v>15</v>
      </c>
      <c r="J5" s="5" t="s">
        <v>14</v>
      </c>
      <c r="K5" s="5" t="s">
        <v>15</v>
      </c>
      <c r="L5" s="5" t="s">
        <v>14</v>
      </c>
      <c r="M5" s="5" t="s">
        <v>15</v>
      </c>
      <c r="N5" s="5" t="s">
        <v>14</v>
      </c>
      <c r="O5" s="5" t="s">
        <v>15</v>
      </c>
      <c r="P5" s="5" t="s">
        <v>14</v>
      </c>
      <c r="Q5" s="5" t="s">
        <v>15</v>
      </c>
      <c r="R5" s="5" t="s">
        <v>14</v>
      </c>
      <c r="S5" s="5" t="s">
        <v>15</v>
      </c>
      <c r="T5" s="5" t="s">
        <v>14</v>
      </c>
      <c r="U5" s="5" t="s">
        <v>15</v>
      </c>
      <c r="V5" s="5" t="s">
        <v>14</v>
      </c>
      <c r="W5" s="5" t="s">
        <v>15</v>
      </c>
    </row>
    <row r="6" spans="1:23">
      <c r="A6" s="1">
        <v>43448</v>
      </c>
      <c r="B6" s="2">
        <f>AstroDaysFromDt(A6)</f>
        <v>6923</v>
      </c>
      <c r="C6" s="2">
        <f>LSTFromDt(A6,longi)</f>
        <v>5.4209631331967714</v>
      </c>
      <c r="D6" s="2">
        <f>PlanetXYZ(D$4,$B6,6,$C6,lati, 10,1010)</f>
        <v>338.56854099026805</v>
      </c>
      <c r="E6" s="2">
        <f>PlanetXYZ(D$4,$B6,7,$C6,lati, 10,1010)</f>
        <v>-12.513456281497879</v>
      </c>
      <c r="F6" s="2">
        <f>PlanetXYZ(F$4,$B6,6,$C6,lati, 10,1010)</f>
        <v>239.24768525622119</v>
      </c>
      <c r="G6" s="2">
        <f>PlanetXYZ(F$4,$B6,7,$C6,lati, 10,1010)</f>
        <v>-17.989638658062702</v>
      </c>
      <c r="H6" s="2">
        <f>PlanetXYZ(H$4,$B6,6,$C6,lati, 10,1010)</f>
        <v>216.07648435880768</v>
      </c>
      <c r="I6" s="2">
        <f>PlanetXYZ(H$4,$B6,7,$C6,lati, 10,1010)</f>
        <v>-11.420804546080074</v>
      </c>
      <c r="J6" s="2">
        <f>PlanetXYZ(J$4,$B6,6,$C6,lati, 10,1010)</f>
        <v>349.22286490465478</v>
      </c>
      <c r="K6" s="2">
        <f>PlanetXYZ(J$4,$B6,7,$C6,lati, 10,1010)</f>
        <v>-5.4557470688332188</v>
      </c>
      <c r="L6" s="2">
        <f>PlanetXYZ(L$4,$B6,6,$C6,lati, 10,1010)</f>
        <v>246.57047263630076</v>
      </c>
      <c r="M6" s="2">
        <f>PlanetXYZ(L$4,$B6,7,$C6,lati, 10,1010)</f>
        <v>-21.043443818868703</v>
      </c>
      <c r="N6" s="2">
        <f>PlanetXYZ(N$4,$B6,6,$C6,lati, 10,1010)</f>
        <v>279.50316782708325</v>
      </c>
      <c r="O6" s="2">
        <f>PlanetXYZ(N$4,$B6,7,$C6,lati, 10,1010)</f>
        <v>-22.640816112341451</v>
      </c>
      <c r="P6" s="2">
        <f>PlanetXYZ(P$4,$B6,6,$C6,lati, 10,1010)</f>
        <v>27.046434903692429</v>
      </c>
      <c r="Q6" s="2">
        <f>PlanetXYZ(P$4,$B6,7,$C6,lati, 10,1010)</f>
        <v>10.569731672543151</v>
      </c>
      <c r="R6" s="2">
        <f>PlanetXYZ(R$4,$B6,6,$C6,lati, 10,1010)</f>
        <v>345.47287614585758</v>
      </c>
      <c r="S6" s="2">
        <f>PlanetXYZ(R$4,$B6,7,$C6,lati, 10,1010)</f>
        <v>-7.2647899540837395</v>
      </c>
      <c r="T6" s="2">
        <f>PlanetXYZ(T$4,$B6,6,$C6,lati, 10,1010)</f>
        <v>291.67177401705328</v>
      </c>
      <c r="U6" s="2">
        <f>PlanetXYZ(T$4,$B6,7,$C6,lati, 10,1010)</f>
        <v>-22.018873288694312</v>
      </c>
      <c r="V6" s="2">
        <f>PlanetXYZ(V$4,$B6,6,$C6,lati, 10,1010)</f>
        <v>261.22164692321428</v>
      </c>
      <c r="W6" s="2">
        <f>PlanetXYZ(V$4,$B6,7,$C6,lati, 10,1010)</f>
        <v>-23.191451431107506</v>
      </c>
    </row>
    <row r="7" spans="1:23">
      <c r="A7" s="1">
        <f>A6+7</f>
        <v>43455</v>
      </c>
      <c r="B7" s="2">
        <f t="shared" ref="B7:B22" si="0">AstroDaysFromDt(A7)</f>
        <v>6930</v>
      </c>
      <c r="C7" s="2">
        <f>LSTFromDt(A7,longi)</f>
        <v>5.8809319058359435</v>
      </c>
      <c r="D7" s="2">
        <f>PlanetXYZ(D$4,$B7,6,$C7,lati, 10,1010)</f>
        <v>64.36053235618111</v>
      </c>
      <c r="E7" s="2">
        <f>PlanetXYZ(D$4,$B7,7,$C7,lati, 10,1010)</f>
        <v>17.198552160916559</v>
      </c>
      <c r="F7" s="2">
        <f>PlanetXYZ(F$4,$B7,6,$C7,lati, 10,1010)</f>
        <v>247.18460096264369</v>
      </c>
      <c r="G7" s="2">
        <f>PlanetXYZ(F$4,$B7,7,$C7,lati, 10,1010)</f>
        <v>-20.191207526441698</v>
      </c>
      <c r="H7" s="2">
        <f>PlanetXYZ(H$4,$B7,6,$C7,lati, 10,1010)</f>
        <v>221.80414274720775</v>
      </c>
      <c r="I7" s="2">
        <f>PlanetXYZ(H$4,$B7,7,$C7,lati, 10,1010)</f>
        <v>-12.809197555164324</v>
      </c>
      <c r="J7" s="2">
        <f>PlanetXYZ(J$4,$B7,6,$C7,lati, 10,1010)</f>
        <v>353.42336165168257</v>
      </c>
      <c r="K7" s="2">
        <f>PlanetXYZ(J$4,$B7,7,$C7,lati, 10,1010)</f>
        <v>-3.4590105299860987</v>
      </c>
      <c r="L7" s="2">
        <f>PlanetXYZ(L$4,$B7,6,$C7,lati, 10,1010)</f>
        <v>248.18039461780464</v>
      </c>
      <c r="M7" s="2">
        <f>PlanetXYZ(L$4,$B7,7,$C7,lati, 10,1010)</f>
        <v>-21.281378657161579</v>
      </c>
      <c r="N7" s="2">
        <f>PlanetXYZ(N$4,$B7,6,$C7,lati, 10,1010)</f>
        <v>280.39019020301407</v>
      </c>
      <c r="O7" s="2">
        <f>PlanetXYZ(N$4,$B7,7,$C7,lati, 10,1010)</f>
        <v>-22.592275105359192</v>
      </c>
      <c r="P7" s="2">
        <f>PlanetXYZ(P$4,$B7,6,$C7,lati, 10,1010)</f>
        <v>26.932220675371081</v>
      </c>
      <c r="Q7" s="2">
        <f>PlanetXYZ(P$4,$B7,7,$C7,lati, 10,1010)</f>
        <v>10.531047972743407</v>
      </c>
      <c r="R7" s="2">
        <f>PlanetXYZ(R$4,$B7,6,$C7,lati, 10,1010)</f>
        <v>345.55576876722586</v>
      </c>
      <c r="S7" s="2">
        <f>PlanetXYZ(R$4,$B7,7,$C7,lati, 10,1010)</f>
        <v>-7.2274618206734109</v>
      </c>
      <c r="T7" s="2">
        <f>PlanetXYZ(T$4,$B7,6,$C7,lati, 10,1010)</f>
        <v>291.90785583666468</v>
      </c>
      <c r="U7" s="2">
        <f>PlanetXYZ(T$4,$B7,7,$C7,lati, 10,1010)</f>
        <v>-21.996830264107647</v>
      </c>
      <c r="V7" s="2">
        <f>PlanetXYZ(V$4,$B7,6,$C7,lati, 10,1010)</f>
        <v>268.9749376743037</v>
      </c>
      <c r="W7" s="2">
        <f>PlanetXYZ(V$4,$B7,7,$C7,lati, 10,1010)</f>
        <v>-23.433477039870471</v>
      </c>
    </row>
    <row r="8" spans="1:23">
      <c r="A8" s="1">
        <f t="shared" ref="A8:A27" si="1">A7+7</f>
        <v>43462</v>
      </c>
      <c r="B8" s="2">
        <f t="shared" si="0"/>
        <v>6937</v>
      </c>
      <c r="C8" s="2">
        <f>LSTFromDt(A8,longi)</f>
        <v>6.3409006784770483</v>
      </c>
      <c r="D8" s="2">
        <f>PlanetXYZ(D$4,$B8,6,$C8,lati, 10,1010)</f>
        <v>170.68144547789595</v>
      </c>
      <c r="E8" s="2">
        <f>PlanetXYZ(D$4,$B8,7,$C8,lati, 10,1010)</f>
        <v>8.4817858853268948</v>
      </c>
      <c r="F8" s="2">
        <f>PlanetXYZ(F$4,$B8,6,$C8,lati, 10,1010)</f>
        <v>257.13747035342021</v>
      </c>
      <c r="G8" s="2">
        <f>PlanetXYZ(F$4,$B8,7,$C8,lati, 10,1010)</f>
        <v>-22.26792341403274</v>
      </c>
      <c r="H8" s="2">
        <f>PlanetXYZ(H$4,$B8,6,$C8,lati, 10,1010)</f>
        <v>228.14585552286115</v>
      </c>
      <c r="I8" s="2">
        <f>PlanetXYZ(H$4,$B8,7,$C8,lati, 10,1010)</f>
        <v>-14.384553110610845</v>
      </c>
      <c r="J8" s="2">
        <f>PlanetXYZ(J$4,$B8,6,$C8,lati, 10,1010)</f>
        <v>357.64868471656979</v>
      </c>
      <c r="K8" s="2">
        <f>PlanetXYZ(J$4,$B8,7,$C8,lati, 10,1010)</f>
        <v>-1.4455343098935542</v>
      </c>
      <c r="L8" s="2">
        <f>PlanetXYZ(L$4,$B8,6,$C8,lati, 10,1010)</f>
        <v>249.76574057863075</v>
      </c>
      <c r="M8" s="2">
        <f>PlanetXYZ(L$4,$B8,7,$C8,lati, 10,1010)</f>
        <v>-21.498766091173369</v>
      </c>
      <c r="N8" s="2">
        <f>PlanetXYZ(N$4,$B8,6,$C8,lati, 10,1010)</f>
        <v>281.29181779625094</v>
      </c>
      <c r="O8" s="2">
        <f>PlanetXYZ(N$4,$B8,7,$C8,lati, 10,1010)</f>
        <v>-22.537064414198408</v>
      </c>
      <c r="P8" s="2">
        <f>PlanetXYZ(P$4,$B8,6,$C8,lati, 10,1010)</f>
        <v>26.855519088197237</v>
      </c>
      <c r="Q8" s="2">
        <f>PlanetXYZ(P$4,$B8,7,$C8,lati, 10,1010)</f>
        <v>10.506492995238229</v>
      </c>
      <c r="R8" s="2">
        <f>PlanetXYZ(R$4,$B8,6,$C8,lati, 10,1010)</f>
        <v>345.66347245013725</v>
      </c>
      <c r="S8" s="2">
        <f>PlanetXYZ(R$4,$B8,7,$C8,lati, 10,1010)</f>
        <v>-7.1799908918633895</v>
      </c>
      <c r="T8" s="2">
        <f>PlanetXYZ(T$4,$B8,6,$C8,lati, 10,1010)</f>
        <v>292.15276191899017</v>
      </c>
      <c r="U8" s="2">
        <f>PlanetXYZ(T$4,$B8,7,$C8,lati, 10,1010)</f>
        <v>-21.973203575903945</v>
      </c>
      <c r="V8" s="2">
        <f>PlanetXYZ(V$4,$B8,6,$C8,lati, 10,1010)</f>
        <v>276.74190108416764</v>
      </c>
      <c r="W8" s="2">
        <f>PlanetXYZ(V$4,$B8,7,$C8,lati, 10,1010)</f>
        <v>-23.292081009877947</v>
      </c>
    </row>
    <row r="9" spans="1:23">
      <c r="A9" s="1">
        <f t="shared" si="1"/>
        <v>43469</v>
      </c>
      <c r="B9" s="2">
        <f t="shared" si="0"/>
        <v>6944</v>
      </c>
      <c r="C9" s="2">
        <f>LSTFromDt(A9,longi)</f>
        <v>6.8008694511200289</v>
      </c>
      <c r="D9" s="2">
        <f>PlanetXYZ(D$4,$B9,6,$C9,lati, 10,1010)</f>
        <v>259.69969066688992</v>
      </c>
      <c r="E9" s="2">
        <f>PlanetXYZ(D$4,$B9,7,$C9,lati, 10,1010)</f>
        <v>-19.944134454605045</v>
      </c>
      <c r="F9" s="2">
        <f>PlanetXYZ(F$4,$B9,6,$C9,lati, 10,1010)</f>
        <v>268.13696486392416</v>
      </c>
      <c r="G9" s="2">
        <f>PlanetXYZ(F$4,$B9,7,$C9,lati, 10,1010)</f>
        <v>-23.671223368325268</v>
      </c>
      <c r="H9" s="2">
        <f>PlanetXYZ(H$4,$B9,6,$C9,lati, 10,1010)</f>
        <v>235.00955710051693</v>
      </c>
      <c r="I9" s="2">
        <f>PlanetXYZ(H$4,$B9,7,$C9,lati, 10,1010)</f>
        <v>-16.009855886830209</v>
      </c>
      <c r="J9" s="2">
        <f>PlanetXYZ(J$4,$B9,6,$C9,lati, 10,1010)</f>
        <v>1.8991485897344058</v>
      </c>
      <c r="K9" s="2">
        <f>PlanetXYZ(J$4,$B9,7,$C9,lati, 10,1010)</f>
        <v>0.57194882237322997</v>
      </c>
      <c r="L9" s="2">
        <f>PlanetXYZ(L$4,$B9,6,$C9,lati, 10,1010)</f>
        <v>251.31714977678158</v>
      </c>
      <c r="M9" s="2">
        <f>PlanetXYZ(L$4,$B9,7,$C9,lati, 10,1010)</f>
        <v>-21.695241878711332</v>
      </c>
      <c r="N9" s="2">
        <f>PlanetXYZ(N$4,$B9,6,$C9,lati, 10,1010)</f>
        <v>282.20079952133966</v>
      </c>
      <c r="O9" s="2">
        <f>PlanetXYZ(N$4,$B9,7,$C9,lati, 10,1010)</f>
        <v>-22.475530242232043</v>
      </c>
      <c r="P9" s="2">
        <f>PlanetXYZ(P$4,$B9,6,$C9,lati, 10,1010)</f>
        <v>26.818093284145004</v>
      </c>
      <c r="Q9" s="2">
        <f>PlanetXYZ(P$4,$B9,7,$C9,lati, 10,1010)</f>
        <v>10.496703332016898</v>
      </c>
      <c r="R9" s="2">
        <f>PlanetXYZ(R$4,$B9,6,$C9,lati, 10,1010)</f>
        <v>345.79473902615058</v>
      </c>
      <c r="S9" s="2">
        <f>PlanetXYZ(R$4,$B9,7,$C9,lati, 10,1010)</f>
        <v>-7.1229297293425207</v>
      </c>
      <c r="T9" s="2">
        <f>PlanetXYZ(T$4,$B9,6,$C9,lati, 10,1010)</f>
        <v>292.40362184493267</v>
      </c>
      <c r="U9" s="2">
        <f>PlanetXYZ(T$4,$B9,7,$C9,lati, 10,1010)</f>
        <v>-21.948375136010814</v>
      </c>
      <c r="V9" s="2">
        <f>PlanetXYZ(V$4,$B9,6,$C9,lati, 10,1010)</f>
        <v>284.47424356230442</v>
      </c>
      <c r="W9" s="2">
        <f>PlanetXYZ(V$4,$B9,7,$C9,lati, 10,1010)</f>
        <v>-22.769862444581786</v>
      </c>
    </row>
    <row r="10" spans="1:23">
      <c r="A10" s="1">
        <f t="shared" si="1"/>
        <v>43476</v>
      </c>
      <c r="B10" s="2">
        <f t="shared" si="0"/>
        <v>6951</v>
      </c>
      <c r="C10" s="2">
        <f>LSTFromDt(A10,longi)</f>
        <v>7.2608382237649423</v>
      </c>
      <c r="D10" s="2">
        <f>PlanetXYZ(D$4,$B10,6,$C10,lati, 10,1010)</f>
        <v>346.6699318176565</v>
      </c>
      <c r="E10" s="2">
        <f>PlanetXYZ(D$4,$B10,7,$C10,lati, 10,1010)</f>
        <v>-9.9559672081165349</v>
      </c>
      <c r="F10" s="2">
        <f>PlanetXYZ(F$4,$B10,6,$C10,lati, 10,1010)</f>
        <v>279.75630140123025</v>
      </c>
      <c r="G10" s="2">
        <f>PlanetXYZ(F$4,$B10,7,$C10,lati, 10,1010)</f>
        <v>-24.147648677357409</v>
      </c>
      <c r="H10" s="2">
        <f>PlanetXYZ(H$4,$B10,6,$C10,lati, 10,1010)</f>
        <v>242.32769440709245</v>
      </c>
      <c r="I10" s="2">
        <f>PlanetXYZ(H$4,$B10,7,$C10,lati, 10,1010)</f>
        <v>-17.5647223466481</v>
      </c>
      <c r="J10" s="2">
        <f>PlanetXYZ(J$4,$B10,6,$C10,lati, 10,1010)</f>
        <v>6.176719421986224</v>
      </c>
      <c r="K10" s="2">
        <f>PlanetXYZ(J$4,$B10,7,$C10,lati, 10,1010)</f>
        <v>2.5807900923481846</v>
      </c>
      <c r="L10" s="2">
        <f>PlanetXYZ(L$4,$B10,6,$C10,lati, 10,1010)</f>
        <v>252.82495559045114</v>
      </c>
      <c r="M10" s="2">
        <f>PlanetXYZ(L$4,$B10,7,$C10,lati, 10,1010)</f>
        <v>-21.870767955410358</v>
      </c>
      <c r="N10" s="2">
        <f>PlanetXYZ(N$4,$B10,6,$C10,lati, 10,1010)</f>
        <v>283.10989118632358</v>
      </c>
      <c r="O10" s="2">
        <f>PlanetXYZ(N$4,$B10,7,$C10,lati, 10,1010)</f>
        <v>-22.408187577729944</v>
      </c>
      <c r="P10" s="2">
        <f>PlanetXYZ(P$4,$B10,6,$C10,lati, 10,1010)</f>
        <v>26.820981600999115</v>
      </c>
      <c r="Q10" s="2">
        <f>PlanetXYZ(P$4,$B10,7,$C10,lati, 10,1010)</f>
        <v>10.502027527302838</v>
      </c>
      <c r="R10" s="2">
        <f>PlanetXYZ(R$4,$B10,6,$C10,lati, 10,1010)</f>
        <v>345.94799866489279</v>
      </c>
      <c r="S10" s="2">
        <f>PlanetXYZ(R$4,$B10,7,$C10,lati, 10,1010)</f>
        <v>-7.0569574833470154</v>
      </c>
      <c r="T10" s="2">
        <f>PlanetXYZ(T$4,$B10,6,$C10,lati, 10,1010)</f>
        <v>292.65749931595633</v>
      </c>
      <c r="U10" s="2">
        <f>PlanetXYZ(T$4,$B10,7,$C10,lati, 10,1010)</f>
        <v>-21.922753417907881</v>
      </c>
      <c r="V10" s="2">
        <f>PlanetXYZ(V$4,$B10,6,$C10,lati, 10,1010)</f>
        <v>292.12716218395036</v>
      </c>
      <c r="W10" s="2">
        <f>PlanetXYZ(V$4,$B10,7,$C10,lati, 10,1010)</f>
        <v>-21.879131849493149</v>
      </c>
    </row>
    <row r="11" spans="1:23">
      <c r="A11" s="1">
        <f t="shared" si="1"/>
        <v>43483</v>
      </c>
      <c r="B11" s="2">
        <f t="shared" si="0"/>
        <v>6958</v>
      </c>
      <c r="C11" s="2">
        <f>LSTFromDt(A11,longi)</f>
        <v>7.7208069964117314</v>
      </c>
      <c r="D11" s="2">
        <f>PlanetXYZ(D$4,$B11,6,$C11,lati, 10,1010)</f>
        <v>72.422153478757451</v>
      </c>
      <c r="E11" s="2">
        <f>PlanetXYZ(D$4,$B11,7,$C11,lati, 10,1010)</f>
        <v>18.794856175057166</v>
      </c>
      <c r="F11" s="2">
        <f>PlanetXYZ(F$4,$B11,6,$C11,lati, 10,1010)</f>
        <v>291.75752028462978</v>
      </c>
      <c r="G11" s="2">
        <f>PlanetXYZ(F$4,$B11,7,$C11,lati, 10,1010)</f>
        <v>-23.556977826026838</v>
      </c>
      <c r="H11" s="2">
        <f>PlanetXYZ(H$4,$B11,6,$C11,lati, 10,1010)</f>
        <v>250.04382542811194</v>
      </c>
      <c r="I11" s="2">
        <f>PlanetXYZ(H$4,$B11,7,$C11,lati, 10,1010)</f>
        <v>-18.943216749689039</v>
      </c>
      <c r="J11" s="2">
        <f>PlanetXYZ(J$4,$B11,6,$C11,lati, 10,1010)</f>
        <v>10.484557243956298</v>
      </c>
      <c r="K11" s="2">
        <f>PlanetXYZ(J$4,$B11,7,$C11,lati, 10,1010)</f>
        <v>4.5684835936666452</v>
      </c>
      <c r="L11" s="2">
        <f>PlanetXYZ(L$4,$B11,6,$C11,lati, 10,1010)</f>
        <v>254.27918962541935</v>
      </c>
      <c r="M11" s="2">
        <f>PlanetXYZ(L$4,$B11,7,$C11,lati, 10,1010)</f>
        <v>-22.025624715313519</v>
      </c>
      <c r="N11" s="2">
        <f>PlanetXYZ(N$4,$B11,6,$C11,lati, 10,1010)</f>
        <v>284.01188371877237</v>
      </c>
      <c r="O11" s="2">
        <f>PlanetXYZ(N$4,$B11,7,$C11,lati, 10,1010)</f>
        <v>-22.335718929286912</v>
      </c>
      <c r="P11" s="2">
        <f>PlanetXYZ(P$4,$B11,6,$C11,lati, 10,1010)</f>
        <v>26.86452156818962</v>
      </c>
      <c r="Q11" s="2">
        <f>PlanetXYZ(P$4,$B11,7,$C11,lati, 10,1010)</f>
        <v>10.522534139338582</v>
      </c>
      <c r="R11" s="2">
        <f>PlanetXYZ(R$4,$B11,6,$C11,lati, 10,1010)</f>
        <v>346.12139663734177</v>
      </c>
      <c r="S11" s="2">
        <f>PlanetXYZ(R$4,$B11,7,$C11,lati, 10,1010)</f>
        <v>-6.982865721409075</v>
      </c>
      <c r="T11" s="2">
        <f>PlanetXYZ(T$4,$B11,6,$C11,lati, 10,1010)</f>
        <v>292.91142981898543</v>
      </c>
      <c r="U11" s="2">
        <f>PlanetXYZ(T$4,$B11,7,$C11,lati, 10,1010)</f>
        <v>-21.896769029949375</v>
      </c>
      <c r="V11" s="2">
        <f>PlanetXYZ(V$4,$B11,6,$C11,lati, 10,1010)</f>
        <v>299.66319402297239</v>
      </c>
      <c r="W11" s="2">
        <f>PlanetXYZ(V$4,$B11,7,$C11,lati, 10,1010)</f>
        <v>-20.64094619870788</v>
      </c>
    </row>
    <row r="12" spans="1:23">
      <c r="A12" s="1">
        <f t="shared" si="1"/>
        <v>43490</v>
      </c>
      <c r="B12" s="2">
        <f t="shared" si="0"/>
        <v>6965</v>
      </c>
      <c r="C12" s="2">
        <f>LSTFromDt(A12,longi)</f>
        <v>8.1807757690604532</v>
      </c>
      <c r="D12" s="2">
        <f>PlanetXYZ(D$4,$B12,6,$C12,lati, 10,1010)</f>
        <v>179.61474937045537</v>
      </c>
      <c r="E12" s="2">
        <f>PlanetXYZ(D$4,$B12,7,$C12,lati, 10,1010)</f>
        <v>5.2115169491485149</v>
      </c>
      <c r="F12" s="2">
        <f>PlanetXYZ(F$4,$B12,6,$C12,lati, 10,1010)</f>
        <v>303.97234434702273</v>
      </c>
      <c r="G12" s="2">
        <f>PlanetXYZ(F$4,$B12,7,$C12,lati, 10,1010)</f>
        <v>-21.80954700697097</v>
      </c>
      <c r="H12" s="2">
        <f>PlanetXYZ(H$4,$B12,6,$C12,lati, 10,1010)</f>
        <v>258.10245036264132</v>
      </c>
      <c r="I12" s="2">
        <f>PlanetXYZ(H$4,$B12,7,$C12,lati, 10,1010)</f>
        <v>-20.05330726765515</v>
      </c>
      <c r="J12" s="2">
        <f>PlanetXYZ(J$4,$B12,6,$C12,lati, 10,1010)</f>
        <v>14.826612365521479</v>
      </c>
      <c r="K12" s="2">
        <f>PlanetXYZ(J$4,$B12,7,$C12,lati, 10,1010)</f>
        <v>6.5227072597315807</v>
      </c>
      <c r="L12" s="2">
        <f>PlanetXYZ(L$4,$B12,6,$C12,lati, 10,1010)</f>
        <v>255.6695957772769</v>
      </c>
      <c r="M12" s="2">
        <f>PlanetXYZ(L$4,$B12,7,$C12,lati, 10,1010)</f>
        <v>-22.160396582145982</v>
      </c>
      <c r="N12" s="2">
        <f>PlanetXYZ(N$4,$B12,6,$C12,lati, 10,1010)</f>
        <v>284.89963081309583</v>
      </c>
      <c r="O12" s="2">
        <f>PlanetXYZ(N$4,$B12,7,$C12,lati, 10,1010)</f>
        <v>-22.258968885094891</v>
      </c>
      <c r="P12" s="2">
        <f>PlanetXYZ(P$4,$B12,6,$C12,lati, 10,1010)</f>
        <v>26.948389835090513</v>
      </c>
      <c r="Q12" s="2">
        <f>PlanetXYZ(P$4,$B12,7,$C12,lati, 10,1010)</f>
        <v>10.558027169477812</v>
      </c>
      <c r="R12" s="2">
        <f>PlanetXYZ(R$4,$B12,6,$C12,lati, 10,1010)</f>
        <v>346.31283216518341</v>
      </c>
      <c r="S12" s="2">
        <f>PlanetXYZ(R$4,$B12,7,$C12,lati, 10,1010)</f>
        <v>-6.901543566280381</v>
      </c>
      <c r="T12" s="2">
        <f>PlanetXYZ(T$4,$B12,6,$C12,lati, 10,1010)</f>
        <v>293.16245798247189</v>
      </c>
      <c r="U12" s="2">
        <f>PlanetXYZ(T$4,$B12,7,$C12,lati, 10,1010)</f>
        <v>-21.870869440955019</v>
      </c>
      <c r="V12" s="2">
        <f>PlanetXYZ(V$4,$B12,6,$C12,lati, 10,1010)</f>
        <v>307.05485859012344</v>
      </c>
      <c r="W12" s="2">
        <f>PlanetXYZ(V$4,$B12,7,$C12,lati, 10,1010)</f>
        <v>-19.083565553322035</v>
      </c>
    </row>
    <row r="13" spans="1:23">
      <c r="A13" s="1">
        <f t="shared" si="1"/>
        <v>43497</v>
      </c>
      <c r="B13" s="2">
        <f t="shared" si="0"/>
        <v>6972</v>
      </c>
      <c r="C13" s="2">
        <f>LSTFromDt(A13,longi)</f>
        <v>8.640744541710994</v>
      </c>
      <c r="D13" s="2">
        <f>PlanetXYZ(D$4,$B13,6,$C13,lati, 10,1010)</f>
        <v>269.56293032155349</v>
      </c>
      <c r="E13" s="2">
        <f>PlanetXYZ(D$4,$B13,7,$C13,lati, 10,1010)</f>
        <v>-21.004877109058015</v>
      </c>
      <c r="F13" s="2">
        <f>PlanetXYZ(F$4,$B13,6,$C13,lati, 10,1010)</f>
        <v>316.26240101178445</v>
      </c>
      <c r="G13" s="2">
        <f>PlanetXYZ(F$4,$B13,7,$C13,lati, 10,1010)</f>
        <v>-18.85008990565154</v>
      </c>
      <c r="H13" s="2">
        <f>PlanetXYZ(H$4,$B13,6,$C13,lati, 10,1010)</f>
        <v>266.44237471618908</v>
      </c>
      <c r="I13" s="2">
        <f>PlanetXYZ(H$4,$B13,7,$C13,lati, 10,1010)</f>
        <v>-20.817815675847445</v>
      </c>
      <c r="J13" s="2">
        <f>PlanetXYZ(J$4,$B13,6,$C13,lati, 10,1010)</f>
        <v>19.207263969443684</v>
      </c>
      <c r="K13" s="2">
        <f>PlanetXYZ(J$4,$B13,7,$C13,lati, 10,1010)</f>
        <v>8.4313530770715772</v>
      </c>
      <c r="L13" s="2">
        <f>PlanetXYZ(L$4,$B13,6,$C13,lati, 10,1010)</f>
        <v>256.98565712513209</v>
      </c>
      <c r="M13" s="2">
        <f>PlanetXYZ(L$4,$B13,7,$C13,lati, 10,1010)</f>
        <v>-22.275949999842897</v>
      </c>
      <c r="N13" s="2">
        <f>PlanetXYZ(N$4,$B13,6,$C13,lati, 10,1010)</f>
        <v>285.76607696888186</v>
      </c>
      <c r="O13" s="2">
        <f>PlanetXYZ(N$4,$B13,7,$C13,lati, 10,1010)</f>
        <v>-22.178934502361209</v>
      </c>
      <c r="P13" s="2">
        <f>PlanetXYZ(P$4,$B13,6,$C13,lati, 10,1010)</f>
        <v>27.071654133090298</v>
      </c>
      <c r="Q13" s="2">
        <f>PlanetXYZ(P$4,$B13,7,$C13,lati, 10,1010)</f>
        <v>10.608067279077103</v>
      </c>
      <c r="R13" s="2">
        <f>PlanetXYZ(R$4,$B13,6,$C13,lati, 10,1010)</f>
        <v>346.51999821646785</v>
      </c>
      <c r="S13" s="2">
        <f>PlanetXYZ(R$4,$B13,7,$C13,lati, 10,1010)</f>
        <v>-6.8139624911713454</v>
      </c>
      <c r="T13" s="2">
        <f>PlanetXYZ(T$4,$B13,6,$C13,lati, 10,1010)</f>
        <v>293.40767429803429</v>
      </c>
      <c r="U13" s="2">
        <f>PlanetXYZ(T$4,$B13,7,$C13,lati, 10,1010)</f>
        <v>-21.845512899909277</v>
      </c>
      <c r="V13" s="2">
        <f>PlanetXYZ(V$4,$B13,6,$C13,lati, 10,1010)</f>
        <v>314.2858530208826</v>
      </c>
      <c r="W13" s="2">
        <f>PlanetXYZ(V$4,$B13,7,$C13,lati, 10,1010)</f>
        <v>-17.240615429859936</v>
      </c>
    </row>
    <row r="14" spans="1:23">
      <c r="A14" s="1">
        <f t="shared" si="1"/>
        <v>43504</v>
      </c>
      <c r="B14" s="2">
        <f t="shared" si="0"/>
        <v>6979</v>
      </c>
      <c r="C14" s="2">
        <f>LSTFromDt(A14,longi)</f>
        <v>9.1007133143635244</v>
      </c>
      <c r="D14" s="2">
        <f>PlanetXYZ(D$4,$B14,6,$C14,lati, 10,1010)</f>
        <v>355.03922364067336</v>
      </c>
      <c r="E14" s="2">
        <f>PlanetXYZ(D$4,$B14,7,$C14,lati, 10,1010)</f>
        <v>-6.9250348928739509</v>
      </c>
      <c r="F14" s="2">
        <f>PlanetXYZ(F$4,$B14,6,$C14,lati, 10,1010)</f>
        <v>328.46885306162915</v>
      </c>
      <c r="G14" s="2">
        <f>PlanetXYZ(F$4,$B14,7,$C14,lati, 10,1010)</f>
        <v>-14.676703333228788</v>
      </c>
      <c r="H14" s="2">
        <f>PlanetXYZ(H$4,$B14,6,$C14,lati, 10,1010)</f>
        <v>274.99398091253573</v>
      </c>
      <c r="I14" s="2">
        <f>PlanetXYZ(H$4,$B14,7,$C14,lati, 10,1010)</f>
        <v>-21.176321123670618</v>
      </c>
      <c r="J14" s="2">
        <f>PlanetXYZ(J$4,$B14,6,$C14,lati, 10,1010)</f>
        <v>23.630990356269333</v>
      </c>
      <c r="K14" s="2">
        <f>PlanetXYZ(J$4,$B14,7,$C14,lati, 10,1010)</f>
        <v>10.282553261881688</v>
      </c>
      <c r="L14" s="2">
        <f>PlanetXYZ(L$4,$B14,6,$C14,lati, 10,1010)</f>
        <v>258.21663976984553</v>
      </c>
      <c r="M14" s="2">
        <f>PlanetXYZ(L$4,$B14,7,$C14,lati, 10,1010)</f>
        <v>-22.373403008626685</v>
      </c>
      <c r="N14" s="2">
        <f>PlanetXYZ(N$4,$B14,6,$C14,lati, 10,1010)</f>
        <v>286.60428692822029</v>
      </c>
      <c r="O14" s="2">
        <f>PlanetXYZ(N$4,$B14,7,$C14,lati, 10,1010)</f>
        <v>-22.096751559571402</v>
      </c>
      <c r="P14" s="2">
        <f>PlanetXYZ(P$4,$B14,6,$C14,lati, 10,1010)</f>
        <v>27.232833402240541</v>
      </c>
      <c r="Q14" s="2">
        <f>PlanetXYZ(P$4,$B14,7,$C14,lati, 10,1010)</f>
        <v>10.671997151596232</v>
      </c>
      <c r="R14" s="2">
        <f>PlanetXYZ(R$4,$B14,6,$C14,lati, 10,1010)</f>
        <v>346.74042125307494</v>
      </c>
      <c r="S14" s="2">
        <f>PlanetXYZ(R$4,$B14,7,$C14,lati, 10,1010)</f>
        <v>-6.7211610727971687</v>
      </c>
      <c r="T14" s="2">
        <f>PlanetXYZ(T$4,$B14,6,$C14,lati, 10,1010)</f>
        <v>293.64425090443621</v>
      </c>
      <c r="U14" s="2">
        <f>PlanetXYZ(T$4,$B14,7,$C14,lati, 10,1010)</f>
        <v>-21.821161630983688</v>
      </c>
      <c r="V14" s="2">
        <f>PlanetXYZ(V$4,$B14,6,$C14,lati, 10,1010)</f>
        <v>321.35091527481745</v>
      </c>
      <c r="W14" s="2">
        <f>PlanetXYZ(V$4,$B14,7,$C14,lati, 10,1010)</f>
        <v>-15.149240533166438</v>
      </c>
    </row>
    <row r="15" spans="1:23">
      <c r="A15" s="1">
        <f t="shared" si="1"/>
        <v>43511</v>
      </c>
      <c r="B15" s="2">
        <f t="shared" si="0"/>
        <v>6986</v>
      </c>
      <c r="C15" s="2">
        <f>LSTFromDt(A15,longi)</f>
        <v>9.5606820870179305</v>
      </c>
      <c r="D15" s="2">
        <f>PlanetXYZ(D$4,$B15,6,$C15,lati, 10,1010)</f>
        <v>81.219224209753847</v>
      </c>
      <c r="E15" s="2">
        <f>PlanetXYZ(D$4,$B15,7,$C15,lati, 10,1010)</f>
        <v>20.210126166025443</v>
      </c>
      <c r="F15" s="2">
        <f>PlanetXYZ(F$4,$B15,6,$C15,lati, 10,1010)</f>
        <v>340.24058616423616</v>
      </c>
      <c r="G15" s="2">
        <f>PlanetXYZ(F$4,$B15,7,$C15,lati, 10,1010)</f>
        <v>-9.4417631127743515</v>
      </c>
      <c r="H15" s="2">
        <f>PlanetXYZ(H$4,$B15,6,$C15,lati, 10,1010)</f>
        <v>283.6805469543757</v>
      </c>
      <c r="I15" s="2">
        <f>PlanetXYZ(H$4,$B15,7,$C15,lati, 10,1010)</f>
        <v>-21.087236525715213</v>
      </c>
      <c r="J15" s="2">
        <f>PlanetXYZ(J$4,$B15,6,$C15,lati, 10,1010)</f>
        <v>28.102062529867865</v>
      </c>
      <c r="K15" s="2">
        <f>PlanetXYZ(J$4,$B15,7,$C15,lati, 10,1010)</f>
        <v>12.064708540250694</v>
      </c>
      <c r="L15" s="2">
        <f>PlanetXYZ(L$4,$B15,6,$C15,lati, 10,1010)</f>
        <v>259.35165937156245</v>
      </c>
      <c r="M15" s="2">
        <f>PlanetXYZ(L$4,$B15,7,$C15,lati, 10,1010)</f>
        <v>-22.454085671851356</v>
      </c>
      <c r="N15" s="2">
        <f>PlanetXYZ(N$4,$B15,6,$C15,lati, 10,1010)</f>
        <v>287.40747767101641</v>
      </c>
      <c r="O15" s="2">
        <f>PlanetXYZ(N$4,$B15,7,$C15,lati, 10,1010)</f>
        <v>-22.013676720038518</v>
      </c>
      <c r="P15" s="2">
        <f>PlanetXYZ(P$4,$B15,6,$C15,lati, 10,1010)</f>
        <v>27.429962489118218</v>
      </c>
      <c r="Q15" s="2">
        <f>PlanetXYZ(P$4,$B15,7,$C15,lati, 10,1010)</f>
        <v>10.748969417141947</v>
      </c>
      <c r="R15" s="2">
        <f>PlanetXYZ(R$4,$B15,6,$C15,lati, 10,1010)</f>
        <v>346.97150011051184</v>
      </c>
      <c r="S15" s="2">
        <f>PlanetXYZ(R$4,$B15,7,$C15,lati, 10,1010)</f>
        <v>-6.6242299492186527</v>
      </c>
      <c r="T15" s="2">
        <f>PlanetXYZ(T$4,$B15,6,$C15,lati, 10,1010)</f>
        <v>293.86947617251326</v>
      </c>
      <c r="U15" s="2">
        <f>PlanetXYZ(T$4,$B15,7,$C15,lati, 10,1010)</f>
        <v>-21.798274419028207</v>
      </c>
      <c r="V15" s="2">
        <f>PlanetXYZ(V$4,$B15,6,$C15,lati, 10,1010)</f>
        <v>328.25470563502506</v>
      </c>
      <c r="W15" s="2">
        <f>PlanetXYZ(V$4,$B15,7,$C15,lati, 10,1010)</f>
        <v>-12.848470758811521</v>
      </c>
    </row>
    <row r="16" spans="1:23">
      <c r="A16" s="1">
        <f t="shared" si="1"/>
        <v>43518</v>
      </c>
      <c r="B16" s="2">
        <f t="shared" si="0"/>
        <v>6993</v>
      </c>
      <c r="C16" s="2">
        <f>LSTFromDt(A16,longi)</f>
        <v>10.020650859674213</v>
      </c>
      <c r="D16" s="2">
        <f>PlanetXYZ(D$4,$B16,6,$C16,lati, 10,1010)</f>
        <v>187.45616678394526</v>
      </c>
      <c r="E16" s="2">
        <f>PlanetXYZ(D$4,$B16,7,$C16,lati, 10,1010)</f>
        <v>2.0965721321514525</v>
      </c>
      <c r="F16" s="2">
        <f>PlanetXYZ(F$4,$B16,6,$C16,lati, 10,1010)</f>
        <v>350.57562412805567</v>
      </c>
      <c r="G16" s="2">
        <f>PlanetXYZ(F$4,$B16,7,$C16,lati, 10,1010)</f>
        <v>-3.7455680993557534</v>
      </c>
      <c r="H16" s="2">
        <f>PlanetXYZ(H$4,$B16,6,$C16,lati, 10,1010)</f>
        <v>292.42307173807433</v>
      </c>
      <c r="I16" s="2">
        <f>PlanetXYZ(H$4,$B16,7,$C16,lati, 10,1010)</f>
        <v>-20.529208174661136</v>
      </c>
      <c r="J16" s="2">
        <f>PlanetXYZ(J$4,$B16,6,$C16,lati, 10,1010)</f>
        <v>32.624255660521293</v>
      </c>
      <c r="K16" s="2">
        <f>PlanetXYZ(J$4,$B16,7,$C16,lati, 10,1010)</f>
        <v>13.766523949005361</v>
      </c>
      <c r="L16" s="2">
        <f>PlanetXYZ(L$4,$B16,6,$C16,lati, 10,1010)</f>
        <v>260.37977802461194</v>
      </c>
      <c r="M16" s="2">
        <f>PlanetXYZ(L$4,$B16,7,$C16,lati, 10,1010)</f>
        <v>-22.519490807419029</v>
      </c>
      <c r="N16" s="2">
        <f>PlanetXYZ(N$4,$B16,6,$C16,lati, 10,1010)</f>
        <v>288.16905430159898</v>
      </c>
      <c r="O16" s="2">
        <f>PlanetXYZ(N$4,$B16,7,$C16,lati, 10,1010)</f>
        <v>-21.931065669155309</v>
      </c>
      <c r="P16" s="2">
        <f>PlanetXYZ(P$4,$B16,6,$C16,lati, 10,1010)</f>
        <v>27.66065827967757</v>
      </c>
      <c r="Q16" s="2">
        <f>PlanetXYZ(P$4,$B16,7,$C16,lati, 10,1010)</f>
        <v>10.837975710959274</v>
      </c>
      <c r="R16" s="2">
        <f>PlanetXYZ(R$4,$B16,6,$C16,lati, 10,1010)</f>
        <v>347.21054337480007</v>
      </c>
      <c r="S16" s="2">
        <f>PlanetXYZ(R$4,$B16,7,$C16,lati, 10,1010)</f>
        <v>-6.5242971762409319</v>
      </c>
      <c r="T16" s="2">
        <f>PlanetXYZ(T$4,$B16,6,$C16,lati, 10,1010)</f>
        <v>294.08078786557837</v>
      </c>
      <c r="U16" s="2">
        <f>PlanetXYZ(T$4,$B16,7,$C16,lati, 10,1010)</f>
        <v>-21.777298731188036</v>
      </c>
      <c r="V16" s="2">
        <f>PlanetXYZ(V$4,$B16,6,$C16,lati, 10,1010)</f>
        <v>335.01013108536557</v>
      </c>
      <c r="W16" s="2">
        <f>PlanetXYZ(V$4,$B16,7,$C16,lati, 10,1010)</f>
        <v>-10.377926843384024</v>
      </c>
    </row>
    <row r="17" spans="1:23">
      <c r="A17" s="1">
        <f t="shared" si="1"/>
        <v>43525</v>
      </c>
      <c r="B17" s="2">
        <f t="shared" si="0"/>
        <v>7000</v>
      </c>
      <c r="C17" s="2">
        <f>LSTFromDt(A17,longi)</f>
        <v>10.480619632332427</v>
      </c>
      <c r="D17" s="2">
        <f>PlanetXYZ(D$4,$B17,6,$C17,lati, 10,1010)</f>
        <v>279.315392118837</v>
      </c>
      <c r="E17" s="2">
        <f>PlanetXYZ(D$4,$B17,7,$C17,lati, 10,1010)</f>
        <v>-21.594752364117465</v>
      </c>
      <c r="F17" s="2">
        <f>PlanetXYZ(F$4,$B17,6,$C17,lati, 10,1010)</f>
        <v>357.2927574704471</v>
      </c>
      <c r="G17" s="2">
        <f>PlanetXYZ(F$4,$B17,7,$C17,lati, 10,1010)</f>
        <v>0.97064778193036805</v>
      </c>
      <c r="H17" s="2">
        <f>PlanetXYZ(H$4,$B17,6,$C17,lati, 10,1010)</f>
        <v>301.14720578077402</v>
      </c>
      <c r="I17" s="2">
        <f>PlanetXYZ(H$4,$B17,7,$C17,lati, 10,1010)</f>
        <v>-19.501169444610554</v>
      </c>
      <c r="J17" s="2">
        <f>PlanetXYZ(J$4,$B17,6,$C17,lati, 10,1010)</f>
        <v>37.200576365615838</v>
      </c>
      <c r="K17" s="2">
        <f>PlanetXYZ(J$4,$B17,7,$C17,lati, 10,1010)</f>
        <v>15.377056709307039</v>
      </c>
      <c r="L17" s="2">
        <f>PlanetXYZ(L$4,$B17,6,$C17,lati, 10,1010)</f>
        <v>261.29014113011408</v>
      </c>
      <c r="M17" s="2">
        <f>PlanetXYZ(L$4,$B17,7,$C17,lati, 10,1010)</f>
        <v>-22.571214826057119</v>
      </c>
      <c r="N17" s="2">
        <f>PlanetXYZ(N$4,$B17,6,$C17,lati, 10,1010)</f>
        <v>288.88265135096071</v>
      </c>
      <c r="O17" s="2">
        <f>PlanetXYZ(N$4,$B17,7,$C17,lati, 10,1010)</f>
        <v>-21.850347305043204</v>
      </c>
      <c r="P17" s="2">
        <f>PlanetXYZ(P$4,$B17,6,$C17,lati, 10,1010)</f>
        <v>27.92218469056953</v>
      </c>
      <c r="Q17" s="2">
        <f>PlanetXYZ(P$4,$B17,7,$C17,lati, 10,1010)</f>
        <v>10.937875650949779</v>
      </c>
      <c r="R17" s="2">
        <f>PlanetXYZ(R$4,$B17,6,$C17,lati, 10,1010)</f>
        <v>347.45480480664401</v>
      </c>
      <c r="S17" s="2">
        <f>PlanetXYZ(R$4,$B17,7,$C17,lati, 10,1010)</f>
        <v>-6.4225141237801306</v>
      </c>
      <c r="T17" s="2">
        <f>PlanetXYZ(T$4,$B17,6,$C17,lati, 10,1010)</f>
        <v>294.2758046815913</v>
      </c>
      <c r="U17" s="2">
        <f>PlanetXYZ(T$4,$B17,7,$C17,lati, 10,1010)</f>
        <v>-21.758662545894552</v>
      </c>
      <c r="V17" s="2">
        <f>PlanetXYZ(V$4,$B17,6,$C17,lati, 10,1010)</f>
        <v>341.63648478314974</v>
      </c>
      <c r="W17" s="2">
        <f>PlanetXYZ(V$4,$B17,7,$C17,lati, 10,1010)</f>
        <v>-7.7769047613132409</v>
      </c>
    </row>
    <row r="18" spans="1:23">
      <c r="A18" s="1">
        <f t="shared" si="1"/>
        <v>43532</v>
      </c>
      <c r="B18" s="2">
        <f t="shared" si="0"/>
        <v>7007</v>
      </c>
      <c r="C18" s="2">
        <f>LSTFromDt(A18,longi)</f>
        <v>10.940588404992518</v>
      </c>
      <c r="D18" s="2">
        <f>PlanetXYZ(D$4,$B18,6,$C18,lati, 10,1010)</f>
        <v>3.4792657946836587</v>
      </c>
      <c r="E18" s="2">
        <f>PlanetXYZ(D$4,$B18,7,$C18,lati, 10,1010)</f>
        <v>-3.6077351188118723</v>
      </c>
      <c r="F18" s="2">
        <f>PlanetXYZ(F$4,$B18,6,$C18,lati, 10,1010)</f>
        <v>357.99568616574169</v>
      </c>
      <c r="G18" s="2">
        <f>PlanetXYZ(F$4,$B18,7,$C18,lati, 10,1010)</f>
        <v>2.7837815418585907</v>
      </c>
      <c r="H18" s="2">
        <f>PlanetXYZ(H$4,$B18,6,$C18,lati, 10,1010)</f>
        <v>309.79033737598382</v>
      </c>
      <c r="I18" s="2">
        <f>PlanetXYZ(H$4,$B18,7,$C18,lati, 10,1010)</f>
        <v>-18.020791040750733</v>
      </c>
      <c r="J18" s="2">
        <f>PlanetXYZ(J$4,$B18,6,$C18,lati, 10,1010)</f>
        <v>41.833007580041624</v>
      </c>
      <c r="K18" s="2">
        <f>PlanetXYZ(J$4,$B18,7,$C18,lati, 10,1010)</f>
        <v>16.885779665927124</v>
      </c>
      <c r="L18" s="2">
        <f>PlanetXYZ(L$4,$B18,6,$C18,lati, 10,1010)</f>
        <v>262.07216582574245</v>
      </c>
      <c r="M18" s="2">
        <f>PlanetXYZ(L$4,$B18,7,$C18,lati, 10,1010)</f>
        <v>-22.610889079755356</v>
      </c>
      <c r="N18" s="2">
        <f>PlanetXYZ(N$4,$B18,6,$C18,lati, 10,1010)</f>
        <v>289.54218119206683</v>
      </c>
      <c r="O18" s="2">
        <f>PlanetXYZ(N$4,$B18,7,$C18,lati, 10,1010)</f>
        <v>-21.772994092599038</v>
      </c>
      <c r="P18" s="2">
        <f>PlanetXYZ(P$4,$B18,6,$C18,lati, 10,1010)</f>
        <v>28.211514540129464</v>
      </c>
      <c r="Q18" s="2">
        <f>PlanetXYZ(P$4,$B18,7,$C18,lati, 10,1010)</f>
        <v>11.047424761688116</v>
      </c>
      <c r="R18" s="2">
        <f>PlanetXYZ(R$4,$B18,6,$C18,lati, 10,1010)</f>
        <v>347.70151654072635</v>
      </c>
      <c r="S18" s="2">
        <f>PlanetXYZ(R$4,$B18,7,$C18,lati, 10,1010)</f>
        <v>-6.3200420036397507</v>
      </c>
      <c r="T18" s="2">
        <f>PlanetXYZ(T$4,$B18,6,$C18,lati, 10,1010)</f>
        <v>294.45235600637409</v>
      </c>
      <c r="U18" s="2">
        <f>PlanetXYZ(T$4,$B18,7,$C18,lati, 10,1010)</f>
        <v>-21.742766080903355</v>
      </c>
      <c r="V18" s="2">
        <f>PlanetXYZ(V$4,$B18,6,$C18,lati, 10,1010)</f>
        <v>348.15765743321839</v>
      </c>
      <c r="W18" s="2">
        <f>PlanetXYZ(V$4,$B18,7,$C18,lati, 10,1010)</f>
        <v>-5.083813962748807</v>
      </c>
    </row>
    <row r="19" spans="1:23">
      <c r="A19" s="1">
        <f t="shared" si="1"/>
        <v>43539</v>
      </c>
      <c r="B19" s="2">
        <f t="shared" si="0"/>
        <v>7014</v>
      </c>
      <c r="C19" s="2">
        <f>LSTFromDt(A19,longi)</f>
        <v>11.400557177654484</v>
      </c>
      <c r="D19" s="2">
        <f>PlanetXYZ(D$4,$B19,6,$C19,lati, 10,1010)</f>
        <v>91.278350658951098</v>
      </c>
      <c r="E19" s="2">
        <f>PlanetXYZ(D$4,$B19,7,$C19,lati, 10,1010)</f>
        <v>21.368607819336653</v>
      </c>
      <c r="F19" s="2">
        <f>PlanetXYZ(F$4,$B19,6,$C19,lati, 10,1010)</f>
        <v>353.33929783189194</v>
      </c>
      <c r="G19" s="2">
        <f>PlanetXYZ(F$4,$B19,7,$C19,lati, 10,1010)</f>
        <v>0.93372671254613238</v>
      </c>
      <c r="H19" s="2">
        <f>PlanetXYZ(H$4,$B19,6,$C19,lati, 10,1010)</f>
        <v>318.30702157385207</v>
      </c>
      <c r="I19" s="2">
        <f>PlanetXYZ(H$4,$B19,7,$C19,lati, 10,1010)</f>
        <v>-16.12156096405511</v>
      </c>
      <c r="J19" s="2">
        <f>PlanetXYZ(J$4,$B19,6,$C19,lati, 10,1010)</f>
        <v>46.522276830855702</v>
      </c>
      <c r="K19" s="2">
        <f>PlanetXYZ(J$4,$B19,7,$C19,lati, 10,1010)</f>
        <v>18.282662463707954</v>
      </c>
      <c r="L19" s="2">
        <f>PlanetXYZ(L$4,$B19,6,$C19,lati, 10,1010)</f>
        <v>262.71579386355739</v>
      </c>
      <c r="M19" s="2">
        <f>PlanetXYZ(L$4,$B19,7,$C19,lati, 10,1010)</f>
        <v>-22.640103091134417</v>
      </c>
      <c r="N19" s="2">
        <f>PlanetXYZ(N$4,$B19,6,$C19,lati, 10,1010)</f>
        <v>290.14189137939559</v>
      </c>
      <c r="O19" s="2">
        <f>PlanetXYZ(N$4,$B19,7,$C19,lati, 10,1010)</f>
        <v>-21.700488747041579</v>
      </c>
      <c r="P19" s="2">
        <f>PlanetXYZ(P$4,$B19,6,$C19,lati, 10,1010)</f>
        <v>28.525386905525604</v>
      </c>
      <c r="Q19" s="2">
        <f>PlanetXYZ(P$4,$B19,7,$C19,lati, 10,1010)</f>
        <v>11.165300618843494</v>
      </c>
      <c r="R19" s="2">
        <f>PlanetXYZ(R$4,$B19,6,$C19,lati, 10,1010)</f>
        <v>347.94791995070375</v>
      </c>
      <c r="S19" s="2">
        <f>PlanetXYZ(R$4,$B19,7,$C19,lati, 10,1010)</f>
        <v>-6.2180390738384723</v>
      </c>
      <c r="T19" s="2">
        <f>PlanetXYZ(T$4,$B19,6,$C19,lati, 10,1010)</f>
        <v>294.60850971776603</v>
      </c>
      <c r="U19" s="2">
        <f>PlanetXYZ(T$4,$B19,7,$C19,lati, 10,1010)</f>
        <v>-21.72997362722073</v>
      </c>
      <c r="V19" s="2">
        <f>PlanetXYZ(V$4,$B19,6,$C19,lati, 10,1010)</f>
        <v>354.60055432553611</v>
      </c>
      <c r="W19" s="2">
        <f>PlanetXYZ(V$4,$B19,7,$C19,lati, 10,1010)</f>
        <v>-2.3359085404967299</v>
      </c>
    </row>
    <row r="20" spans="1:23">
      <c r="A20" s="1">
        <f t="shared" si="1"/>
        <v>43546</v>
      </c>
      <c r="B20" s="2">
        <f t="shared" si="0"/>
        <v>7021</v>
      </c>
      <c r="C20" s="2">
        <f>LSTFromDt(A20,longi)</f>
        <v>11.86052595031844</v>
      </c>
      <c r="D20" s="2">
        <f>PlanetXYZ(D$4,$B20,6,$C20,lati, 10,1010)</f>
        <v>194.86291993117945</v>
      </c>
      <c r="E20" s="2">
        <f>PlanetXYZ(D$4,$B20,7,$C20,lati, 10,1010)</f>
        <v>-0.9487561215185587</v>
      </c>
      <c r="F20" s="2">
        <f>PlanetXYZ(F$4,$B20,6,$C20,lati, 10,1010)</f>
        <v>348.30525713143072</v>
      </c>
      <c r="G20" s="2">
        <f>PlanetXYZ(F$4,$B20,7,$C20,lati, 10,1010)</f>
        <v>-2.5997949858778289</v>
      </c>
      <c r="H20" s="2">
        <f>PlanetXYZ(H$4,$B20,6,$C20,lati, 10,1010)</f>
        <v>326.67171405738776</v>
      </c>
      <c r="I20" s="2">
        <f>PlanetXYZ(H$4,$B20,7,$C20,lati, 10,1010)</f>
        <v>-13.84909059580446</v>
      </c>
      <c r="J20" s="2">
        <f>PlanetXYZ(J$4,$B20,6,$C20,lati, 10,1010)</f>
        <v>51.267657625397341</v>
      </c>
      <c r="K20" s="2">
        <f>PlanetXYZ(J$4,$B20,7,$C20,lati, 10,1010)</f>
        <v>19.558270995300013</v>
      </c>
      <c r="L20" s="2">
        <f>PlanetXYZ(L$4,$B20,6,$C20,lati, 10,1010)</f>
        <v>263.21182189981835</v>
      </c>
      <c r="M20" s="2">
        <f>PlanetXYZ(L$4,$B20,7,$C20,lati, 10,1010)</f>
        <v>-22.660322483600297</v>
      </c>
      <c r="N20" s="2">
        <f>PlanetXYZ(N$4,$B20,6,$C20,lati, 10,1010)</f>
        <v>290.67643272717834</v>
      </c>
      <c r="O20" s="2">
        <f>PlanetXYZ(N$4,$B20,7,$C20,lati, 10,1010)</f>
        <v>-21.634287510285816</v>
      </c>
      <c r="P20" s="2">
        <f>PlanetXYZ(P$4,$B20,6,$C20,lati, 10,1010)</f>
        <v>28.860359110341211</v>
      </c>
      <c r="Q20" s="2">
        <f>PlanetXYZ(P$4,$B20,7,$C20,lati, 10,1010)</f>
        <v>11.290126720368825</v>
      </c>
      <c r="R20" s="2">
        <f>PlanetXYZ(R$4,$B20,6,$C20,lati, 10,1010)</f>
        <v>348.19129421271475</v>
      </c>
      <c r="S20" s="2">
        <f>PlanetXYZ(R$4,$B20,7,$C20,lati, 10,1010)</f>
        <v>-6.1176485232305389</v>
      </c>
      <c r="T20" s="2">
        <f>PlanetXYZ(T$4,$B20,6,$C20,lati, 10,1010)</f>
        <v>294.74259787616779</v>
      </c>
      <c r="U20" s="2">
        <f>PlanetXYZ(T$4,$B20,7,$C20,lati, 10,1010)</f>
        <v>-21.720605705706514</v>
      </c>
      <c r="V20" s="2">
        <f>PlanetXYZ(V$4,$B20,6,$C20,lati, 10,1010)</f>
        <v>0.9937525665153929</v>
      </c>
      <c r="W20" s="2">
        <f>PlanetXYZ(V$4,$B20,7,$C20,lati, 10,1010)</f>
        <v>0.43076323568642477</v>
      </c>
    </row>
    <row r="21" spans="1:23">
      <c r="A21" s="1">
        <f t="shared" si="1"/>
        <v>43553</v>
      </c>
      <c r="B21" s="2">
        <f t="shared" si="0"/>
        <v>7028</v>
      </c>
      <c r="C21" s="2">
        <f>LSTFromDt(A21,longi)</f>
        <v>12.320494722984215</v>
      </c>
      <c r="D21" s="2">
        <f>PlanetXYZ(D$4,$B21,6,$C21,lati, 10,1010)</f>
        <v>288.55927180949277</v>
      </c>
      <c r="E21" s="2">
        <f>PlanetXYZ(D$4,$B21,7,$C21,lati, 10,1010)</f>
        <v>-21.746007106538531</v>
      </c>
      <c r="F21" s="2">
        <f>PlanetXYZ(F$4,$B21,6,$C21,lati, 10,1010)</f>
        <v>347.03395356380037</v>
      </c>
      <c r="G21" s="2">
        <f>PlanetXYZ(F$4,$B21,7,$C21,lati, 10,1010)</f>
        <v>-5.0532656632110511</v>
      </c>
      <c r="H21" s="2">
        <f>PlanetXYZ(H$4,$B21,6,$C21,lati, 10,1010)</f>
        <v>334.87875619906742</v>
      </c>
      <c r="I21" s="2">
        <f>PlanetXYZ(H$4,$B21,7,$C21,lati, 10,1010)</f>
        <v>-11.257351512622254</v>
      </c>
      <c r="J21" s="2">
        <f>PlanetXYZ(J$4,$B21,6,$C21,lati, 10,1010)</f>
        <v>56.066816892113181</v>
      </c>
      <c r="K21" s="2">
        <f>PlanetXYZ(J$4,$B21,7,$C21,lati, 10,1010)</f>
        <v>20.703883693868885</v>
      </c>
      <c r="L21" s="2">
        <f>PlanetXYZ(L$4,$B21,6,$C21,lati, 10,1010)</f>
        <v>263.55231999867647</v>
      </c>
      <c r="M21" s="2">
        <f>PlanetXYZ(L$4,$B21,7,$C21,lati, 10,1010)</f>
        <v>-22.67280643632105</v>
      </c>
      <c r="N21" s="2">
        <f>PlanetXYZ(N$4,$B21,6,$C21,lati, 10,1010)</f>
        <v>291.1409397731162</v>
      </c>
      <c r="O21" s="2">
        <f>PlanetXYZ(N$4,$B21,7,$C21,lati, 10,1010)</f>
        <v>-21.575780438236347</v>
      </c>
      <c r="P21" s="2">
        <f>PlanetXYZ(P$4,$B21,6,$C21,lati, 10,1010)</f>
        <v>29.212852956173002</v>
      </c>
      <c r="Q21" s="2">
        <f>PlanetXYZ(P$4,$B21,7,$C21,lati, 10,1010)</f>
        <v>11.420493797769552</v>
      </c>
      <c r="R21" s="2">
        <f>PlanetXYZ(R$4,$B21,6,$C21,lati, 10,1010)</f>
        <v>348.42898271791319</v>
      </c>
      <c r="S21" s="2">
        <f>PlanetXYZ(R$4,$B21,7,$C21,lati, 10,1010)</f>
        <v>-6.0199870048361275</v>
      </c>
      <c r="T21" s="2">
        <f>PlanetXYZ(T$4,$B21,6,$C21,lati, 10,1010)</f>
        <v>294.8532401161637</v>
      </c>
      <c r="U21" s="2">
        <f>PlanetXYZ(T$4,$B21,7,$C21,lati, 10,1010)</f>
        <v>-21.714931767852821</v>
      </c>
      <c r="V21" s="2">
        <f>PlanetXYZ(V$4,$B21,6,$C21,lati, 10,1010)</f>
        <v>7.3663672535621565</v>
      </c>
      <c r="W21" s="2">
        <f>PlanetXYZ(V$4,$B21,7,$C21,lati, 10,1010)</f>
        <v>3.1812655176423958</v>
      </c>
    </row>
    <row r="22" spans="1:23">
      <c r="A22" s="1">
        <f t="shared" si="1"/>
        <v>43560</v>
      </c>
      <c r="B22" s="2">
        <f t="shared" si="0"/>
        <v>7035</v>
      </c>
      <c r="C22" s="2">
        <f>LSTFromDt(A22,longi)</f>
        <v>12.780463495651922</v>
      </c>
      <c r="D22" s="2">
        <f>PlanetXYZ(D$4,$B22,6,$C22,lati, 10,1010)</f>
        <v>11.740692676660172</v>
      </c>
      <c r="E22" s="2">
        <f>PlanetXYZ(D$4,$B22,7,$C22,lati, 10,1010)</f>
        <v>-0.2694310242681987</v>
      </c>
      <c r="F22" s="2">
        <f>PlanetXYZ(F$4,$B22,6,$C22,lati, 10,1010)</f>
        <v>349.81470938558408</v>
      </c>
      <c r="G22" s="2">
        <f>PlanetXYZ(F$4,$B22,7,$C22,lati, 10,1010)</f>
        <v>-5.5205707746869086</v>
      </c>
      <c r="H22" s="2">
        <f>PlanetXYZ(H$4,$B22,6,$C22,lati, 10,1010)</f>
        <v>342.94028479447513</v>
      </c>
      <c r="I22" s="2">
        <f>PlanetXYZ(H$4,$B22,7,$C22,lati, 10,1010)</f>
        <v>-8.4054180918335017</v>
      </c>
      <c r="J22" s="2">
        <f>PlanetXYZ(J$4,$B22,6,$C22,lati, 10,1010)</f>
        <v>60.91572333097168</v>
      </c>
      <c r="K22" s="2">
        <f>PlanetXYZ(J$4,$B22,7,$C22,lati, 10,1010)</f>
        <v>21.711621031909342</v>
      </c>
      <c r="L22" s="2">
        <f>PlanetXYZ(L$4,$B22,6,$C22,lati, 10,1010)</f>
        <v>263.73114352188003</v>
      </c>
      <c r="M22" s="2">
        <f>PlanetXYZ(L$4,$B22,7,$C22,lati, 10,1010)</f>
        <v>-22.678532004810631</v>
      </c>
      <c r="N22" s="2">
        <f>PlanetXYZ(N$4,$B22,6,$C22,lati, 10,1010)</f>
        <v>291.53112486710222</v>
      </c>
      <c r="O22" s="2">
        <f>PlanetXYZ(N$4,$B22,7,$C22,lati, 10,1010)</f>
        <v>-21.526249344324899</v>
      </c>
      <c r="P22" s="2">
        <f>PlanetXYZ(P$4,$B22,6,$C22,lati, 10,1010)</f>
        <v>29.579195203364925</v>
      </c>
      <c r="Q22" s="2">
        <f>PlanetXYZ(P$4,$B22,7,$C22,lati, 10,1010)</f>
        <v>11.554978456234213</v>
      </c>
      <c r="R22" s="2">
        <f>PlanetXYZ(R$4,$B22,6,$C22,lati, 10,1010)</f>
        <v>348.65841757503546</v>
      </c>
      <c r="S22" s="2">
        <f>PlanetXYZ(R$4,$B22,7,$C22,lati, 10,1010)</f>
        <v>-5.926133758155113</v>
      </c>
      <c r="T22" s="2">
        <f>PlanetXYZ(T$4,$B22,6,$C22,lati, 10,1010)</f>
        <v>294.93936451743701</v>
      </c>
      <c r="U22" s="2">
        <f>PlanetXYZ(T$4,$B22,7,$C22,lati, 10,1010)</f>
        <v>-21.71316366153631</v>
      </c>
      <c r="V22" s="2">
        <f>PlanetXYZ(V$4,$B22,6,$C22,lati, 10,1010)</f>
        <v>13.747060059845781</v>
      </c>
      <c r="W22" s="2">
        <f>PlanetXYZ(V$4,$B22,7,$C22,lati, 10,1010)</f>
        <v>5.8816059786669088</v>
      </c>
    </row>
    <row r="23" spans="1:23">
      <c r="A23" s="1">
        <f t="shared" si="1"/>
        <v>43567</v>
      </c>
      <c r="B23" s="1"/>
      <c r="C23" s="1"/>
    </row>
    <row r="24" spans="1:23">
      <c r="A24" s="1">
        <f t="shared" si="1"/>
        <v>43574</v>
      </c>
      <c r="B24" s="1"/>
      <c r="C24" s="1"/>
    </row>
    <row r="25" spans="1:23">
      <c r="A25" s="1">
        <f t="shared" si="1"/>
        <v>43581</v>
      </c>
      <c r="B25" s="1"/>
      <c r="C25" s="1"/>
    </row>
    <row r="26" spans="1:23">
      <c r="A26" s="1">
        <f t="shared" si="1"/>
        <v>43588</v>
      </c>
      <c r="B26" s="1"/>
      <c r="C26" s="1"/>
    </row>
    <row r="27" spans="1:23">
      <c r="A27" s="1">
        <f t="shared" si="1"/>
        <v>43595</v>
      </c>
      <c r="B27" s="1"/>
      <c r="C27" s="1"/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Sheet3</vt:lpstr>
      <vt:lpstr>lati</vt:lpstr>
      <vt:lpstr>longi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McIntyre</dc:creator>
  <cp:lastModifiedBy>Mark McIntyre</cp:lastModifiedBy>
  <dcterms:created xsi:type="dcterms:W3CDTF">2018-12-17T23:25:15Z</dcterms:created>
  <dcterms:modified xsi:type="dcterms:W3CDTF">2018-12-17T23:41:03Z</dcterms:modified>
</cp:coreProperties>
</file>