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v\astronomy\planetgraphs\Excel\"/>
    </mc:Choice>
  </mc:AlternateContent>
  <xr:revisionPtr revIDLastSave="0" documentId="13_ncr:1_{3DE3A390-A9F5-4518-A0B5-7325A32A5AE3}" xr6:coauthVersionLast="47" xr6:coauthVersionMax="47" xr10:uidLastSave="{00000000-0000-0000-0000-000000000000}"/>
  <bookViews>
    <workbookView xWindow="5655" yWindow="2550" windowWidth="19170" windowHeight="11385" activeTab="4" xr2:uid="{00000000-000D-0000-FFFF-FFFF00000000}"/>
  </bookViews>
  <sheets>
    <sheet name="Sheet1" sheetId="1" r:id="rId1"/>
    <sheet name="Orbital Elements" sheetId="3" r:id="rId2"/>
    <sheet name="BestVisibility" sheetId="4" r:id="rId3"/>
    <sheet name="Sheet3" sheetId="5" r:id="rId4"/>
    <sheet name="Sheet2" sheetId="6" r:id="rId5"/>
  </sheets>
  <functionGroups builtInGroupCount="19"/>
  <definedNames>
    <definedName name="au">'Orbital Elements'!$F$17</definedName>
    <definedName name="dayval">Sheet1!$B$5</definedName>
    <definedName name="dd">Sheet1!$C$13</definedName>
    <definedName name="erad">'Orbital Elements'!$F$18</definedName>
    <definedName name="hori">Sheet2!$F$1</definedName>
    <definedName name="hval">Sheet1!$B$6</definedName>
    <definedName name="intvl">BestVisibility!$F$1</definedName>
    <definedName name="lat">Sheet1!$B$11</definedName>
    <definedName name="lati">Sheet2!$B$1</definedName>
    <definedName name="long">Sheet1!$B$12</definedName>
    <definedName name="longi">Sheet2!$C$1</definedName>
    <definedName name="lst">Sheet1!$C$15</definedName>
    <definedName name="monval">Sheet1!$B$4</definedName>
    <definedName name="mval">Sheet1!$B$7</definedName>
    <definedName name="planetlookup">'Orbital Elements'!$B$13:$C$28</definedName>
    <definedName name="planetnames">'Orbital Elements'!$B$13:$B$23</definedName>
    <definedName name="planetno">Sheet1!$H$1</definedName>
    <definedName name="pres">Sheet1!$B$10</definedName>
    <definedName name="_xlnm.Print_Area" localSheetId="2">BestVisibility!$A$1:$V$57</definedName>
    <definedName name="sunalti">Sheet2!$I$1</definedName>
    <definedName name="sunrise">BestVisibility!#REF!</definedName>
    <definedName name="sval">Sheet1!$B$8</definedName>
    <definedName name="temp">Sheet1!$B$9</definedName>
    <definedName name="unt">BestVisibility!$G$1</definedName>
    <definedName name="visorimg">'Orbital Elements'!$E$13:$E$14</definedName>
    <definedName name="yval">Sheet1!$B$3</definedName>
  </definedNames>
  <calcPr calcId="181029"/>
</workbook>
</file>

<file path=xl/calcChain.xml><?xml version="1.0" encoding="utf-8"?>
<calcChain xmlns="http://schemas.openxmlformats.org/spreadsheetml/2006/main">
  <c r="A27" i="6" l="1"/>
  <c r="A28" i="6" s="1"/>
  <c r="A26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A11" i="6"/>
  <c r="A12" i="6"/>
  <c r="A13" i="6"/>
  <c r="A17" i="6"/>
  <c r="A18" i="6" s="1"/>
  <c r="A19" i="6" s="1"/>
  <c r="A20" i="6" s="1"/>
  <c r="A21" i="6" s="1"/>
  <c r="A22" i="6" s="1"/>
  <c r="A23" i="6" s="1"/>
  <c r="A24" i="6" s="1"/>
  <c r="A25" i="6" s="1"/>
  <c r="A6" i="6"/>
  <c r="A7" i="6" s="1"/>
  <c r="A8" i="6" s="1"/>
  <c r="A9" i="6" s="1"/>
  <c r="W16" i="4"/>
  <c r="W5" i="4"/>
  <c r="F26" i="3"/>
  <c r="S4" i="4"/>
  <c r="S3" i="4"/>
  <c r="S5" i="4"/>
  <c r="S2" i="4"/>
  <c r="A6" i="4"/>
  <c r="A7" i="4" s="1"/>
  <c r="A8" i="4" s="1"/>
  <c r="A9" i="4" s="1"/>
  <c r="A10" i="4" s="1"/>
  <c r="F18" i="3"/>
  <c r="B4" i="1"/>
  <c r="B5" i="1"/>
  <c r="Q39" i="4"/>
  <c r="P39" i="4"/>
  <c r="C26" i="6"/>
  <c r="B26" i="6"/>
  <c r="C28" i="6"/>
  <c r="B28" i="6"/>
  <c r="C27" i="6"/>
  <c r="B27" i="6"/>
  <c r="C25" i="6"/>
  <c r="C17" i="6"/>
  <c r="C12" i="6"/>
  <c r="C24" i="6"/>
  <c r="C16" i="6"/>
  <c r="C21" i="6"/>
  <c r="C18" i="6"/>
  <c r="C23" i="6"/>
  <c r="C15" i="6"/>
  <c r="C13" i="6"/>
  <c r="C19" i="6"/>
  <c r="C22" i="6"/>
  <c r="C14" i="6"/>
  <c r="C20" i="6"/>
  <c r="C11" i="6"/>
  <c r="B11" i="6"/>
  <c r="B12" i="6"/>
  <c r="B13" i="6"/>
  <c r="B25" i="6"/>
  <c r="B24" i="6"/>
  <c r="B18" i="6"/>
  <c r="B23" i="6"/>
  <c r="B19" i="6"/>
  <c r="B22" i="6"/>
  <c r="B20" i="6"/>
  <c r="B21" i="6"/>
  <c r="B17" i="6"/>
  <c r="I5" i="6"/>
  <c r="I9" i="6"/>
  <c r="I8" i="6"/>
  <c r="I7" i="6"/>
  <c r="I6" i="6"/>
  <c r="H9" i="6"/>
  <c r="G8" i="6"/>
  <c r="F7" i="6"/>
  <c r="E6" i="6"/>
  <c r="D5" i="6"/>
  <c r="H5" i="6"/>
  <c r="H6" i="6"/>
  <c r="G9" i="6"/>
  <c r="F8" i="6"/>
  <c r="E7" i="6"/>
  <c r="D6" i="6"/>
  <c r="C5" i="6"/>
  <c r="B8" i="6"/>
  <c r="G6" i="6"/>
  <c r="G7" i="6"/>
  <c r="F9" i="6"/>
  <c r="E8" i="6"/>
  <c r="D7" i="6"/>
  <c r="C6" i="6"/>
  <c r="B7" i="6"/>
  <c r="G5" i="6"/>
  <c r="F5" i="6"/>
  <c r="F6" i="6"/>
  <c r="E9" i="6"/>
  <c r="D8" i="6"/>
  <c r="C7" i="6"/>
  <c r="B6" i="6"/>
  <c r="C8" i="6"/>
  <c r="H7" i="6"/>
  <c r="H8" i="6"/>
  <c r="D9" i="6"/>
  <c r="C9" i="6"/>
  <c r="B9" i="6"/>
  <c r="E5" i="6"/>
  <c r="B5" i="6"/>
  <c r="F148" i="4"/>
  <c r="C147" i="4"/>
  <c r="E145" i="4"/>
  <c r="B144" i="4"/>
  <c r="D142" i="4"/>
  <c r="F140" i="4"/>
  <c r="C139" i="4"/>
  <c r="E137" i="4"/>
  <c r="B136" i="4"/>
  <c r="D134" i="4"/>
  <c r="F132" i="4"/>
  <c r="C131" i="4"/>
  <c r="E129" i="4"/>
  <c r="B128" i="4"/>
  <c r="D126" i="4"/>
  <c r="F124" i="4"/>
  <c r="C123" i="4"/>
  <c r="E121" i="4"/>
  <c r="B120" i="4"/>
  <c r="D118" i="4"/>
  <c r="F116" i="4"/>
  <c r="C115" i="4"/>
  <c r="E113" i="4"/>
  <c r="B112" i="4"/>
  <c r="D110" i="4"/>
  <c r="F108" i="4"/>
  <c r="C107" i="4"/>
  <c r="E105" i="4"/>
  <c r="B104" i="4"/>
  <c r="D102" i="4"/>
  <c r="F100" i="4"/>
  <c r="C99" i="4"/>
  <c r="E97" i="4"/>
  <c r="B96" i="4"/>
  <c r="D94" i="4"/>
  <c r="F92" i="4"/>
  <c r="C91" i="4"/>
  <c r="E89" i="4"/>
  <c r="B88" i="4"/>
  <c r="D86" i="4"/>
  <c r="F84" i="4"/>
  <c r="C83" i="4"/>
  <c r="E81" i="4"/>
  <c r="B80" i="4"/>
  <c r="D78" i="4"/>
  <c r="F76" i="4"/>
  <c r="C75" i="4"/>
  <c r="E73" i="4"/>
  <c r="B72" i="4"/>
  <c r="D70" i="4"/>
  <c r="F68" i="4"/>
  <c r="C67" i="4"/>
  <c r="E65" i="4"/>
  <c r="B64" i="4"/>
  <c r="D62" i="4"/>
  <c r="F60" i="4"/>
  <c r="C59" i="4"/>
  <c r="E57" i="4"/>
  <c r="B56" i="4"/>
  <c r="D54" i="4"/>
  <c r="F52" i="4"/>
  <c r="C51" i="4"/>
  <c r="E49" i="4"/>
  <c r="B48" i="4"/>
  <c r="D46" i="4"/>
  <c r="F44" i="4"/>
  <c r="C43" i="4"/>
  <c r="E41" i="4"/>
  <c r="B40" i="4"/>
  <c r="D38" i="4"/>
  <c r="F36" i="4"/>
  <c r="C35" i="4"/>
  <c r="E33" i="4"/>
  <c r="B32" i="4"/>
  <c r="D30" i="4"/>
  <c r="F28" i="4"/>
  <c r="C27" i="4"/>
  <c r="E25" i="4"/>
  <c r="B24" i="4"/>
  <c r="D22" i="4"/>
  <c r="F20" i="4"/>
  <c r="C19" i="4"/>
  <c r="E17" i="4"/>
  <c r="B16" i="4"/>
  <c r="D14" i="4"/>
  <c r="F12" i="4"/>
  <c r="C11" i="4"/>
  <c r="E9" i="4"/>
  <c r="B8" i="4"/>
  <c r="D6" i="4"/>
  <c r="D5" i="4"/>
  <c r="D25" i="4"/>
  <c r="F23" i="4"/>
  <c r="C22" i="4"/>
  <c r="B19" i="4"/>
  <c r="D17" i="4"/>
  <c r="F15" i="4"/>
  <c r="C14" i="4"/>
  <c r="B11" i="4"/>
  <c r="D9" i="4"/>
  <c r="F7" i="4"/>
  <c r="C5" i="4"/>
  <c r="B74" i="4"/>
  <c r="C53" i="4"/>
  <c r="D40" i="4"/>
  <c r="D32" i="4"/>
  <c r="F22" i="4"/>
  <c r="C13" i="4"/>
  <c r="C120" i="4"/>
  <c r="C104" i="4"/>
  <c r="F97" i="4"/>
  <c r="C88" i="4"/>
  <c r="D75" i="4"/>
  <c r="E62" i="4"/>
  <c r="B53" i="4"/>
  <c r="F41" i="4"/>
  <c r="E30" i="4"/>
  <c r="D19" i="4"/>
  <c r="C8" i="4"/>
  <c r="E148" i="4"/>
  <c r="B147" i="4"/>
  <c r="D145" i="4"/>
  <c r="F143" i="4"/>
  <c r="C142" i="4"/>
  <c r="E140" i="4"/>
  <c r="B139" i="4"/>
  <c r="D137" i="4"/>
  <c r="F135" i="4"/>
  <c r="C134" i="4"/>
  <c r="E132" i="4"/>
  <c r="B131" i="4"/>
  <c r="D129" i="4"/>
  <c r="F127" i="4"/>
  <c r="C126" i="4"/>
  <c r="E124" i="4"/>
  <c r="B123" i="4"/>
  <c r="D121" i="4"/>
  <c r="F119" i="4"/>
  <c r="C118" i="4"/>
  <c r="E116" i="4"/>
  <c r="B115" i="4"/>
  <c r="D113" i="4"/>
  <c r="F111" i="4"/>
  <c r="C110" i="4"/>
  <c r="E108" i="4"/>
  <c r="B107" i="4"/>
  <c r="D105" i="4"/>
  <c r="F103" i="4"/>
  <c r="C102" i="4"/>
  <c r="E100" i="4"/>
  <c r="B99" i="4"/>
  <c r="D97" i="4"/>
  <c r="F95" i="4"/>
  <c r="C94" i="4"/>
  <c r="E92" i="4"/>
  <c r="B91" i="4"/>
  <c r="D89" i="4"/>
  <c r="F87" i="4"/>
  <c r="C86" i="4"/>
  <c r="E84" i="4"/>
  <c r="B83" i="4"/>
  <c r="D81" i="4"/>
  <c r="F79" i="4"/>
  <c r="C78" i="4"/>
  <c r="E76" i="4"/>
  <c r="B75" i="4"/>
  <c r="D73" i="4"/>
  <c r="F71" i="4"/>
  <c r="C70" i="4"/>
  <c r="E68" i="4"/>
  <c r="B67" i="4"/>
  <c r="D65" i="4"/>
  <c r="F63" i="4"/>
  <c r="C62" i="4"/>
  <c r="E60" i="4"/>
  <c r="B59" i="4"/>
  <c r="D57" i="4"/>
  <c r="F55" i="4"/>
  <c r="C54" i="4"/>
  <c r="E52" i="4"/>
  <c r="B51" i="4"/>
  <c r="D49" i="4"/>
  <c r="F47" i="4"/>
  <c r="C46" i="4"/>
  <c r="E44" i="4"/>
  <c r="B43" i="4"/>
  <c r="D41" i="4"/>
  <c r="F39" i="4"/>
  <c r="C38" i="4"/>
  <c r="E36" i="4"/>
  <c r="B35" i="4"/>
  <c r="D33" i="4"/>
  <c r="F31" i="4"/>
  <c r="C30" i="4"/>
  <c r="E28" i="4"/>
  <c r="B27" i="4"/>
  <c r="E20" i="4"/>
  <c r="E12" i="4"/>
  <c r="C6" i="4"/>
  <c r="C61" i="4"/>
  <c r="F30" i="4"/>
  <c r="D16" i="4"/>
  <c r="B117" i="4"/>
  <c r="D83" i="4"/>
  <c r="C64" i="4"/>
  <c r="E46" i="4"/>
  <c r="C32" i="4"/>
  <c r="E14" i="4"/>
  <c r="D148" i="4"/>
  <c r="F146" i="4"/>
  <c r="C145" i="4"/>
  <c r="E143" i="4"/>
  <c r="B142" i="4"/>
  <c r="D140" i="4"/>
  <c r="F138" i="4"/>
  <c r="C137" i="4"/>
  <c r="E135" i="4"/>
  <c r="B134" i="4"/>
  <c r="D132" i="4"/>
  <c r="F130" i="4"/>
  <c r="C129" i="4"/>
  <c r="E127" i="4"/>
  <c r="B126" i="4"/>
  <c r="D124" i="4"/>
  <c r="F122" i="4"/>
  <c r="C121" i="4"/>
  <c r="E119" i="4"/>
  <c r="B118" i="4"/>
  <c r="D116" i="4"/>
  <c r="F114" i="4"/>
  <c r="C113" i="4"/>
  <c r="E111" i="4"/>
  <c r="B110" i="4"/>
  <c r="D108" i="4"/>
  <c r="F106" i="4"/>
  <c r="C105" i="4"/>
  <c r="E103" i="4"/>
  <c r="B102" i="4"/>
  <c r="D100" i="4"/>
  <c r="F98" i="4"/>
  <c r="C97" i="4"/>
  <c r="E95" i="4"/>
  <c r="B94" i="4"/>
  <c r="D92" i="4"/>
  <c r="F90" i="4"/>
  <c r="C89" i="4"/>
  <c r="E87" i="4"/>
  <c r="B86" i="4"/>
  <c r="D84" i="4"/>
  <c r="F82" i="4"/>
  <c r="C81" i="4"/>
  <c r="E79" i="4"/>
  <c r="B78" i="4"/>
  <c r="D76" i="4"/>
  <c r="F74" i="4"/>
  <c r="C73" i="4"/>
  <c r="E71" i="4"/>
  <c r="B70" i="4"/>
  <c r="D68" i="4"/>
  <c r="F66" i="4"/>
  <c r="C65" i="4"/>
  <c r="E63" i="4"/>
  <c r="B62" i="4"/>
  <c r="D60" i="4"/>
  <c r="F58" i="4"/>
  <c r="C57" i="4"/>
  <c r="E55" i="4"/>
  <c r="B54" i="4"/>
  <c r="D52" i="4"/>
  <c r="F50" i="4"/>
  <c r="C49" i="4"/>
  <c r="E47" i="4"/>
  <c r="B46" i="4"/>
  <c r="D44" i="4"/>
  <c r="F42" i="4"/>
  <c r="C41" i="4"/>
  <c r="E39" i="4"/>
  <c r="B38" i="4"/>
  <c r="D36" i="4"/>
  <c r="F34" i="4"/>
  <c r="C33" i="4"/>
  <c r="E31" i="4"/>
  <c r="B30" i="4"/>
  <c r="D28" i="4"/>
  <c r="F26" i="4"/>
  <c r="C25" i="4"/>
  <c r="E23" i="4"/>
  <c r="B22" i="4"/>
  <c r="D20" i="4"/>
  <c r="F18" i="4"/>
  <c r="C17" i="4"/>
  <c r="E15" i="4"/>
  <c r="B14" i="4"/>
  <c r="D12" i="4"/>
  <c r="F10" i="4"/>
  <c r="C9" i="4"/>
  <c r="E7" i="4"/>
  <c r="B6" i="4"/>
  <c r="B5" i="4"/>
  <c r="F86" i="4"/>
  <c r="D80" i="4"/>
  <c r="F78" i="4"/>
  <c r="C77" i="4"/>
  <c r="F70" i="4"/>
  <c r="D64" i="4"/>
  <c r="D56" i="4"/>
  <c r="D48" i="4"/>
  <c r="B42" i="4"/>
  <c r="B34" i="4"/>
  <c r="D24" i="4"/>
  <c r="F14" i="4"/>
  <c r="D8" i="4"/>
  <c r="E126" i="4"/>
  <c r="B109" i="4"/>
  <c r="E94" i="4"/>
  <c r="E86" i="4"/>
  <c r="B77" i="4"/>
  <c r="B69" i="4"/>
  <c r="F57" i="4"/>
  <c r="F49" i="4"/>
  <c r="C40" i="4"/>
  <c r="B29" i="4"/>
  <c r="B21" i="4"/>
  <c r="F9" i="4"/>
  <c r="C148" i="4"/>
  <c r="E146" i="4"/>
  <c r="B145" i="4"/>
  <c r="D143" i="4"/>
  <c r="F141" i="4"/>
  <c r="C140" i="4"/>
  <c r="E138" i="4"/>
  <c r="B137" i="4"/>
  <c r="D135" i="4"/>
  <c r="F133" i="4"/>
  <c r="C132" i="4"/>
  <c r="E130" i="4"/>
  <c r="B129" i="4"/>
  <c r="D127" i="4"/>
  <c r="F125" i="4"/>
  <c r="C124" i="4"/>
  <c r="E122" i="4"/>
  <c r="B121" i="4"/>
  <c r="D119" i="4"/>
  <c r="F117" i="4"/>
  <c r="C116" i="4"/>
  <c r="E114" i="4"/>
  <c r="B113" i="4"/>
  <c r="D111" i="4"/>
  <c r="F109" i="4"/>
  <c r="C108" i="4"/>
  <c r="E106" i="4"/>
  <c r="B105" i="4"/>
  <c r="D103" i="4"/>
  <c r="F101" i="4"/>
  <c r="C100" i="4"/>
  <c r="E98" i="4"/>
  <c r="B97" i="4"/>
  <c r="D95" i="4"/>
  <c r="F93" i="4"/>
  <c r="C92" i="4"/>
  <c r="E90" i="4"/>
  <c r="B89" i="4"/>
  <c r="D87" i="4"/>
  <c r="F85" i="4"/>
  <c r="C84" i="4"/>
  <c r="E82" i="4"/>
  <c r="B81" i="4"/>
  <c r="D79" i="4"/>
  <c r="F77" i="4"/>
  <c r="C76" i="4"/>
  <c r="E74" i="4"/>
  <c r="B73" i="4"/>
  <c r="D71" i="4"/>
  <c r="F69" i="4"/>
  <c r="C68" i="4"/>
  <c r="E66" i="4"/>
  <c r="B65" i="4"/>
  <c r="D63" i="4"/>
  <c r="F61" i="4"/>
  <c r="C60" i="4"/>
  <c r="E58" i="4"/>
  <c r="B57" i="4"/>
  <c r="D55" i="4"/>
  <c r="F53" i="4"/>
  <c r="C52" i="4"/>
  <c r="E50" i="4"/>
  <c r="B49" i="4"/>
  <c r="D47" i="4"/>
  <c r="F45" i="4"/>
  <c r="C44" i="4"/>
  <c r="E42" i="4"/>
  <c r="B41" i="4"/>
  <c r="D39" i="4"/>
  <c r="F37" i="4"/>
  <c r="C36" i="4"/>
  <c r="E34" i="4"/>
  <c r="B33" i="4"/>
  <c r="D31" i="4"/>
  <c r="F29" i="4"/>
  <c r="C28" i="4"/>
  <c r="E26" i="4"/>
  <c r="B25" i="4"/>
  <c r="D23" i="4"/>
  <c r="F21" i="4"/>
  <c r="C20" i="4"/>
  <c r="E18" i="4"/>
  <c r="B17" i="4"/>
  <c r="D15" i="4"/>
  <c r="F13" i="4"/>
  <c r="C12" i="4"/>
  <c r="E10" i="4"/>
  <c r="B9" i="4"/>
  <c r="D7" i="4"/>
  <c r="F3" i="5"/>
  <c r="B82" i="4"/>
  <c r="C69" i="4"/>
  <c r="E59" i="4"/>
  <c r="E51" i="4"/>
  <c r="C45" i="4"/>
  <c r="E35" i="4"/>
  <c r="E27" i="4"/>
  <c r="E19" i="4"/>
  <c r="B10" i="4"/>
  <c r="B125" i="4"/>
  <c r="E102" i="4"/>
  <c r="D91" i="4"/>
  <c r="C80" i="4"/>
  <c r="E70" i="4"/>
  <c r="B61" i="4"/>
  <c r="D51" i="4"/>
  <c r="E38" i="4"/>
  <c r="D27" i="4"/>
  <c r="F17" i="4"/>
  <c r="E6" i="4"/>
  <c r="B148" i="4"/>
  <c r="D146" i="4"/>
  <c r="F144" i="4"/>
  <c r="C143" i="4"/>
  <c r="E141" i="4"/>
  <c r="B140" i="4"/>
  <c r="D138" i="4"/>
  <c r="F136" i="4"/>
  <c r="C135" i="4"/>
  <c r="E133" i="4"/>
  <c r="B132" i="4"/>
  <c r="D130" i="4"/>
  <c r="F128" i="4"/>
  <c r="C127" i="4"/>
  <c r="E125" i="4"/>
  <c r="B124" i="4"/>
  <c r="D122" i="4"/>
  <c r="F120" i="4"/>
  <c r="C119" i="4"/>
  <c r="E117" i="4"/>
  <c r="B116" i="4"/>
  <c r="D114" i="4"/>
  <c r="F112" i="4"/>
  <c r="C111" i="4"/>
  <c r="E109" i="4"/>
  <c r="B108" i="4"/>
  <c r="D106" i="4"/>
  <c r="F104" i="4"/>
  <c r="C103" i="4"/>
  <c r="E101" i="4"/>
  <c r="B100" i="4"/>
  <c r="D98" i="4"/>
  <c r="F96" i="4"/>
  <c r="C95" i="4"/>
  <c r="E93" i="4"/>
  <c r="B92" i="4"/>
  <c r="D90" i="4"/>
  <c r="F88" i="4"/>
  <c r="C87" i="4"/>
  <c r="E85" i="4"/>
  <c r="B84" i="4"/>
  <c r="D82" i="4"/>
  <c r="F80" i="4"/>
  <c r="C79" i="4"/>
  <c r="E77" i="4"/>
  <c r="B76" i="4"/>
  <c r="D74" i="4"/>
  <c r="F72" i="4"/>
  <c r="C71" i="4"/>
  <c r="E69" i="4"/>
  <c r="B68" i="4"/>
  <c r="D66" i="4"/>
  <c r="F64" i="4"/>
  <c r="C63" i="4"/>
  <c r="E61" i="4"/>
  <c r="B60" i="4"/>
  <c r="D58" i="4"/>
  <c r="F56" i="4"/>
  <c r="C55" i="4"/>
  <c r="E53" i="4"/>
  <c r="B52" i="4"/>
  <c r="D50" i="4"/>
  <c r="F48" i="4"/>
  <c r="C47" i="4"/>
  <c r="E45" i="4"/>
  <c r="B44" i="4"/>
  <c r="D42" i="4"/>
  <c r="F40" i="4"/>
  <c r="C39" i="4"/>
  <c r="E37" i="4"/>
  <c r="B36" i="4"/>
  <c r="D34" i="4"/>
  <c r="F32" i="4"/>
  <c r="C31" i="4"/>
  <c r="E29" i="4"/>
  <c r="B28" i="4"/>
  <c r="D26" i="4"/>
  <c r="F24" i="4"/>
  <c r="C23" i="4"/>
  <c r="E21" i="4"/>
  <c r="B20" i="4"/>
  <c r="D18" i="4"/>
  <c r="F16" i="4"/>
  <c r="C15" i="4"/>
  <c r="E13" i="4"/>
  <c r="B12" i="4"/>
  <c r="D10" i="4"/>
  <c r="F8" i="4"/>
  <c r="C7" i="4"/>
  <c r="E83" i="4"/>
  <c r="E75" i="4"/>
  <c r="E67" i="4"/>
  <c r="F62" i="4"/>
  <c r="F54" i="4"/>
  <c r="F46" i="4"/>
  <c r="F38" i="4"/>
  <c r="C29" i="4"/>
  <c r="C21" i="4"/>
  <c r="E11" i="4"/>
  <c r="F5" i="4"/>
  <c r="F121" i="4"/>
  <c r="E110" i="4"/>
  <c r="D99" i="4"/>
  <c r="F89" i="4"/>
  <c r="E78" i="4"/>
  <c r="F65" i="4"/>
  <c r="E54" i="4"/>
  <c r="D43" i="4"/>
  <c r="F33" i="4"/>
  <c r="E22" i="4"/>
  <c r="D11" i="4"/>
  <c r="F147" i="4"/>
  <c r="C146" i="4"/>
  <c r="E144" i="4"/>
  <c r="B143" i="4"/>
  <c r="D141" i="4"/>
  <c r="F139" i="4"/>
  <c r="C138" i="4"/>
  <c r="E136" i="4"/>
  <c r="B135" i="4"/>
  <c r="D133" i="4"/>
  <c r="F131" i="4"/>
  <c r="C130" i="4"/>
  <c r="E128" i="4"/>
  <c r="B127" i="4"/>
  <c r="D125" i="4"/>
  <c r="F123" i="4"/>
  <c r="C122" i="4"/>
  <c r="E120" i="4"/>
  <c r="B119" i="4"/>
  <c r="D117" i="4"/>
  <c r="F115" i="4"/>
  <c r="C114" i="4"/>
  <c r="E112" i="4"/>
  <c r="B111" i="4"/>
  <c r="D109" i="4"/>
  <c r="F107" i="4"/>
  <c r="C106" i="4"/>
  <c r="E104" i="4"/>
  <c r="B103" i="4"/>
  <c r="D101" i="4"/>
  <c r="F99" i="4"/>
  <c r="C98" i="4"/>
  <c r="E96" i="4"/>
  <c r="B95" i="4"/>
  <c r="D93" i="4"/>
  <c r="F91" i="4"/>
  <c r="C90" i="4"/>
  <c r="E88" i="4"/>
  <c r="B87" i="4"/>
  <c r="D85" i="4"/>
  <c r="F83" i="4"/>
  <c r="C82" i="4"/>
  <c r="E80" i="4"/>
  <c r="B79" i="4"/>
  <c r="D77" i="4"/>
  <c r="F75" i="4"/>
  <c r="C74" i="4"/>
  <c r="E72" i="4"/>
  <c r="B71" i="4"/>
  <c r="D69" i="4"/>
  <c r="F67" i="4"/>
  <c r="C66" i="4"/>
  <c r="E64" i="4"/>
  <c r="B63" i="4"/>
  <c r="D61" i="4"/>
  <c r="F59" i="4"/>
  <c r="C58" i="4"/>
  <c r="E56" i="4"/>
  <c r="B55" i="4"/>
  <c r="D53" i="4"/>
  <c r="F51" i="4"/>
  <c r="C50" i="4"/>
  <c r="E48" i="4"/>
  <c r="B47" i="4"/>
  <c r="D45" i="4"/>
  <c r="F43" i="4"/>
  <c r="C42" i="4"/>
  <c r="E40" i="4"/>
  <c r="B39" i="4"/>
  <c r="D37" i="4"/>
  <c r="F35" i="4"/>
  <c r="C34" i="4"/>
  <c r="E32" i="4"/>
  <c r="B31" i="4"/>
  <c r="D29" i="4"/>
  <c r="F27" i="4"/>
  <c r="C26" i="4"/>
  <c r="E24" i="4"/>
  <c r="B23" i="4"/>
  <c r="D21" i="4"/>
  <c r="F19" i="4"/>
  <c r="C18" i="4"/>
  <c r="E16" i="4"/>
  <c r="B15" i="4"/>
  <c r="D13" i="4"/>
  <c r="F11" i="4"/>
  <c r="C10" i="4"/>
  <c r="E8" i="4"/>
  <c r="B7" i="4"/>
  <c r="C85" i="4"/>
  <c r="D72" i="4"/>
  <c r="B66" i="4"/>
  <c r="B58" i="4"/>
  <c r="B50" i="4"/>
  <c r="E43" i="4"/>
  <c r="C37" i="4"/>
  <c r="B26" i="4"/>
  <c r="B18" i="4"/>
  <c r="F6" i="4"/>
  <c r="C128" i="4"/>
  <c r="F105" i="4"/>
  <c r="C96" i="4"/>
  <c r="B85" i="4"/>
  <c r="F73" i="4"/>
  <c r="D67" i="4"/>
  <c r="C56" i="4"/>
  <c r="C48" i="4"/>
  <c r="B37" i="4"/>
  <c r="F25" i="4"/>
  <c r="C16" i="4"/>
  <c r="E147" i="4"/>
  <c r="B146" i="4"/>
  <c r="D144" i="4"/>
  <c r="F142" i="4"/>
  <c r="C141" i="4"/>
  <c r="E139" i="4"/>
  <c r="B138" i="4"/>
  <c r="D136" i="4"/>
  <c r="F134" i="4"/>
  <c r="C133" i="4"/>
  <c r="E131" i="4"/>
  <c r="B130" i="4"/>
  <c r="D128" i="4"/>
  <c r="F126" i="4"/>
  <c r="C125" i="4"/>
  <c r="E123" i="4"/>
  <c r="B122" i="4"/>
  <c r="D120" i="4"/>
  <c r="F118" i="4"/>
  <c r="C117" i="4"/>
  <c r="E115" i="4"/>
  <c r="B114" i="4"/>
  <c r="D112" i="4"/>
  <c r="F110" i="4"/>
  <c r="C109" i="4"/>
  <c r="E107" i="4"/>
  <c r="B106" i="4"/>
  <c r="D104" i="4"/>
  <c r="F102" i="4"/>
  <c r="C101" i="4"/>
  <c r="E99" i="4"/>
  <c r="B98" i="4"/>
  <c r="D96" i="4"/>
  <c r="F94" i="4"/>
  <c r="C93" i="4"/>
  <c r="E91" i="4"/>
  <c r="B90" i="4"/>
  <c r="D88" i="4"/>
  <c r="D147" i="4"/>
  <c r="F145" i="4"/>
  <c r="C144" i="4"/>
  <c r="E142" i="4"/>
  <c r="B141" i="4"/>
  <c r="D139" i="4"/>
  <c r="F137" i="4"/>
  <c r="C136" i="4"/>
  <c r="E134" i="4"/>
  <c r="B133" i="4"/>
  <c r="D131" i="4"/>
  <c r="F129" i="4"/>
  <c r="D123" i="4"/>
  <c r="E118" i="4"/>
  <c r="D115" i="4"/>
  <c r="F113" i="4"/>
  <c r="C112" i="4"/>
  <c r="D107" i="4"/>
  <c r="B101" i="4"/>
  <c r="B93" i="4"/>
  <c r="F81" i="4"/>
  <c r="C72" i="4"/>
  <c r="D59" i="4"/>
  <c r="B45" i="4"/>
  <c r="D35" i="4"/>
  <c r="C24" i="4"/>
  <c r="B13" i="4"/>
  <c r="E5" i="4"/>
  <c r="D25" i="6" l="1"/>
  <c r="D27" i="6"/>
  <c r="D28" i="6"/>
  <c r="D26" i="6"/>
  <c r="A16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C2" i="4"/>
  <c r="B16" i="6"/>
  <c r="A15" i="6" l="1"/>
  <c r="B12" i="1"/>
  <c r="B7" i="1"/>
  <c r="B8" i="1"/>
  <c r="E65" i="5"/>
  <c r="D65" i="5"/>
  <c r="C65" i="5"/>
  <c r="B65" i="5"/>
  <c r="A65" i="5"/>
  <c r="C13" i="1"/>
  <c r="C15" i="1"/>
  <c r="B15" i="6"/>
  <c r="F21" i="1"/>
  <c r="F22" i="1"/>
  <c r="F3" i="1"/>
  <c r="F4" i="1"/>
  <c r="F17" i="1"/>
  <c r="F5" i="1"/>
  <c r="F18" i="1"/>
  <c r="F9" i="1"/>
  <c r="F7" i="1"/>
  <c r="F10" i="1"/>
  <c r="F11" i="1"/>
  <c r="F12" i="1"/>
  <c r="F8" i="1"/>
  <c r="F13" i="1"/>
  <c r="F14" i="1"/>
  <c r="F6" i="1"/>
  <c r="A14" i="6" l="1"/>
  <c r="I65" i="5"/>
  <c r="H65" i="5"/>
  <c r="E64" i="5"/>
  <c r="D64" i="5"/>
  <c r="C64" i="5"/>
  <c r="B64" i="5"/>
  <c r="A64" i="5"/>
  <c r="B14" i="6"/>
  <c r="I64" i="5" l="1"/>
  <c r="H64" i="5"/>
  <c r="E63" i="5"/>
  <c r="D63" i="5"/>
  <c r="C63" i="5"/>
  <c r="B63" i="5"/>
  <c r="A63" i="5"/>
  <c r="I63" i="5" l="1"/>
  <c r="H63" i="5"/>
  <c r="E62" i="5"/>
  <c r="D62" i="5"/>
  <c r="C62" i="5"/>
  <c r="B62" i="5"/>
  <c r="A62" i="5"/>
  <c r="I62" i="5" l="1"/>
  <c r="H62" i="5"/>
  <c r="E61" i="5"/>
  <c r="D61" i="5"/>
  <c r="C61" i="5"/>
  <c r="B61" i="5"/>
  <c r="A61" i="5"/>
  <c r="I61" i="5" l="1"/>
  <c r="H61" i="5"/>
  <c r="E60" i="5"/>
  <c r="D60" i="5"/>
  <c r="C60" i="5"/>
  <c r="B60" i="5"/>
  <c r="A60" i="5"/>
  <c r="I60" i="5" l="1"/>
  <c r="H60" i="5"/>
  <c r="E59" i="5"/>
  <c r="D59" i="5"/>
  <c r="C59" i="5"/>
  <c r="B59" i="5"/>
  <c r="A59" i="5"/>
  <c r="I59" i="5" l="1"/>
  <c r="H59" i="5"/>
  <c r="E58" i="5"/>
  <c r="D58" i="5"/>
  <c r="C58" i="5"/>
  <c r="B58" i="5"/>
  <c r="A58" i="5"/>
  <c r="I58" i="5" l="1"/>
  <c r="H58" i="5"/>
  <c r="E57" i="5"/>
  <c r="D57" i="5"/>
  <c r="C57" i="5"/>
  <c r="B57" i="5"/>
  <c r="A57" i="5"/>
  <c r="I57" i="5" l="1"/>
  <c r="H57" i="5"/>
  <c r="E56" i="5"/>
  <c r="D56" i="5"/>
  <c r="C56" i="5"/>
  <c r="B56" i="5"/>
  <c r="A56" i="5"/>
  <c r="I56" i="5" l="1"/>
  <c r="H56" i="5"/>
  <c r="E55" i="5"/>
  <c r="D55" i="5"/>
  <c r="C55" i="5"/>
  <c r="B55" i="5"/>
  <c r="A55" i="5"/>
  <c r="I55" i="5" l="1"/>
  <c r="H55" i="5"/>
  <c r="E54" i="5"/>
  <c r="D54" i="5"/>
  <c r="C54" i="5"/>
  <c r="B54" i="5"/>
  <c r="A54" i="5"/>
  <c r="I54" i="5" l="1"/>
  <c r="H54" i="5"/>
  <c r="E53" i="5"/>
  <c r="D53" i="5"/>
  <c r="C53" i="5"/>
  <c r="B53" i="5"/>
  <c r="A53" i="5"/>
  <c r="I53" i="5" l="1"/>
  <c r="H53" i="5"/>
  <c r="E52" i="5"/>
  <c r="D52" i="5"/>
  <c r="C52" i="5"/>
  <c r="B52" i="5"/>
  <c r="A52" i="5"/>
  <c r="I52" i="5" l="1"/>
  <c r="H52" i="5"/>
  <c r="E51" i="5"/>
  <c r="D51" i="5"/>
  <c r="C51" i="5"/>
  <c r="B51" i="5"/>
  <c r="A51" i="5"/>
  <c r="I51" i="5" l="1"/>
  <c r="H51" i="5"/>
  <c r="E50" i="5"/>
  <c r="D50" i="5"/>
  <c r="C50" i="5"/>
  <c r="B50" i="5"/>
  <c r="A50" i="5"/>
  <c r="I50" i="5" l="1"/>
  <c r="H50" i="5"/>
  <c r="E49" i="5"/>
  <c r="D49" i="5"/>
  <c r="C49" i="5"/>
  <c r="B49" i="5"/>
  <c r="A49" i="5"/>
  <c r="I49" i="5" l="1"/>
  <c r="H49" i="5"/>
  <c r="E48" i="5"/>
  <c r="D48" i="5"/>
  <c r="C48" i="5"/>
  <c r="B48" i="5"/>
  <c r="A48" i="5"/>
  <c r="I48" i="5" l="1"/>
  <c r="H48" i="5"/>
  <c r="E47" i="5"/>
  <c r="D47" i="5"/>
  <c r="C47" i="5"/>
  <c r="B47" i="5"/>
  <c r="A47" i="5"/>
  <c r="I47" i="5" l="1"/>
  <c r="H47" i="5"/>
  <c r="E46" i="5"/>
  <c r="D46" i="5"/>
  <c r="C46" i="5"/>
  <c r="B46" i="5"/>
  <c r="A46" i="5"/>
  <c r="I46" i="5" l="1"/>
  <c r="H46" i="5"/>
  <c r="E45" i="5"/>
  <c r="D45" i="5"/>
  <c r="C45" i="5"/>
  <c r="B45" i="5"/>
  <c r="A45" i="5"/>
  <c r="I45" i="5" l="1"/>
  <c r="H45" i="5"/>
  <c r="E44" i="5"/>
  <c r="D44" i="5"/>
  <c r="C44" i="5"/>
  <c r="B44" i="5"/>
  <c r="A44" i="5"/>
  <c r="I44" i="5" l="1"/>
  <c r="H44" i="5"/>
  <c r="E43" i="5"/>
  <c r="D43" i="5"/>
  <c r="C43" i="5"/>
  <c r="B43" i="5"/>
  <c r="A43" i="5"/>
  <c r="I43" i="5" l="1"/>
  <c r="H43" i="5"/>
  <c r="E42" i="5"/>
  <c r="D42" i="5"/>
  <c r="C42" i="5"/>
  <c r="B42" i="5"/>
  <c r="A42" i="5"/>
  <c r="I42" i="5" l="1"/>
  <c r="H42" i="5"/>
  <c r="E41" i="5"/>
  <c r="D41" i="5"/>
  <c r="C41" i="5"/>
  <c r="B41" i="5"/>
  <c r="A41" i="5"/>
  <c r="I41" i="5" l="1"/>
  <c r="H41" i="5"/>
  <c r="E40" i="5"/>
  <c r="D40" i="5"/>
  <c r="C40" i="5"/>
  <c r="B40" i="5"/>
  <c r="A40" i="5"/>
  <c r="A39" i="5"/>
  <c r="A38" i="5"/>
  <c r="A37" i="5"/>
  <c r="A36" i="5"/>
  <c r="E39" i="5"/>
  <c r="D39" i="5"/>
  <c r="C39" i="5"/>
  <c r="B39" i="5"/>
  <c r="I40" i="5" l="1"/>
  <c r="H40" i="5"/>
  <c r="I39" i="5"/>
  <c r="H39" i="5"/>
  <c r="E38" i="5"/>
  <c r="D38" i="5"/>
  <c r="C38" i="5"/>
  <c r="B38" i="5"/>
  <c r="I38" i="5" l="1"/>
  <c r="H38" i="5"/>
  <c r="E37" i="5"/>
  <c r="D37" i="5"/>
  <c r="C37" i="5"/>
  <c r="B37" i="5"/>
  <c r="I37" i="5" l="1"/>
  <c r="I35" i="5" s="1"/>
  <c r="H37" i="5"/>
  <c r="H35" i="5" s="1"/>
  <c r="E36" i="5"/>
  <c r="D36" i="5"/>
  <c r="C36" i="5"/>
  <c r="B36" i="5"/>
  <c r="I36" i="5" l="1"/>
  <c r="H36" i="5"/>
  <c r="H10" i="5" l="1"/>
  <c r="H18" i="5"/>
  <c r="H26" i="5"/>
  <c r="I3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5" i="5"/>
  <c r="D6" i="5"/>
  <c r="D4" i="5"/>
  <c r="D3" i="5"/>
  <c r="C33" i="5"/>
  <c r="I33" i="5" s="1"/>
  <c r="B33" i="5"/>
  <c r="H33" i="5" s="1"/>
  <c r="C32" i="5"/>
  <c r="I32" i="5" s="1"/>
  <c r="B32" i="5"/>
  <c r="H32" i="5" s="1"/>
  <c r="C31" i="5"/>
  <c r="I31" i="5" s="1"/>
  <c r="B31" i="5"/>
  <c r="H31" i="5" s="1"/>
  <c r="C30" i="5"/>
  <c r="I30" i="5" s="1"/>
  <c r="B30" i="5"/>
  <c r="H30" i="5" s="1"/>
  <c r="C29" i="5"/>
  <c r="I29" i="5" s="1"/>
  <c r="B29" i="5"/>
  <c r="H29" i="5" s="1"/>
  <c r="C28" i="5"/>
  <c r="I28" i="5" s="1"/>
  <c r="B28" i="5"/>
  <c r="H28" i="5" s="1"/>
  <c r="C27" i="5"/>
  <c r="I27" i="5" s="1"/>
  <c r="B27" i="5"/>
  <c r="H27" i="5" s="1"/>
  <c r="C26" i="5"/>
  <c r="I26" i="5" s="1"/>
  <c r="B26" i="5"/>
  <c r="C25" i="5"/>
  <c r="I25" i="5" s="1"/>
  <c r="B25" i="5"/>
  <c r="H25" i="5" s="1"/>
  <c r="C24" i="5"/>
  <c r="I24" i="5" s="1"/>
  <c r="B24" i="5"/>
  <c r="H24" i="5" s="1"/>
  <c r="C23" i="5"/>
  <c r="I23" i="5" s="1"/>
  <c r="B23" i="5"/>
  <c r="H23" i="5" s="1"/>
  <c r="C22" i="5"/>
  <c r="I22" i="5" s="1"/>
  <c r="B22" i="5"/>
  <c r="H22" i="5" s="1"/>
  <c r="C21" i="5"/>
  <c r="I21" i="5" s="1"/>
  <c r="B21" i="5"/>
  <c r="H21" i="5" s="1"/>
  <c r="C20" i="5"/>
  <c r="I20" i="5" s="1"/>
  <c r="B20" i="5"/>
  <c r="H20" i="5" s="1"/>
  <c r="C19" i="5"/>
  <c r="I19" i="5" s="1"/>
  <c r="B19" i="5"/>
  <c r="H19" i="5" s="1"/>
  <c r="C18" i="5"/>
  <c r="I18" i="5" s="1"/>
  <c r="B18" i="5"/>
  <c r="C17" i="5"/>
  <c r="I17" i="5" s="1"/>
  <c r="B17" i="5"/>
  <c r="H17" i="5" s="1"/>
  <c r="C16" i="5"/>
  <c r="I16" i="5" s="1"/>
  <c r="B16" i="5"/>
  <c r="H16" i="5" s="1"/>
  <c r="C15" i="5"/>
  <c r="I15" i="5" s="1"/>
  <c r="B15" i="5"/>
  <c r="H15" i="5" s="1"/>
  <c r="C14" i="5"/>
  <c r="I14" i="5" s="1"/>
  <c r="B14" i="5"/>
  <c r="H14" i="5" s="1"/>
  <c r="C13" i="5"/>
  <c r="I13" i="5" s="1"/>
  <c r="B13" i="5"/>
  <c r="H13" i="5" s="1"/>
  <c r="C12" i="5"/>
  <c r="I12" i="5" s="1"/>
  <c r="B12" i="5"/>
  <c r="H12" i="5" s="1"/>
  <c r="C11" i="5"/>
  <c r="I11" i="5" s="1"/>
  <c r="B11" i="5"/>
  <c r="H11" i="5" s="1"/>
  <c r="C10" i="5"/>
  <c r="I10" i="5" s="1"/>
  <c r="B10" i="5"/>
  <c r="C9" i="5"/>
  <c r="I9" i="5" s="1"/>
  <c r="B9" i="5"/>
  <c r="H9" i="5" s="1"/>
  <c r="C8" i="5"/>
  <c r="I8" i="5" s="1"/>
  <c r="B8" i="5"/>
  <c r="H8" i="5" s="1"/>
  <c r="C7" i="5"/>
  <c r="I7" i="5" s="1"/>
  <c r="B7" i="5"/>
  <c r="H7" i="5" s="1"/>
  <c r="C6" i="5"/>
  <c r="I6" i="5" s="1"/>
  <c r="B6" i="5"/>
  <c r="H6" i="5" s="1"/>
  <c r="C5" i="5"/>
  <c r="I5" i="5" s="1"/>
  <c r="B5" i="5"/>
  <c r="H5" i="5" s="1"/>
  <c r="C4" i="5"/>
  <c r="I4" i="5" s="1"/>
  <c r="B4" i="5"/>
  <c r="H4" i="5" s="1"/>
  <c r="C3" i="5"/>
  <c r="B3" i="5"/>
  <c r="H3" i="5" s="1"/>
  <c r="I1" i="5" l="1"/>
  <c r="H1" i="5"/>
  <c r="H1" i="1" l="1"/>
  <c r="F23" i="1" l="1"/>
  <c r="B6" i="1"/>
  <c r="I18" i="1"/>
  <c r="J18" i="1"/>
  <c r="Q18" i="1"/>
  <c r="P18" i="1"/>
  <c r="O18" i="1"/>
  <c r="N18" i="1"/>
  <c r="Q14" i="1"/>
  <c r="Q13" i="1"/>
  <c r="Q12" i="1"/>
  <c r="Q11" i="1"/>
  <c r="Q10" i="1"/>
  <c r="Q9" i="1"/>
  <c r="Q16" i="1"/>
  <c r="Q4" i="1"/>
  <c r="P14" i="1"/>
  <c r="P13" i="1"/>
  <c r="P12" i="1"/>
  <c r="P11" i="1"/>
  <c r="P10" i="1"/>
  <c r="P9" i="1"/>
  <c r="P16" i="1"/>
  <c r="P4" i="1"/>
  <c r="O16" i="1"/>
  <c r="O14" i="1"/>
  <c r="O13" i="1"/>
  <c r="O12" i="1"/>
  <c r="O11" i="1"/>
  <c r="O10" i="1"/>
  <c r="O9" i="1"/>
  <c r="O4" i="1"/>
  <c r="L16" i="1"/>
  <c r="L14" i="1"/>
  <c r="L13" i="1"/>
  <c r="L12" i="1"/>
  <c r="L11" i="1"/>
  <c r="L10" i="1"/>
  <c r="L9" i="1"/>
  <c r="L4" i="1"/>
  <c r="K10" i="1"/>
  <c r="K9" i="1"/>
  <c r="K14" i="1"/>
  <c r="K13" i="1"/>
  <c r="K12" i="1"/>
  <c r="K11" i="1"/>
  <c r="K16" i="1"/>
  <c r="K4" i="1"/>
  <c r="N4" i="1"/>
  <c r="N16" i="1"/>
  <c r="J4" i="1" l="1"/>
  <c r="J16" i="1" s="1"/>
  <c r="M16" i="1"/>
  <c r="M4" i="1"/>
  <c r="I11" i="1"/>
  <c r="M14" i="1"/>
  <c r="M13" i="1"/>
  <c r="M12" i="1"/>
  <c r="M11" i="1"/>
  <c r="I10" i="1"/>
  <c r="I9" i="1"/>
  <c r="J10" i="1"/>
  <c r="J14" i="1"/>
  <c r="J13" i="1"/>
  <c r="J12" i="1"/>
  <c r="J11" i="1"/>
  <c r="J9" i="1"/>
  <c r="J6" i="1" l="1"/>
  <c r="J8" i="1"/>
  <c r="J7" i="1"/>
  <c r="G13" i="1"/>
  <c r="G17" i="1"/>
  <c r="G18" i="1"/>
  <c r="G19" i="1"/>
  <c r="G4" i="1"/>
  <c r="G10" i="1"/>
  <c r="G16" i="1"/>
  <c r="G11" i="1"/>
  <c r="G14" i="1"/>
  <c r="G12" i="1"/>
  <c r="G9" i="1"/>
  <c r="B11" i="1"/>
  <c r="B3" i="1" l="1"/>
  <c r="C14" i="1"/>
  <c r="F15" i="1" l="1"/>
  <c r="H18" i="1"/>
  <c r="H17" i="1"/>
  <c r="F16" i="1"/>
  <c r="H4" i="1"/>
  <c r="Q15" i="1"/>
  <c r="P15" i="1"/>
  <c r="O15" i="1"/>
  <c r="H9" i="1"/>
  <c r="H10" i="1"/>
  <c r="H14" i="1"/>
  <c r="H13" i="1"/>
  <c r="H12" i="1"/>
  <c r="H11" i="1"/>
  <c r="J15" i="1"/>
  <c r="L15" i="1"/>
  <c r="K15" i="1"/>
  <c r="N15" i="1"/>
  <c r="M15" i="1"/>
  <c r="H16" i="1" l="1"/>
  <c r="G15" i="1"/>
  <c r="H15" i="1" s="1"/>
  <c r="I1" i="4"/>
  <c r="B2" i="4"/>
</calcChain>
</file>

<file path=xl/sharedStrings.xml><?xml version="1.0" encoding="utf-8"?>
<sst xmlns="http://schemas.openxmlformats.org/spreadsheetml/2006/main" count="434" uniqueCount="358">
  <si>
    <t>N</t>
  </si>
  <si>
    <t>i</t>
  </si>
  <si>
    <t>w</t>
  </si>
  <si>
    <t>a</t>
  </si>
  <si>
    <t>e</t>
  </si>
  <si>
    <t>M</t>
  </si>
  <si>
    <t>Sun</t>
  </si>
  <si>
    <t>*d</t>
  </si>
  <si>
    <t>K</t>
  </si>
  <si>
    <t>Y</t>
  </si>
  <si>
    <t>D</t>
  </si>
  <si>
    <t>H</t>
  </si>
  <si>
    <t>S</t>
  </si>
  <si>
    <t>m</t>
  </si>
  <si>
    <t>Eccentric Anomaly</t>
  </si>
  <si>
    <t>longitude of the ascending node</t>
  </si>
  <si>
    <t>inclination to the ecliptic (plane of the Earth's orbit)</t>
  </si>
  <si>
    <t>argument of perihelion</t>
  </si>
  <si>
    <t>semi-major axis, or mean distance from Sun</t>
  </si>
  <si>
    <t>eccentricity (0=circle, 0-1=ellipse, 1=parabola)</t>
  </si>
  <si>
    <t>mean anomaly (0 at perihelion; increases uniformly with time)</t>
  </si>
  <si>
    <t>days</t>
  </si>
  <si>
    <t>Mean Anomaly</t>
  </si>
  <si>
    <t>Eccentricity</t>
  </si>
  <si>
    <t>Latitude</t>
  </si>
  <si>
    <t>Longitude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</si>
  <si>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</si>
  <si>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</si>
  <si>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</si>
  <si>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</si>
  <si>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</si>
  <si>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</si>
  <si>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</si>
  <si>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</si>
  <si>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Planet</t>
  </si>
  <si>
    <t>True anomaly</t>
  </si>
  <si>
    <t>Mag</t>
  </si>
  <si>
    <t>Sun Data</t>
  </si>
  <si>
    <t>LST</t>
  </si>
  <si>
    <t>JD</t>
  </si>
  <si>
    <t>temperature</t>
  </si>
  <si>
    <t>Pressure</t>
  </si>
  <si>
    <t>C</t>
  </si>
  <si>
    <t>hPa</t>
  </si>
  <si>
    <t>INPUTS</t>
  </si>
  <si>
    <t>Sample 1</t>
  </si>
  <si>
    <t>Object IDs</t>
  </si>
  <si>
    <t>Pluto</t>
  </si>
  <si>
    <t>1AU</t>
  </si>
  <si>
    <t>Earth Rad</t>
  </si>
  <si>
    <t>Geocentric x</t>
  </si>
  <si>
    <t>Geocentric y</t>
  </si>
  <si>
    <t>Geocentric z</t>
  </si>
  <si>
    <t>Ecliptic Longitude</t>
  </si>
  <si>
    <t>Ecliptic Latitude</t>
  </si>
  <si>
    <t>RA</t>
  </si>
  <si>
    <t>Dec</t>
  </si>
  <si>
    <t>Alt</t>
  </si>
  <si>
    <t>Az</t>
  </si>
  <si>
    <t>Hour Angle</t>
  </si>
  <si>
    <t xml:space="preserve">Mars </t>
  </si>
  <si>
    <t>Comparison</t>
  </si>
  <si>
    <t>Error arcsecs</t>
  </si>
  <si>
    <t>Dist from Sun</t>
  </si>
  <si>
    <t>Dist from Earth</t>
  </si>
  <si>
    <t>Planet No</t>
  </si>
  <si>
    <t xml:space="preserve">Uranus </t>
  </si>
  <si>
    <t>Sgr</t>
  </si>
  <si>
    <t>Psc</t>
  </si>
  <si>
    <t>Size</t>
  </si>
  <si>
    <t>Apparent Size</t>
  </si>
  <si>
    <t>Constellation</t>
  </si>
  <si>
    <t>Aqr</t>
  </si>
  <si>
    <t>Lib</t>
  </si>
  <si>
    <t>Oph</t>
  </si>
  <si>
    <t>Gem</t>
  </si>
  <si>
    <t>Absolute Magnitude</t>
  </si>
  <si>
    <t>Size in arcsecs</t>
  </si>
  <si>
    <t>size</t>
  </si>
  <si>
    <t>Check on Dist</t>
  </si>
  <si>
    <t>Date</t>
  </si>
  <si>
    <t>Earth</t>
  </si>
  <si>
    <t>Sunrise</t>
  </si>
  <si>
    <t>Sunset</t>
  </si>
  <si>
    <t>Mar</t>
  </si>
  <si>
    <t>Length</t>
  </si>
  <si>
    <t>Difference</t>
  </si>
  <si>
    <t>Start</t>
  </si>
  <si>
    <t>End</t>
  </si>
  <si>
    <t>Time</t>
  </si>
  <si>
    <t>Mil. km</t>
  </si>
  <si>
    <t>06:50 ? (101°)</t>
  </si>
  <si>
    <t>17:44 ? (259°)</t>
  </si>
  <si>
    <t>+3:57</t>
  </si>
  <si>
    <t>12:17 (30.8°)</t>
  </si>
  <si>
    <t>06:48 ? (101°)</t>
  </si>
  <si>
    <t>17:46 ? (260°)</t>
  </si>
  <si>
    <t>12:17 (31.2°)</t>
  </si>
  <si>
    <t>06:46 ? (100°)</t>
  </si>
  <si>
    <t>17:48 ? (260°)</t>
  </si>
  <si>
    <t>+3:58</t>
  </si>
  <si>
    <t>12:16 (31.5°)</t>
  </si>
  <si>
    <t>06:44 ? (99°)</t>
  </si>
  <si>
    <t>17:50 ? (261°)</t>
  </si>
  <si>
    <t>12:16 (31.9°)</t>
  </si>
  <si>
    <t>06:42 ? (99°)</t>
  </si>
  <si>
    <t>17:51 ? (262°)</t>
  </si>
  <si>
    <t>+3:59</t>
  </si>
  <si>
    <t>12:16 (32.3°)</t>
  </si>
  <si>
    <t>06:39 ? (98°)</t>
  </si>
  <si>
    <t>17:53 ? (262°)</t>
  </si>
  <si>
    <t>12:16 (32.7°)</t>
  </si>
  <si>
    <t>06:37 ? (97°)</t>
  </si>
  <si>
    <t>17:55 ? (263°)</t>
  </si>
  <si>
    <t>12:16 (33.1°)</t>
  </si>
  <si>
    <t>06:35 ? (97°)</t>
  </si>
  <si>
    <t>17:57 ? (263°)</t>
  </si>
  <si>
    <t>+4:00</t>
  </si>
  <si>
    <t>12:15 (33.5°)</t>
  </si>
  <si>
    <t>06:33 ? (96°)</t>
  </si>
  <si>
    <t>17:58 ? (264°)</t>
  </si>
  <si>
    <t>12:15 (33.9°)</t>
  </si>
  <si>
    <t>06:30 ? (96°)</t>
  </si>
  <si>
    <t>18:00 ? (265°)</t>
  </si>
  <si>
    <t>12:15 (34.3°)</t>
  </si>
  <si>
    <t>06:28 ? (95°)</t>
  </si>
  <si>
    <t>18:02 ? (265°)</t>
  </si>
  <si>
    <t>12:15 (34.6°)</t>
  </si>
  <si>
    <t>06:26 ? (94°)</t>
  </si>
  <si>
    <t>18:04 ? (266°)</t>
  </si>
  <si>
    <t>12:14 (35.0°)</t>
  </si>
  <si>
    <t>06:24 ? (94°)</t>
  </si>
  <si>
    <t>18:05 ? (267°)</t>
  </si>
  <si>
    <t>12:14 (35.4°)</t>
  </si>
  <si>
    <t>06:21 ? (93°)</t>
  </si>
  <si>
    <t>18:07 ? (267°)</t>
  </si>
  <si>
    <t>+4:01</t>
  </si>
  <si>
    <t>12:14 (35.8°)</t>
  </si>
  <si>
    <t>06:19 ? (92°)</t>
  </si>
  <si>
    <t>18:09 ? (268°)</t>
  </si>
  <si>
    <t>12:13 (36.2°)</t>
  </si>
  <si>
    <t>06:17 ? (92°)</t>
  </si>
  <si>
    <t>18:11 ? (269°)</t>
  </si>
  <si>
    <t>12:13 (36.6°)</t>
  </si>
  <si>
    <t>06:14 ? (91°)</t>
  </si>
  <si>
    <t>18:12 ? (269°)</t>
  </si>
  <si>
    <t>+4:02</t>
  </si>
  <si>
    <t>12:13 (37.0°)</t>
  </si>
  <si>
    <t>06:12 ? (90°)</t>
  </si>
  <si>
    <t>18:14 ? (270°)</t>
  </si>
  <si>
    <t>12:13 (37.4°)</t>
  </si>
  <si>
    <t>06:10 ? (90°)</t>
  </si>
  <si>
    <t>18:16 ? (270°)</t>
  </si>
  <si>
    <t>12:12 (37.8°)</t>
  </si>
  <si>
    <t>06:08 ? (89°)</t>
  </si>
  <si>
    <t>18:17 ? (271°)</t>
  </si>
  <si>
    <t>12:12 (38.2°)</t>
  </si>
  <si>
    <t>06:05 ? (89°)</t>
  </si>
  <si>
    <t>18:19 ? (272°)</t>
  </si>
  <si>
    <t>12:12 (38.6°)</t>
  </si>
  <si>
    <t>06:03 ? (88°)</t>
  </si>
  <si>
    <t>18:21 ? (272°)</t>
  </si>
  <si>
    <t>12:11 (39.0°)</t>
  </si>
  <si>
    <t>06:01 ? (87°)</t>
  </si>
  <si>
    <t>18:23 ? (273°)</t>
  </si>
  <si>
    <t>12:11 (39.4°)</t>
  </si>
  <si>
    <t>05:58 ? (87°)</t>
  </si>
  <si>
    <t>18:24 ? (274°)</t>
  </si>
  <si>
    <t>12:11 (39.8°)</t>
  </si>
  <si>
    <t>06:56 ? (86°)</t>
  </si>
  <si>
    <t>19:26 ? (274°)</t>
  </si>
  <si>
    <t>13:10 (40.2°)</t>
  </si>
  <si>
    <t>06:54 ? (85°)</t>
  </si>
  <si>
    <t>19:28 ? (275°)</t>
  </si>
  <si>
    <t>13:10 (40.6°)</t>
  </si>
  <si>
    <t>06:51 ? (85°)</t>
  </si>
  <si>
    <t>19:29 ? (276°)</t>
  </si>
  <si>
    <t>13:10 (41.0°)</t>
  </si>
  <si>
    <t>06:49 ? (84°)</t>
  </si>
  <si>
    <t>19:31 ? (276°)</t>
  </si>
  <si>
    <t>13:10 (41.3°)</t>
  </si>
  <si>
    <t>06:47 ? (83°)</t>
  </si>
  <si>
    <t>19:33 ? (277°)</t>
  </si>
  <si>
    <t>13:09 (41.7°)</t>
  </si>
  <si>
    <t>06:45 ? (83°)</t>
  </si>
  <si>
    <t>19:34 ? (277°)</t>
  </si>
  <si>
    <t>13:09 (42.1°)</t>
  </si>
  <si>
    <t>06:42 ? (82°)</t>
  </si>
  <si>
    <t>19:36 ? (278°)</t>
  </si>
  <si>
    <t>13:09 (42.5°)</t>
  </si>
  <si>
    <t>Civil Twilight</t>
  </si>
  <si>
    <t>Astro Twilight</t>
  </si>
  <si>
    <t>Nautical Twilight</t>
  </si>
  <si>
    <t>Solar Noon</t>
  </si>
  <si>
    <t>From Web</t>
  </si>
  <si>
    <t>My Calc</t>
  </si>
  <si>
    <t>Error (secs)</t>
  </si>
  <si>
    <t>Angle</t>
  </si>
  <si>
    <t>Nov</t>
  </si>
  <si>
    <t>06:59 ? (113°)</t>
  </si>
  <si>
    <t>16:36 ? (247°)</t>
  </si>
  <si>
    <t>11:48 (23.7°)</t>
  </si>
  <si>
    <t>07:01 ? (113°)</t>
  </si>
  <si>
    <t>16:35 ? (246°)</t>
  </si>
  <si>
    <t>11:48 (23.4°)</t>
  </si>
  <si>
    <t>07:03 ? (114°)</t>
  </si>
  <si>
    <t>16:33 ? (246°)</t>
  </si>
  <si>
    <t>11:48 (23.1°)</t>
  </si>
  <si>
    <t>07:04 ? (114°)</t>
  </si>
  <si>
    <t>16:31 ? (245°)</t>
  </si>
  <si>
    <t>11:48 (22.8°)</t>
  </si>
  <si>
    <t>07:06 ? (115°)</t>
  </si>
  <si>
    <t>16:29 ? (245°)</t>
  </si>
  <si>
    <t>11:48 (22.4°)</t>
  </si>
  <si>
    <t>07:08 ? (115°)</t>
  </si>
  <si>
    <t>16:28 ? (244°)</t>
  </si>
  <si>
    <t>11:48 (22.1°)</t>
  </si>
  <si>
    <t>07:10 ? (116°)</t>
  </si>
  <si>
    <t>16:26 ? (244°)</t>
  </si>
  <si>
    <t>11:48 (21.9°)</t>
  </si>
  <si>
    <t>07:12 ? (116°)</t>
  </si>
  <si>
    <t>16:24 ? (243°)</t>
  </si>
  <si>
    <t>11:48 (21.6°)</t>
  </si>
  <si>
    <t>07:13 ? (117°)</t>
  </si>
  <si>
    <t>16:23 ? (243°)</t>
  </si>
  <si>
    <t>11:48 (21.3°)</t>
  </si>
  <si>
    <t>07:15 ? (117°)</t>
  </si>
  <si>
    <t>16:21 ? (242°)</t>
  </si>
  <si>
    <t>11:48 (21.0°)</t>
  </si>
  <si>
    <t>07:17 ? (118°)</t>
  </si>
  <si>
    <t>16:20 ? (242°)</t>
  </si>
  <si>
    <t>11:49 (20.7°)</t>
  </si>
  <si>
    <t>07:19 ? (118°)</t>
  </si>
  <si>
    <t>16:18 ? (241°)</t>
  </si>
  <si>
    <t>11:49 (20.5°)</t>
  </si>
  <si>
    <t>07:20 ? (119°)</t>
  </si>
  <si>
    <t>16:17 ? (241°)</t>
  </si>
  <si>
    <t>11:49 (20.2°)</t>
  </si>
  <si>
    <t>07:22 ? (119°)</t>
  </si>
  <si>
    <t>16:15 ? (241°)</t>
  </si>
  <si>
    <t>11:49 (19.9°)</t>
  </si>
  <si>
    <t>07:24 ? (120°)</t>
  </si>
  <si>
    <t>16:14 ? (240°)</t>
  </si>
  <si>
    <t>11:49 (19.7°)</t>
  </si>
  <si>
    <t>07:25 ? (120°)</t>
  </si>
  <si>
    <t>16:13 ? (240°)</t>
  </si>
  <si>
    <t>11:49 (19.4°)</t>
  </si>
  <si>
    <t>07:27 ? (121°)</t>
  </si>
  <si>
    <t>16:11 ? (239°)</t>
  </si>
  <si>
    <t>-3:00</t>
  </si>
  <si>
    <t>11:50 (19.2°)</t>
  </si>
  <si>
    <t>07:29 ? (121°)</t>
  </si>
  <si>
    <t>16:10 ? (239°)</t>
  </si>
  <si>
    <t>11:50 (18.9°)</t>
  </si>
  <si>
    <t>07:31 ? (121°)</t>
  </si>
  <si>
    <t>16:09 ? (238°)</t>
  </si>
  <si>
    <t>11:50 (18.7°)</t>
  </si>
  <si>
    <t>07:32 ? (122°)</t>
  </si>
  <si>
    <t>16:08 ? (238°)</t>
  </si>
  <si>
    <t>11:50 (18.5°)</t>
  </si>
  <si>
    <t>07:34 ? (122°)</t>
  </si>
  <si>
    <t>16:07 ? (238°)</t>
  </si>
  <si>
    <t>11:50 (18.3°)</t>
  </si>
  <si>
    <t>07:36 ? (123°)</t>
  </si>
  <si>
    <t>16:05 ? (237°)</t>
  </si>
  <si>
    <t>11:51 (18.1°)</t>
  </si>
  <si>
    <t>07:37 ? (123°)</t>
  </si>
  <si>
    <t>16:04 ? (237°)</t>
  </si>
  <si>
    <t>11:51 (17.8°)</t>
  </si>
  <si>
    <t>07:39 ? (123°)</t>
  </si>
  <si>
    <t>16:03 ? (236°)</t>
  </si>
  <si>
    <t>11:51 (17.6°)</t>
  </si>
  <si>
    <t>07:40 ? (124°)</t>
  </si>
  <si>
    <t>16:02 ? (236°)</t>
  </si>
  <si>
    <t>11:52 (17.4°)</t>
  </si>
  <si>
    <t>07:42 ? (124°)</t>
  </si>
  <si>
    <t>16:01 ? (236°)</t>
  </si>
  <si>
    <t>11:52 (17.3°)</t>
  </si>
  <si>
    <t>07:43 ? (124°)</t>
  </si>
  <si>
    <t>16:01 ? (235°)</t>
  </si>
  <si>
    <t>11:52 (17.1°)</t>
  </si>
  <si>
    <t>07:45 ? (125°)</t>
  </si>
  <si>
    <t>16:00 ? (235°)</t>
  </si>
  <si>
    <t>11:53 (16.9°)</t>
  </si>
  <si>
    <t>07:46 ? (125°)</t>
  </si>
  <si>
    <t>15:59 ? (235°)</t>
  </si>
  <si>
    <t>11:53 (16.7°)</t>
  </si>
  <si>
    <t>07:48 ? (125°)</t>
  </si>
  <si>
    <t>15:58 ? (235°)</t>
  </si>
  <si>
    <t>11:53 (16.6°)</t>
  </si>
  <si>
    <t>-3:37</t>
  </si>
  <si>
    <t>-3:35</t>
  </si>
  <si>
    <t>-3:33</t>
  </si>
  <si>
    <t>-3:32</t>
  </si>
  <si>
    <t>-3:30</t>
  </si>
  <si>
    <t>-3:28</t>
  </si>
  <si>
    <t>-3:26</t>
  </si>
  <si>
    <t>-3:25</t>
  </si>
  <si>
    <t>-3:21</t>
  </si>
  <si>
    <t>-3:20</t>
  </si>
  <si>
    <t>-3:17</t>
  </si>
  <si>
    <t>-3:15</t>
  </si>
  <si>
    <t>-3:12</t>
  </si>
  <si>
    <t>-3:11</t>
  </si>
  <si>
    <t>-3:7</t>
  </si>
  <si>
    <t>-3:4</t>
  </si>
  <si>
    <t>-2:58</t>
  </si>
  <si>
    <t>-2:54</t>
  </si>
  <si>
    <t>-2:51</t>
  </si>
  <si>
    <t>-2:47</t>
  </si>
  <si>
    <t>-2:44</t>
  </si>
  <si>
    <t>-2:40</t>
  </si>
  <si>
    <t>-2:36</t>
  </si>
  <si>
    <t>-2:32</t>
  </si>
  <si>
    <t>-2:28</t>
  </si>
  <si>
    <t>-2:22</t>
  </si>
  <si>
    <t>-2:19</t>
  </si>
  <si>
    <t>-2:14</t>
  </si>
  <si>
    <t>-2:9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</si>
  <si>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</si>
  <si>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</si>
  <si>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</si>
  <si>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</si>
  <si>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</si>
  <si>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</si>
  <si>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</si>
  <si>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</si>
  <si>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</si>
  <si>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</si>
  <si>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</si>
  <si>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</si>
  <si>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</si>
  <si>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</si>
  <si>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</si>
  <si>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</si>
  <si>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</si>
  <si>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</si>
  <si>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</si>
  <si>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</si>
  <si>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</si>
  <si>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</si>
  <si>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</si>
  <si>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</si>
  <si>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</si>
  <si>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</si>
  <si>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</si>
  <si>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</si>
  <si>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</si>
  <si>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</si>
  <si>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</si>
  <si>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</si>
  <si>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</si>
  <si>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</si>
  <si>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</si>
  <si>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mercury</t>
  </si>
  <si>
    <t>Location</t>
  </si>
  <si>
    <t>Horizon</t>
  </si>
  <si>
    <t>Sun Alti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</si>
</sst>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E+00"/>
    <numFmt numFmtId="165" formatCode="0.00000E+00"/>
    <numFmt numFmtId="166" formatCode="0.0000000000"/>
    <numFmt numFmtId="167" formatCode="_-* #,##0_-;\-* #,##0_-;_-* &quot;-&quot;??_-;_-@_-"/>
    <numFmt numFmtId="168" formatCode="0.0000000"/>
    <numFmt numFmtId="169" formatCode="0.00000"/>
    <numFmt numFmtId="170" formatCode="0.0000"/>
    <numFmt numFmtId="171" formatCode="_-* ###0_-;\-* ###0_-;_-* &quot;-&quot;??_-;_-@_-"/>
    <numFmt numFmtId="172" formatCode="_-* #,##0.0000_-;\-* #,##0.0000_-;_-* &quot;-&quot;??_-;_-@_-"/>
    <numFmt numFmtId="173" formatCode="0.00000000"/>
    <numFmt numFmtId="174" formatCode="_-* #,##0.000000_-;\-* #,##0.000000_-;_-* &quot;-&quot;??_-;_-@_-"/>
    <numFmt numFmtId="175" formatCode="_-* #,##0.00000_-;\-* #,##0.00000_-;_-* &quot;-&quot;??_-;_-@_-"/>
    <numFmt numFmtId="176" formatCode="0.0000%"/>
    <numFmt numFmtId="177" formatCode="_-* #,##0.0_-;\-* #,##0.0_-;_-* &quot;-&quot;??_-;_-@_-"/>
    <numFmt numFmtId="178" formatCode="0.0"/>
    <numFmt numFmtId="179" formatCode="_#\,##0.00000_-;#\-##0.00000_-;_-* &quot;-&quot;??_-;_-@_-"/>
    <numFmt numFmtId="180" formatCode="_-#,##0.00000_-;\-#,##0.00000_-;_-* &quot;-&quot;??_-;_-@_-"/>
    <numFmt numFmtId="183" formatCode="hh:mm:ss.000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2" fillId="0" borderId="0" xfId="0" applyFont="1"/>
    <xf numFmtId="22" fontId="0" fillId="0" borderId="0" xfId="0" applyNumberFormat="1"/>
    <xf numFmtId="0" fontId="0" fillId="0" borderId="1" xfId="0" applyBorder="1"/>
    <xf numFmtId="11" fontId="0" fillId="0" borderId="2" xfId="0" applyNumberFormat="1" applyBorder="1"/>
    <xf numFmtId="0" fontId="0" fillId="0" borderId="3" xfId="0" applyBorder="1"/>
    <xf numFmtId="11" fontId="0" fillId="0" borderId="4" xfId="0" applyNumberFormat="1" applyBorder="1"/>
    <xf numFmtId="0" fontId="0" fillId="0" borderId="4" xfId="0" applyBorder="1"/>
    <xf numFmtId="0" fontId="0" fillId="0" borderId="5" xfId="0" applyBorder="1"/>
    <xf numFmtId="11" fontId="0" fillId="0" borderId="6" xfId="0" applyNumberFormat="1" applyBorder="1"/>
    <xf numFmtId="0" fontId="0" fillId="0" borderId="2" xfId="0" applyBorder="1"/>
    <xf numFmtId="0" fontId="0" fillId="0" borderId="6" xfId="0" applyBorder="1"/>
    <xf numFmtId="165" fontId="0" fillId="0" borderId="4" xfId="0" applyNumberFormat="1" applyBorder="1"/>
    <xf numFmtId="164" fontId="0" fillId="0" borderId="4" xfId="0" applyNumberFormat="1" applyBorder="1"/>
    <xf numFmtId="166" fontId="2" fillId="0" borderId="6" xfId="0" applyNumberFormat="1" applyFont="1" applyBorder="1"/>
    <xf numFmtId="170" fontId="0" fillId="0" borderId="5" xfId="0" applyNumberForma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Border="1" applyAlignment="1">
      <alignment horizontal="right"/>
    </xf>
    <xf numFmtId="43" fontId="0" fillId="0" borderId="0" xfId="1" applyFont="1"/>
    <xf numFmtId="0" fontId="3" fillId="0" borderId="1" xfId="0" applyFont="1" applyBorder="1"/>
    <xf numFmtId="171" fontId="3" fillId="0" borderId="2" xfId="1" applyNumberFormat="1" applyFont="1" applyBorder="1" applyAlignment="1">
      <alignment horizontal="center"/>
    </xf>
    <xf numFmtId="0" fontId="3" fillId="0" borderId="3" xfId="0" applyFont="1" applyBorder="1"/>
    <xf numFmtId="167" fontId="3" fillId="0" borderId="4" xfId="1" applyNumberFormat="1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167" fontId="3" fillId="0" borderId="6" xfId="1" applyNumberFormat="1" applyFont="1" applyBorder="1" applyAlignment="1">
      <alignment horizontal="center"/>
    </xf>
    <xf numFmtId="0" fontId="3" fillId="0" borderId="0" xfId="0" applyFont="1"/>
    <xf numFmtId="0" fontId="0" fillId="0" borderId="11" xfId="0" applyBorder="1"/>
    <xf numFmtId="0" fontId="0" fillId="0" borderId="12" xfId="0" applyBorder="1"/>
    <xf numFmtId="169" fontId="0" fillId="0" borderId="2" xfId="0" applyNumberFormat="1" applyBorder="1"/>
    <xf numFmtId="0" fontId="0" fillId="0" borderId="13" xfId="0" applyBorder="1"/>
    <xf numFmtId="169" fontId="0" fillId="0" borderId="0" xfId="0" applyNumberFormat="1"/>
    <xf numFmtId="169" fontId="0" fillId="0" borderId="12" xfId="0" applyNumberFormat="1" applyBorder="1"/>
    <xf numFmtId="0" fontId="2" fillId="0" borderId="3" xfId="0" applyFont="1" applyBorder="1"/>
    <xf numFmtId="11" fontId="2" fillId="0" borderId="4" xfId="0" applyNumberFormat="1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11" fontId="2" fillId="0" borderId="2" xfId="0" applyNumberFormat="1" applyFont="1" applyBorder="1"/>
    <xf numFmtId="172" fontId="0" fillId="0" borderId="4" xfId="1" applyNumberFormat="1" applyFont="1" applyBorder="1"/>
    <xf numFmtId="172" fontId="0" fillId="0" borderId="10" xfId="1" applyNumberFormat="1" applyFont="1" applyBorder="1"/>
    <xf numFmtId="168" fontId="0" fillId="0" borderId="10" xfId="0" applyNumberFormat="1" applyBorder="1"/>
    <xf numFmtId="168" fontId="0" fillId="0" borderId="11" xfId="0" applyNumberFormat="1" applyBorder="1"/>
    <xf numFmtId="0" fontId="0" fillId="0" borderId="14" xfId="0" applyBorder="1"/>
    <xf numFmtId="174" fontId="0" fillId="0" borderId="11" xfId="1" applyNumberFormat="1" applyFont="1" applyBorder="1" applyAlignment="1">
      <alignment horizontal="right"/>
    </xf>
    <xf numFmtId="0" fontId="0" fillId="2" borderId="8" xfId="0" applyFill="1" applyBorder="1"/>
    <xf numFmtId="1" fontId="0" fillId="2" borderId="10" xfId="1" applyNumberFormat="1" applyFont="1" applyFill="1" applyBorder="1" applyAlignment="1">
      <alignment horizontal="right"/>
    </xf>
    <xf numFmtId="176" fontId="0" fillId="2" borderId="11" xfId="2" applyNumberFormat="1" applyFont="1" applyFill="1" applyBorder="1" applyAlignment="1">
      <alignment horizontal="right"/>
    </xf>
    <xf numFmtId="0" fontId="0" fillId="0" borderId="15" xfId="0" applyBorder="1"/>
    <xf numFmtId="0" fontId="0" fillId="0" borderId="9" xfId="0" applyBorder="1" applyAlignment="1">
      <alignment horizontal="right"/>
    </xf>
    <xf numFmtId="43" fontId="0" fillId="0" borderId="9" xfId="1" applyFont="1" applyBorder="1" applyAlignment="1">
      <alignment horizontal="right"/>
    </xf>
    <xf numFmtId="43" fontId="0" fillId="0" borderId="10" xfId="1" applyFont="1" applyBorder="1" applyAlignment="1">
      <alignment horizontal="right"/>
    </xf>
    <xf numFmtId="173" fontId="0" fillId="0" borderId="3" xfId="0" applyNumberFormat="1" applyBorder="1"/>
    <xf numFmtId="0" fontId="0" fillId="0" borderId="4" xfId="0" applyBorder="1" applyAlignment="1">
      <alignment horizontal="right"/>
    </xf>
    <xf numFmtId="1" fontId="0" fillId="2" borderId="11" xfId="1" applyNumberFormat="1" applyFont="1" applyFill="1" applyBorder="1" applyAlignment="1">
      <alignment horizontal="right"/>
    </xf>
    <xf numFmtId="176" fontId="0" fillId="2" borderId="10" xfId="2" applyNumberFormat="1" applyFont="1" applyFill="1" applyBorder="1" applyAlignment="1">
      <alignment horizontal="right"/>
    </xf>
    <xf numFmtId="178" fontId="0" fillId="2" borderId="10" xfId="1" applyNumberFormat="1" applyFont="1" applyFill="1" applyBorder="1" applyAlignment="1">
      <alignment horizontal="right"/>
    </xf>
    <xf numFmtId="2" fontId="0" fillId="2" borderId="10" xfId="1" applyNumberFormat="1" applyFont="1" applyFill="1" applyBorder="1" applyAlignment="1">
      <alignment horizontal="right"/>
    </xf>
    <xf numFmtId="43" fontId="0" fillId="0" borderId="3" xfId="0" applyNumberFormat="1" applyBorder="1"/>
    <xf numFmtId="168" fontId="0" fillId="0" borderId="0" xfId="0" applyNumberFormat="1"/>
    <xf numFmtId="169" fontId="0" fillId="0" borderId="0" xfId="0" quotePrefix="1" applyNumberFormat="1"/>
    <xf numFmtId="175" fontId="0" fillId="0" borderId="3" xfId="1" applyNumberFormat="1" applyFont="1" applyBorder="1"/>
    <xf numFmtId="169" fontId="0" fillId="0" borderId="13" xfId="0" applyNumberFormat="1" applyBorder="1"/>
    <xf numFmtId="169" fontId="0" fillId="0" borderId="12" xfId="0" quotePrefix="1" applyNumberFormat="1" applyBorder="1"/>
    <xf numFmtId="179" fontId="0" fillId="0" borderId="3" xfId="1" applyNumberFormat="1" applyFont="1" applyBorder="1"/>
    <xf numFmtId="180" fontId="0" fillId="0" borderId="9" xfId="1" applyNumberFormat="1" applyFont="1" applyBorder="1"/>
    <xf numFmtId="180" fontId="0" fillId="0" borderId="10" xfId="1" applyNumberFormat="1" applyFont="1" applyBorder="1" applyAlignment="1">
      <alignment horizontal="right"/>
    </xf>
    <xf numFmtId="2" fontId="0" fillId="0" borderId="4" xfId="0" applyNumberFormat="1" applyBorder="1"/>
    <xf numFmtId="2" fontId="0" fillId="0" borderId="2" xfId="0" applyNumberFormat="1" applyBorder="1"/>
    <xf numFmtId="14" fontId="0" fillId="0" borderId="0" xfId="0" applyNumberFormat="1"/>
    <xf numFmtId="0" fontId="0" fillId="3" borderId="0" xfId="0" applyFill="1"/>
    <xf numFmtId="20" fontId="0" fillId="0" borderId="0" xfId="0" applyNumberFormat="1"/>
    <xf numFmtId="21" fontId="0" fillId="0" borderId="0" xfId="0" applyNumberFormat="1"/>
    <xf numFmtId="172" fontId="0" fillId="0" borderId="0" xfId="1" applyNumberFormat="1" applyFont="1"/>
    <xf numFmtId="43" fontId="0" fillId="0" borderId="0" xfId="0" applyNumberFormat="1"/>
    <xf numFmtId="46" fontId="0" fillId="0" borderId="0" xfId="0" applyNumberFormat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Font="1" applyAlignment="1">
      <alignment horizontal="right"/>
    </xf>
    <xf numFmtId="177" fontId="0" fillId="0" borderId="0" xfId="1" applyNumberFormat="1" applyFont="1"/>
    <xf numFmtId="0" fontId="0" fillId="0" borderId="0" xfId="0" applyAlignment="1">
      <alignment horizontal="center"/>
    </xf>
    <xf numFmtId="20" fontId="0" fillId="0" borderId="1" xfId="0" applyNumberFormat="1" applyBorder="1"/>
    <xf numFmtId="20" fontId="0" fillId="0" borderId="12" xfId="0" applyNumberFormat="1" applyBorder="1"/>
    <xf numFmtId="20" fontId="0" fillId="0" borderId="3" xfId="0" applyNumberFormat="1" applyBorder="1"/>
    <xf numFmtId="20" fontId="0" fillId="0" borderId="5" xfId="0" applyNumberFormat="1" applyBorder="1"/>
    <xf numFmtId="20" fontId="0" fillId="0" borderId="13" xfId="0" applyNumberFormat="1" applyBorder="1"/>
    <xf numFmtId="167" fontId="0" fillId="0" borderId="12" xfId="1" applyNumberFormat="1" applyFont="1" applyBorder="1"/>
    <xf numFmtId="167" fontId="0" fillId="0" borderId="2" xfId="1" applyNumberFormat="1" applyFont="1" applyBorder="1"/>
    <xf numFmtId="167" fontId="0" fillId="0" borderId="0" xfId="1" applyNumberFormat="1" applyFont="1" applyBorder="1"/>
    <xf numFmtId="167" fontId="0" fillId="0" borderId="4" xfId="1" applyNumberFormat="1" applyFont="1" applyBorder="1"/>
    <xf numFmtId="167" fontId="0" fillId="0" borderId="13" xfId="1" applyNumberFormat="1" applyFont="1" applyBorder="1"/>
    <xf numFmtId="167" fontId="0" fillId="0" borderId="0" xfId="0" applyNumberFormat="1"/>
    <xf numFmtId="21" fontId="0" fillId="0" borderId="6" xfId="1" applyNumberFormat="1" applyFont="1" applyBorder="1"/>
    <xf numFmtId="165" fontId="0" fillId="0" borderId="2" xfId="0" applyNumberFormat="1" applyBorder="1"/>
    <xf numFmtId="177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15" xfId="0" applyFill="1" applyBorder="1" applyAlignment="1" applyProtection="1">
      <alignment horizontal="center"/>
      <protection locked="0"/>
    </xf>
    <xf numFmtId="0" fontId="6" fillId="0" borderId="0" xfId="3" applyFont="1" applyAlignment="1" applyProtection="1"/>
    <xf numFmtId="43" fontId="0" fillId="2" borderId="0" xfId="1" applyFont="1" applyFill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83" fontId="0" fillId="0" borderId="0" xfId="0" applyNumberFormat="1"/>
    <xf numFmtId="183" fontId="3" fillId="0" borderId="0" xfId="0" applyNumberFormat="1" applyFont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531"/>
          <c:w val="0.82658620613599776"/>
          <c:h val="0.686775360369247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BestVisibility!$B$3</c:f>
              <c:strCache>
                <c:ptCount val="1"/>
                <c:pt idx="0">
                  <c:v>Moon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_(* #,##0.00_);_(* \(#,##0.00\);_(* "-"??_);_(@_)</c:formatCode>
                <c:ptCount val="149"/>
                <c:pt idx="0">
                  <c:v>57.031875453756747</c:v>
                </c:pt>
                <c:pt idx="1">
                  <c:v>25.977044135903167</c:v>
                </c:pt>
                <c:pt idx="2">
                  <c:v>0</c:v>
                </c:pt>
                <c:pt idx="3">
                  <c:v>47.156302970355043</c:v>
                </c:pt>
                <c:pt idx="4">
                  <c:v>41.559847172645249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56.576212870444181</c:v>
                </c:pt>
                <c:pt idx="16">
                  <c:v>26.200143842428457</c:v>
                </c:pt>
                <c:pt idx="17">
                  <c:v>0</c:v>
                </c:pt>
                <c:pt idx="18">
                  <c:v>51.620200491036762</c:v>
                </c:pt>
                <c:pt idx="19">
                  <c:v>50.421882763986325</c:v>
                </c:pt>
                <c:pt idx="20">
                  <c:v>0</c:v>
                </c:pt>
                <c:pt idx="21">
                  <c:v>0</c:v>
                </c:pt>
                <c:pt idx="22">
                  <c:v>58.238534871968412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52.834635638070708</c:v>
                </c:pt>
                <c:pt idx="31">
                  <c:v>0</c:v>
                </c:pt>
                <c:pt idx="32">
                  <c:v>0</c:v>
                </c:pt>
                <c:pt idx="33">
                  <c:v>54.817182757708743</c:v>
                </c:pt>
                <c:pt idx="34">
                  <c:v>49.098477546056891</c:v>
                </c:pt>
                <c:pt idx="35">
                  <c:v>0</c:v>
                </c:pt>
                <c:pt idx="36">
                  <c:v>26.972610951820407</c:v>
                </c:pt>
                <c:pt idx="37">
                  <c:v>60.569327843451028</c:v>
                </c:pt>
                <c:pt idx="38">
                  <c:v>40.31685201025212</c:v>
                </c:pt>
                <c:pt idx="39">
                  <c:v>0</c:v>
                </c:pt>
                <c:pt idx="40">
                  <c:v>0</c:v>
                </c:pt>
                <c:pt idx="41">
                  <c:v>55.007357843868569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62.240575309765312</c:v>
                </c:pt>
                <c:pt idx="53">
                  <c:v>39.324672965161696</c:v>
                </c:pt>
                <c:pt idx="54">
                  <c:v>0</c:v>
                </c:pt>
                <c:pt idx="55">
                  <c:v>43.810703845228133</c:v>
                </c:pt>
                <c:pt idx="56">
                  <c:v>60.837122876008543</c:v>
                </c:pt>
                <c:pt idx="57">
                  <c:v>16.379083323753857</c:v>
                </c:pt>
                <c:pt idx="58">
                  <c:v>0</c:v>
                </c:pt>
                <c:pt idx="59">
                  <c:v>54.835790852416267</c:v>
                </c:pt>
                <c:pt idx="60">
                  <c:v>24.365506247791167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49.912755941042384</c:v>
                </c:pt>
                <c:pt idx="68">
                  <c:v>0</c:v>
                </c:pt>
                <c:pt idx="69">
                  <c:v>0</c:v>
                </c:pt>
                <c:pt idx="70">
                  <c:v>42.663144223484643</c:v>
                </c:pt>
                <c:pt idx="71">
                  <c:v>61.788379430158763</c:v>
                </c:pt>
                <c:pt idx="72">
                  <c:v>27.155335531293353</c:v>
                </c:pt>
                <c:pt idx="73">
                  <c:v>0</c:v>
                </c:pt>
                <c:pt idx="74">
                  <c:v>57.13667306623087</c:v>
                </c:pt>
                <c:pt idx="75">
                  <c:v>56.160928241160704</c:v>
                </c:pt>
                <c:pt idx="76">
                  <c:v>0</c:v>
                </c:pt>
                <c:pt idx="77">
                  <c:v>0</c:v>
                </c:pt>
                <c:pt idx="78">
                  <c:v>62.976055683715536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62.590310455085728</c:v>
                </c:pt>
                <c:pt idx="87">
                  <c:v>0</c:v>
                </c:pt>
                <c:pt idx="88">
                  <c:v>0</c:v>
                </c:pt>
                <c:pt idx="89">
                  <c:v>58.324462836243768</c:v>
                </c:pt>
                <c:pt idx="90">
                  <c:v>56.026088306894906</c:v>
                </c:pt>
                <c:pt idx="91">
                  <c:v>0</c:v>
                </c:pt>
                <c:pt idx="92">
                  <c:v>28.32568700352747</c:v>
                </c:pt>
                <c:pt idx="93">
                  <c:v>63.861623028192675</c:v>
                </c:pt>
                <c:pt idx="94">
                  <c:v>36.929552439689907</c:v>
                </c:pt>
                <c:pt idx="95">
                  <c:v>0</c:v>
                </c:pt>
                <c:pt idx="96">
                  <c:v>0</c:v>
                </c:pt>
                <c:pt idx="97">
                  <c:v>46.699805269736551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30.977881860853334</c:v>
                </c:pt>
                <c:pt idx="105">
                  <c:v>54.717567350061046</c:v>
                </c:pt>
                <c:pt idx="106">
                  <c:v>0</c:v>
                </c:pt>
                <c:pt idx="107">
                  <c:v>20.525004034338991</c:v>
                </c:pt>
                <c:pt idx="108">
                  <c:v>64.453641557078981</c:v>
                </c:pt>
                <c:pt idx="109">
                  <c:v>41.941973647796708</c:v>
                </c:pt>
                <c:pt idx="110">
                  <c:v>0</c:v>
                </c:pt>
                <c:pt idx="111">
                  <c:v>40.681055657869429</c:v>
                </c:pt>
                <c:pt idx="112">
                  <c:v>66.169404706969146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10.662986102239499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62.096502549720682</c:v>
                </c:pt>
                <c:pt idx="124">
                  <c:v>37.619597188465725</c:v>
                </c:pt>
                <c:pt idx="125">
                  <c:v>0</c:v>
                </c:pt>
                <c:pt idx="126">
                  <c:v>40.961722975320221</c:v>
                </c:pt>
                <c:pt idx="127">
                  <c:v>66.09216589678978</c:v>
                </c:pt>
                <c:pt idx="128">
                  <c:v>23.265653890081204</c:v>
                </c:pt>
                <c:pt idx="129">
                  <c:v>0</c:v>
                </c:pt>
                <c:pt idx="130">
                  <c:v>51.230133030844144</c:v>
                </c:pt>
                <c:pt idx="131">
                  <c:v>55.479705905587672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16.371034899595056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65.03267922352191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4E-4B07-896B-056413B3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96768"/>
        <c:axId val="204919168"/>
      </c:scatterChart>
      <c:valAx>
        <c:axId val="152496768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204919168"/>
        <c:crosses val="autoZero"/>
        <c:crossBetween val="midCat"/>
        <c:majorUnit val="365"/>
        <c:minorUnit val="90"/>
      </c:valAx>
      <c:valAx>
        <c:axId val="204919168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15249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537"/>
          <c:w val="0.82658620613599776"/>
          <c:h val="0.68677536036924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BestVisibility!$F$4</c:f>
              <c:strCache>
                <c:ptCount val="1"/>
                <c:pt idx="0">
                  <c:v> Size 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m/d/yyyy\ 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33.470404566948098</c:v>
                </c:pt>
                <c:pt idx="1">
                  <c:v>30.205599477513434</c:v>
                </c:pt>
                <c:pt idx="2">
                  <c:v>29.619916401138724</c:v>
                </c:pt>
                <c:pt idx="3">
                  <c:v>31.923353896914183</c:v>
                </c:pt>
                <c:pt idx="4">
                  <c:v>32.688666488573048</c:v>
                </c:pt>
                <c:pt idx="5">
                  <c:v>29.611807924531547</c:v>
                </c:pt>
                <c:pt idx="6">
                  <c:v>30.025360998483166</c:v>
                </c:pt>
                <c:pt idx="7">
                  <c:v>33.019160844316161</c:v>
                </c:pt>
                <c:pt idx="8">
                  <c:v>31.364106564743029</c:v>
                </c:pt>
                <c:pt idx="9">
                  <c:v>29.504739655427091</c:v>
                </c:pt>
                <c:pt idx="10">
                  <c:v>30.784272862346452</c:v>
                </c:pt>
                <c:pt idx="11">
                  <c:v>33.361062751878421</c:v>
                </c:pt>
                <c:pt idx="12">
                  <c:v>30.18129509321361</c:v>
                </c:pt>
                <c:pt idx="13">
                  <c:v>29.76617223219564</c:v>
                </c:pt>
                <c:pt idx="14">
                  <c:v>31.802345147691923</c:v>
                </c:pt>
                <c:pt idx="15">
                  <c:v>32.692296542414688</c:v>
                </c:pt>
                <c:pt idx="16">
                  <c:v>29.536672811813411</c:v>
                </c:pt>
                <c:pt idx="17">
                  <c:v>30.286985728065023</c:v>
                </c:pt>
                <c:pt idx="18">
                  <c:v>32.72217956297375</c:v>
                </c:pt>
                <c:pt idx="19">
                  <c:v>31.418152200549791</c:v>
                </c:pt>
                <c:pt idx="20">
                  <c:v>29.495831354303245</c:v>
                </c:pt>
                <c:pt idx="21">
                  <c:v>31.002079326707669</c:v>
                </c:pt>
                <c:pt idx="22">
                  <c:v>33.032155083193295</c:v>
                </c:pt>
                <c:pt idx="23">
                  <c:v>30.204682152622119</c:v>
                </c:pt>
                <c:pt idx="24">
                  <c:v>29.924148337740569</c:v>
                </c:pt>
                <c:pt idx="25">
                  <c:v>31.805804617674749</c:v>
                </c:pt>
                <c:pt idx="26">
                  <c:v>32.485436642889695</c:v>
                </c:pt>
                <c:pt idx="27">
                  <c:v>29.51450913469985</c:v>
                </c:pt>
                <c:pt idx="28">
                  <c:v>30.613657563824866</c:v>
                </c:pt>
                <c:pt idx="29">
                  <c:v>32.446829426787282</c:v>
                </c:pt>
                <c:pt idx="30">
                  <c:v>31.359982338748704</c:v>
                </c:pt>
                <c:pt idx="31">
                  <c:v>29.496482850470567</c:v>
                </c:pt>
                <c:pt idx="32">
                  <c:v>31.363588354646055</c:v>
                </c:pt>
                <c:pt idx="33">
                  <c:v>32.595547781420493</c:v>
                </c:pt>
                <c:pt idx="34">
                  <c:v>30.214228386563867</c:v>
                </c:pt>
                <c:pt idx="35">
                  <c:v>30.05655065352838</c:v>
                </c:pt>
                <c:pt idx="36">
                  <c:v>31.990748544080944</c:v>
                </c:pt>
                <c:pt idx="37">
                  <c:v>32.104607123831258</c:v>
                </c:pt>
                <c:pt idx="38">
                  <c:v>29.516968773708196</c:v>
                </c:pt>
                <c:pt idx="39">
                  <c:v>30.939797266497507</c:v>
                </c:pt>
                <c:pt idx="40">
                  <c:v>32.310074852000938</c:v>
                </c:pt>
                <c:pt idx="41">
                  <c:v>31.161422232700772</c:v>
                </c:pt>
                <c:pt idx="42">
                  <c:v>29.494983280593111</c:v>
                </c:pt>
                <c:pt idx="43">
                  <c:v>31.80941666792846</c:v>
                </c:pt>
                <c:pt idx="44">
                  <c:v>32.189993501938886</c:v>
                </c:pt>
                <c:pt idx="45">
                  <c:v>30.166275290862156</c:v>
                </c:pt>
                <c:pt idx="46">
                  <c:v>30.132616988723584</c:v>
                </c:pt>
                <c:pt idx="47">
                  <c:v>32.345943455653618</c:v>
                </c:pt>
                <c:pt idx="48">
                  <c:v>31.649040508041164</c:v>
                </c:pt>
                <c:pt idx="49">
                  <c:v>29.520508219490956</c:v>
                </c:pt>
                <c:pt idx="50">
                  <c:v>31.190312451886609</c:v>
                </c:pt>
                <c:pt idx="51">
                  <c:v>32.368457343275189</c:v>
                </c:pt>
                <c:pt idx="52">
                  <c:v>30.853433952194088</c:v>
                </c:pt>
                <c:pt idx="53">
                  <c:v>29.490437856073413</c:v>
                </c:pt>
                <c:pt idx="54">
                  <c:v>32.236844465272625</c:v>
                </c:pt>
                <c:pt idx="55">
                  <c:v>31.925085675615115</c:v>
                </c:pt>
                <c:pt idx="56">
                  <c:v>30.050323491002093</c:v>
                </c:pt>
                <c:pt idx="57">
                  <c:v>30.146229003684184</c:v>
                </c:pt>
                <c:pt idx="58">
                  <c:v>32.790110922492069</c:v>
                </c:pt>
                <c:pt idx="59">
                  <c:v>31.233161606229967</c:v>
                </c:pt>
                <c:pt idx="60">
                  <c:v>29.516351984130782</c:v>
                </c:pt>
                <c:pt idx="61">
                  <c:v>31.313337740463872</c:v>
                </c:pt>
                <c:pt idx="62">
                  <c:v>32.601432839369132</c:v>
                </c:pt>
                <c:pt idx="63">
                  <c:v>30.506689879956898</c:v>
                </c:pt>
                <c:pt idx="64">
                  <c:v>29.497507518921857</c:v>
                </c:pt>
                <c:pt idx="65">
                  <c:v>32.535269700130648</c:v>
                </c:pt>
                <c:pt idx="66">
                  <c:v>31.846946329746753</c:v>
                </c:pt>
                <c:pt idx="67">
                  <c:v>29.888124240379568</c:v>
                </c:pt>
                <c:pt idx="68">
                  <c:v>30.124508595338657</c:v>
                </c:pt>
                <c:pt idx="69">
                  <c:v>33.193395979267081</c:v>
                </c:pt>
                <c:pt idx="70">
                  <c:v>30.941798330977502</c:v>
                </c:pt>
                <c:pt idx="71">
                  <c:v>29.51105914420382</c:v>
                </c:pt>
                <c:pt idx="72">
                  <c:v>31.308125537401569</c:v>
                </c:pt>
                <c:pt idx="73">
                  <c:v>32.916936801893549</c:v>
                </c:pt>
                <c:pt idx="74">
                  <c:v>30.19770074476666</c:v>
                </c:pt>
                <c:pt idx="75">
                  <c:v>29.541616864021925</c:v>
                </c:pt>
                <c:pt idx="76">
                  <c:v>32.634755556818277</c:v>
                </c:pt>
                <c:pt idx="77">
                  <c:v>31.929214766690396</c:v>
                </c:pt>
                <c:pt idx="78">
                  <c:v>29.718514419654547</c:v>
                </c:pt>
                <c:pt idx="79">
                  <c:v>30.120635687516476</c:v>
                </c:pt>
                <c:pt idx="80">
                  <c:v>33.424218928886674</c:v>
                </c:pt>
                <c:pt idx="81">
                  <c:v>30.805628492956444</c:v>
                </c:pt>
                <c:pt idx="82">
                  <c:v>29.518306916673506</c:v>
                </c:pt>
                <c:pt idx="83">
                  <c:v>31.230641726937371</c:v>
                </c:pt>
                <c:pt idx="84">
                  <c:v>33.180237152797567</c:v>
                </c:pt>
                <c:pt idx="85">
                  <c:v>29.979304143368363</c:v>
                </c:pt>
                <c:pt idx="86">
                  <c:v>29.646454685061485</c:v>
                </c:pt>
                <c:pt idx="87">
                  <c:v>32.542681614332388</c:v>
                </c:pt>
                <c:pt idx="88">
                  <c:v>32.08520225772255</c:v>
                </c:pt>
                <c:pt idx="89">
                  <c:v>29.577627195074871</c:v>
                </c:pt>
                <c:pt idx="90">
                  <c:v>30.193550587369785</c:v>
                </c:pt>
                <c:pt idx="91">
                  <c:v>33.408109194476509</c:v>
                </c:pt>
                <c:pt idx="92">
                  <c:v>30.798441402388384</c:v>
                </c:pt>
                <c:pt idx="93">
                  <c:v>29.547309101313775</c:v>
                </c:pt>
                <c:pt idx="94">
                  <c:v>31.172073615690078</c:v>
                </c:pt>
                <c:pt idx="95">
                  <c:v>33.265082166475501</c:v>
                </c:pt>
                <c:pt idx="96">
                  <c:v>29.866316233751178</c:v>
                </c:pt>
                <c:pt idx="97">
                  <c:v>29.819632212066811</c:v>
                </c:pt>
                <c:pt idx="98">
                  <c:v>32.34358293575059</c:v>
                </c:pt>
                <c:pt idx="99">
                  <c:v>32.199050338789689</c:v>
                </c:pt>
                <c:pt idx="100">
                  <c:v>29.484654972007924</c:v>
                </c:pt>
                <c:pt idx="101">
                  <c:v>30.383570138618524</c:v>
                </c:pt>
                <c:pt idx="102">
                  <c:v>33.165834538785418</c:v>
                </c:pt>
                <c:pt idx="103">
                  <c:v>30.85174191769892</c:v>
                </c:pt>
                <c:pt idx="104">
                  <c:v>29.594749642738648</c:v>
                </c:pt>
                <c:pt idx="105">
                  <c:v>31.222234863306248</c:v>
                </c:pt>
                <c:pt idx="106">
                  <c:v>33.110059375200045</c:v>
                </c:pt>
                <c:pt idx="107">
                  <c:v>29.837273866357634</c:v>
                </c:pt>
                <c:pt idx="108">
                  <c:v>30.043327373402349</c:v>
                </c:pt>
                <c:pt idx="109">
                  <c:v>32.16152908883209</c:v>
                </c:pt>
                <c:pt idx="110">
                  <c:v>32.17096542774275</c:v>
                </c:pt>
                <c:pt idx="111">
                  <c:v>29.438295414305138</c:v>
                </c:pt>
                <c:pt idx="112">
                  <c:v>30.693052337182603</c:v>
                </c:pt>
                <c:pt idx="113">
                  <c:v>32.803624785346607</c:v>
                </c:pt>
                <c:pt idx="114">
                  <c:v>30.882174346896615</c:v>
                </c:pt>
                <c:pt idx="115">
                  <c:v>29.644929221768379</c:v>
                </c:pt>
                <c:pt idx="116">
                  <c:v>31.434951830403566</c:v>
                </c:pt>
                <c:pt idx="117">
                  <c:v>32.747780497897139</c:v>
                </c:pt>
                <c:pt idx="118">
                  <c:v>29.848300883464017</c:v>
                </c:pt>
                <c:pt idx="119">
                  <c:v>30.275360825370406</c:v>
                </c:pt>
                <c:pt idx="120">
                  <c:v>32.10881347533374</c:v>
                </c:pt>
                <c:pt idx="121">
                  <c:v>31.959724770843248</c:v>
                </c:pt>
                <c:pt idx="122">
                  <c:v>29.423274513938583</c:v>
                </c:pt>
                <c:pt idx="123">
                  <c:v>31.078559074096148</c:v>
                </c:pt>
                <c:pt idx="124">
                  <c:v>32.462569663076245</c:v>
                </c:pt>
                <c:pt idx="125">
                  <c:v>30.824415273943217</c:v>
                </c:pt>
                <c:pt idx="126">
                  <c:v>29.678563247898563</c:v>
                </c:pt>
                <c:pt idx="127">
                  <c:v>31.805929488744809</c:v>
                </c:pt>
                <c:pt idx="128">
                  <c:v>32.286420445795244</c:v>
                </c:pt>
                <c:pt idx="129">
                  <c:v>29.853222178521161</c:v>
                </c:pt>
                <c:pt idx="130">
                  <c:v>30.463030245597093</c:v>
                </c:pt>
                <c:pt idx="131">
                  <c:v>32.245243841820276</c:v>
                </c:pt>
                <c:pt idx="132">
                  <c:v>31.598749116448289</c:v>
                </c:pt>
                <c:pt idx="133">
                  <c:v>29.422366795462882</c:v>
                </c:pt>
                <c:pt idx="134">
                  <c:v>31.45940263872496</c:v>
                </c:pt>
                <c:pt idx="135">
                  <c:v>32.260413158784068</c:v>
                </c:pt>
                <c:pt idx="136">
                  <c:v>30.656458067161147</c:v>
                </c:pt>
                <c:pt idx="137">
                  <c:v>29.685956414816506</c:v>
                </c:pt>
                <c:pt idx="138">
                  <c:v>32.267497377470839</c:v>
                </c:pt>
                <c:pt idx="139">
                  <c:v>31.857512084890413</c:v>
                </c:pt>
                <c:pt idx="140">
                  <c:v>29.82223637934749</c:v>
                </c:pt>
                <c:pt idx="141">
                  <c:v>30.566356337913511</c:v>
                </c:pt>
                <c:pt idx="142">
                  <c:v>32.557546901189298</c:v>
                </c:pt>
                <c:pt idx="143">
                  <c:v>31.175752121708367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4D-410B-9698-F12EBDCE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64352"/>
        <c:axId val="204565888"/>
      </c:scatterChart>
      <c:scatterChart>
        <c:scatterStyle val="smoothMarker"/>
        <c:varyColors val="0"/>
        <c:ser>
          <c:idx val="2"/>
          <c:order val="1"/>
          <c:tx>
            <c:strRef>
              <c:f>BestVisibility!$E$4</c:f>
              <c:strCache>
                <c:ptCount val="1"/>
                <c:pt idx="0">
                  <c:v> Mag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_(* #,##0.00_);_(* \(#,##0.00\);_(* "-"??_);_(@_)</c:formatCode>
                <c:ptCount val="149"/>
                <c:pt idx="0">
                  <c:v>20.087990324047254</c:v>
                </c:pt>
                <c:pt idx="1">
                  <c:v>20.473523600251895</c:v>
                </c:pt>
                <c:pt idx="2">
                  <c:v>20.57912088307005</c:v>
                </c:pt>
                <c:pt idx="3">
                  <c:v>20.246092243585085</c:v>
                </c:pt>
                <c:pt idx="4">
                  <c:v>20.176130673090658</c:v>
                </c:pt>
                <c:pt idx="5">
                  <c:v>20.569576693170632</c:v>
                </c:pt>
                <c:pt idx="6">
                  <c:v>20.505451660843701</c:v>
                </c:pt>
                <c:pt idx="7">
                  <c:v>20.12401154945595</c:v>
                </c:pt>
                <c:pt idx="8">
                  <c:v>20.333105343308048</c:v>
                </c:pt>
                <c:pt idx="9">
                  <c:v>20.598404130863369</c:v>
                </c:pt>
                <c:pt idx="10">
                  <c:v>20.383877644208376</c:v>
                </c:pt>
                <c:pt idx="11">
                  <c:v>20.09807394063186</c:v>
                </c:pt>
                <c:pt idx="12">
                  <c:v>20.485719248668762</c:v>
                </c:pt>
                <c:pt idx="13">
                  <c:v>20.563404342567072</c:v>
                </c:pt>
                <c:pt idx="14">
                  <c:v>20.244063886425337</c:v>
                </c:pt>
                <c:pt idx="15">
                  <c:v>20.185550620151908</c:v>
                </c:pt>
                <c:pt idx="16">
                  <c:v>20.580916723652507</c:v>
                </c:pt>
                <c:pt idx="17">
                  <c:v>20.476685747587251</c:v>
                </c:pt>
                <c:pt idx="18">
                  <c:v>20.139488659087821</c:v>
                </c:pt>
                <c:pt idx="19">
                  <c:v>20.341237752604638</c:v>
                </c:pt>
                <c:pt idx="20">
                  <c:v>20.598928005141289</c:v>
                </c:pt>
                <c:pt idx="21">
                  <c:v>20.356601336669833</c:v>
                </c:pt>
                <c:pt idx="22">
                  <c:v>20.123789783249094</c:v>
                </c:pt>
                <c:pt idx="23">
                  <c:v>20.493835181504693</c:v>
                </c:pt>
                <c:pt idx="24">
                  <c:v>20.545944256654092</c:v>
                </c:pt>
                <c:pt idx="25">
                  <c:v>20.234291554426214</c:v>
                </c:pt>
                <c:pt idx="26">
                  <c:v>20.209733958793457</c:v>
                </c:pt>
                <c:pt idx="27">
                  <c:v>20.587539970366002</c:v>
                </c:pt>
                <c:pt idx="28">
                  <c:v>20.442999873738039</c:v>
                </c:pt>
                <c:pt idx="29">
                  <c:v>20.15513710782913</c:v>
                </c:pt>
                <c:pt idx="30">
                  <c:v>20.357156329900505</c:v>
                </c:pt>
                <c:pt idx="31">
                  <c:v>20.597848303523168</c:v>
                </c:pt>
                <c:pt idx="32">
                  <c:v>20.319596279626118</c:v>
                </c:pt>
                <c:pt idx="33">
                  <c:v>20.158170520085523</c:v>
                </c:pt>
                <c:pt idx="34">
                  <c:v>20.502287130622051</c:v>
                </c:pt>
                <c:pt idx="35">
                  <c:v>20.529473547804876</c:v>
                </c:pt>
                <c:pt idx="36">
                  <c:v>20.212956537205745</c:v>
                </c:pt>
                <c:pt idx="37">
                  <c:v>20.246210944751493</c:v>
                </c:pt>
                <c:pt idx="38">
                  <c:v>20.591289791757273</c:v>
                </c:pt>
                <c:pt idx="39">
                  <c:v>20.408994339012793</c:v>
                </c:pt>
                <c:pt idx="40">
                  <c:v>20.162891905470197</c:v>
                </c:pt>
                <c:pt idx="41">
                  <c:v>20.382563619335478</c:v>
                </c:pt>
                <c:pt idx="42">
                  <c:v>20.59588350959605</c:v>
                </c:pt>
                <c:pt idx="43">
                  <c:v>20.277297862053675</c:v>
                </c:pt>
                <c:pt idx="44">
                  <c:v>20.192056285964888</c:v>
                </c:pt>
                <c:pt idx="45">
                  <c:v>20.514220137497858</c:v>
                </c:pt>
                <c:pt idx="46">
                  <c:v>20.516367680836034</c:v>
                </c:pt>
                <c:pt idx="47">
                  <c:v>20.18132647594831</c:v>
                </c:pt>
                <c:pt idx="48">
                  <c:v>20.288663713045505</c:v>
                </c:pt>
                <c:pt idx="49">
                  <c:v>20.594100113131486</c:v>
                </c:pt>
                <c:pt idx="50">
                  <c:v>20.380166023917429</c:v>
                </c:pt>
                <c:pt idx="51">
                  <c:v>20.159004880387926</c:v>
                </c:pt>
                <c:pt idx="52">
                  <c:v>20.415445415217537</c:v>
                </c:pt>
                <c:pt idx="53">
                  <c:v>20.593123902047033</c:v>
                </c:pt>
                <c:pt idx="54">
                  <c:v>20.236912273249779</c:v>
                </c:pt>
                <c:pt idx="55">
                  <c:v>20.217695361840526</c:v>
                </c:pt>
                <c:pt idx="56">
                  <c:v>20.530167875830848</c:v>
                </c:pt>
                <c:pt idx="57">
                  <c:v>20.506868965039324</c:v>
                </c:pt>
                <c:pt idx="58">
                  <c:v>20.145044543157084</c:v>
                </c:pt>
                <c:pt idx="59">
                  <c:v>20.329034222121248</c:v>
                </c:pt>
                <c:pt idx="60">
                  <c:v>20.596434227423845</c:v>
                </c:pt>
                <c:pt idx="61">
                  <c:v>20.359978841644182</c:v>
                </c:pt>
                <c:pt idx="62">
                  <c:v>20.144891492065824</c:v>
                </c:pt>
                <c:pt idx="63">
                  <c:v>20.450958448074065</c:v>
                </c:pt>
                <c:pt idx="64">
                  <c:v>20.588637314644082</c:v>
                </c:pt>
                <c:pt idx="65">
                  <c:v>20.206046046956519</c:v>
                </c:pt>
                <c:pt idx="66">
                  <c:v>20.231804106393863</c:v>
                </c:pt>
                <c:pt idx="67">
                  <c:v>20.548782204183947</c:v>
                </c:pt>
                <c:pt idx="68">
                  <c:v>20.499283170825962</c:v>
                </c:pt>
                <c:pt idx="69">
                  <c:v>20.113064197032394</c:v>
                </c:pt>
                <c:pt idx="70">
                  <c:v>20.36123673216559</c:v>
                </c:pt>
                <c:pt idx="71">
                  <c:v>20.597831549859627</c:v>
                </c:pt>
                <c:pt idx="72">
                  <c:v>20.348444232625358</c:v>
                </c:pt>
                <c:pt idx="73">
                  <c:v>20.126730893029368</c:v>
                </c:pt>
                <c:pt idx="74">
                  <c:v>20.483436119982432</c:v>
                </c:pt>
                <c:pt idx="75">
                  <c:v>20.580363874912717</c:v>
                </c:pt>
                <c:pt idx="76">
                  <c:v>20.189024677314539</c:v>
                </c:pt>
                <c:pt idx="77">
                  <c:v>20.235759636689153</c:v>
                </c:pt>
                <c:pt idx="78">
                  <c:v>20.567062415927957</c:v>
                </c:pt>
                <c:pt idx="79">
                  <c:v>20.489732552307917</c:v>
                </c:pt>
                <c:pt idx="80">
                  <c:v>20.093844495280724</c:v>
                </c:pt>
                <c:pt idx="81">
                  <c:v>20.382777927235722</c:v>
                </c:pt>
                <c:pt idx="82">
                  <c:v>20.597391308614842</c:v>
                </c:pt>
                <c:pt idx="83">
                  <c:v>20.341952005243282</c:v>
                </c:pt>
                <c:pt idx="84">
                  <c:v>20.113618435053343</c:v>
                </c:pt>
                <c:pt idx="85">
                  <c:v>20.509114645091113</c:v>
                </c:pt>
                <c:pt idx="86">
                  <c:v>20.56683058544737</c:v>
                </c:pt>
                <c:pt idx="87">
                  <c:v>20.185531865901929</c:v>
                </c:pt>
                <c:pt idx="88">
                  <c:v>20.235488517722338</c:v>
                </c:pt>
                <c:pt idx="89">
                  <c:v>20.582381832999669</c:v>
                </c:pt>
                <c:pt idx="90">
                  <c:v>20.474027439277688</c:v>
                </c:pt>
                <c:pt idx="91">
                  <c:v>20.091956546736235</c:v>
                </c:pt>
                <c:pt idx="92">
                  <c:v>20.395082740104495</c:v>
                </c:pt>
                <c:pt idx="93">
                  <c:v>20.594229117073159</c:v>
                </c:pt>
                <c:pt idx="94">
                  <c:v>20.334088157051244</c:v>
                </c:pt>
                <c:pt idx="95">
                  <c:v>20.11342702874029</c:v>
                </c:pt>
                <c:pt idx="96">
                  <c:v>20.526516489686827</c:v>
                </c:pt>
                <c:pt idx="97">
                  <c:v>20.547431662533032</c:v>
                </c:pt>
                <c:pt idx="98">
                  <c:v>20.190067882424955</c:v>
                </c:pt>
                <c:pt idx="99">
                  <c:v>20.238736977831756</c:v>
                </c:pt>
                <c:pt idx="100">
                  <c:v>20.593359660107428</c:v>
                </c:pt>
                <c:pt idx="101">
                  <c:v>20.449563314939418</c:v>
                </c:pt>
                <c:pt idx="102">
                  <c:v>20.106290506295263</c:v>
                </c:pt>
                <c:pt idx="103">
                  <c:v>20.403060242478745</c:v>
                </c:pt>
                <c:pt idx="104">
                  <c:v>20.588822590845972</c:v>
                </c:pt>
                <c:pt idx="105">
                  <c:v>20.318905490613055</c:v>
                </c:pt>
                <c:pt idx="106">
                  <c:v>20.130133550300663</c:v>
                </c:pt>
                <c:pt idx="107">
                  <c:v>20.537120751494061</c:v>
                </c:pt>
                <c:pt idx="108">
                  <c:v>20.52357969163965</c:v>
                </c:pt>
                <c:pt idx="109">
                  <c:v>20.194426679426648</c:v>
                </c:pt>
                <c:pt idx="110">
                  <c:v>20.251924588522431</c:v>
                </c:pt>
                <c:pt idx="111">
                  <c:v>20.599835971662152</c:v>
                </c:pt>
                <c:pt idx="112">
                  <c:v>20.416199694317942</c:v>
                </c:pt>
                <c:pt idx="113">
                  <c:v>20.129956372557281</c:v>
                </c:pt>
                <c:pt idx="114">
                  <c:v>20.412280173835377</c:v>
                </c:pt>
                <c:pt idx="115">
                  <c:v>20.582186347945843</c:v>
                </c:pt>
                <c:pt idx="116">
                  <c:v>20.292772862807212</c:v>
                </c:pt>
                <c:pt idx="117">
                  <c:v>20.161696661879862</c:v>
                </c:pt>
                <c:pt idx="118">
                  <c:v>20.544108818389454</c:v>
                </c:pt>
                <c:pt idx="119">
                  <c:v>20.498564939859357</c:v>
                </c:pt>
                <c:pt idx="120">
                  <c:v>20.191278183325512</c:v>
                </c:pt>
                <c:pt idx="121">
                  <c:v>20.277946013198807</c:v>
                </c:pt>
                <c:pt idx="122">
                  <c:v>20.603130805037377</c:v>
                </c:pt>
                <c:pt idx="123">
                  <c:v>20.37751567882016</c:v>
                </c:pt>
                <c:pt idx="124">
                  <c:v>20.153912557382064</c:v>
                </c:pt>
                <c:pt idx="125">
                  <c:v>20.42731947459874</c:v>
                </c:pt>
                <c:pt idx="126">
                  <c:v>20.575764485257992</c:v>
                </c:pt>
                <c:pt idx="127">
                  <c:v>20.256286228106092</c:v>
                </c:pt>
                <c:pt idx="128">
                  <c:v>20.201065883307681</c:v>
                </c:pt>
                <c:pt idx="129">
                  <c:v>20.550600000237793</c:v>
                </c:pt>
                <c:pt idx="130">
                  <c:v>20.475990660285202</c:v>
                </c:pt>
                <c:pt idx="131">
                  <c:v>20.176439535242643</c:v>
                </c:pt>
                <c:pt idx="132">
                  <c:v>20.314427770054753</c:v>
                </c:pt>
                <c:pt idx="133">
                  <c:v>20.604330732954651</c:v>
                </c:pt>
                <c:pt idx="134">
                  <c:v>20.339265838155924</c:v>
                </c:pt>
                <c:pt idx="135">
                  <c:v>20.170143268760572</c:v>
                </c:pt>
                <c:pt idx="136">
                  <c:v>20.449728198555658</c:v>
                </c:pt>
                <c:pt idx="137">
                  <c:v>20.57040870864779</c:v>
                </c:pt>
                <c:pt idx="138">
                  <c:v>20.21466792900317</c:v>
                </c:pt>
                <c:pt idx="139">
                  <c:v>20.239639801915796</c:v>
                </c:pt>
                <c:pt idx="140">
                  <c:v>20.558943751304767</c:v>
                </c:pt>
                <c:pt idx="141">
                  <c:v>20.458905833194489</c:v>
                </c:pt>
                <c:pt idx="142">
                  <c:v>20.151197135106408</c:v>
                </c:pt>
                <c:pt idx="143">
                  <c:v>20.355588277389987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4D-410B-9698-F12EBDCE4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77408"/>
        <c:axId val="204575872"/>
      </c:scatterChart>
      <c:valAx>
        <c:axId val="204564352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204565888"/>
        <c:crosses val="autoZero"/>
        <c:crossBetween val="midCat"/>
        <c:majorUnit val="365"/>
        <c:minorUnit val="90"/>
      </c:valAx>
      <c:valAx>
        <c:axId val="204565888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204564352"/>
        <c:crosses val="autoZero"/>
        <c:crossBetween val="midCat"/>
      </c:valAx>
      <c:valAx>
        <c:axId val="20457587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204577408"/>
        <c:crosses val="max"/>
        <c:crossBetween val="midCat"/>
      </c:valAx>
      <c:valAx>
        <c:axId val="204577408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one"/>
        <c:crossAx val="20457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4"/>
  <sheetViews>
    <sheetView workbookViewId="0">
      <selection activeCell="F11" sqref="F11"/>
    </sheetView>
  </sheetViews>
  <sheetFormatPr defaultRowHeight="15"/>
  <cols>
    <col min="1" max="1" width="12.28515625" bestFit="1" customWidth="1"/>
    <col min="2" max="2" width="15.85546875" bestFit="1" customWidth="1"/>
    <col min="3" max="3" width="12" bestFit="1" customWidth="1"/>
    <col min="5" max="5" width="17.42578125" bestFit="1" customWidth="1"/>
    <col min="6" max="6" width="17.85546875" bestFit="1" customWidth="1"/>
    <col min="7" max="7" width="12" bestFit="1" customWidth="1"/>
    <col min="8" max="8" width="13.140625" bestFit="1" customWidth="1"/>
    <col min="9" max="9" width="10.85546875" customWidth="1"/>
    <col min="10" max="10" width="10.5703125" bestFit="1" customWidth="1"/>
    <col min="11" max="14" width="10" bestFit="1" customWidth="1"/>
    <col min="15" max="15" width="10.85546875" bestFit="1" customWidth="1"/>
    <col min="16" max="17" width="10" bestFit="1" customWidth="1"/>
  </cols>
  <sheetData>
    <row r="1" spans="1:17" ht="15.75" thickBot="1">
      <c r="B1" s="2">
        <v>43156</v>
      </c>
      <c r="G1" s="3" t="s">
        <v>65</v>
      </c>
      <c r="H1" s="10">
        <f>VLOOKUP(F2,planetlookup,2,0)</f>
        <v>5</v>
      </c>
    </row>
    <row r="2" spans="1:17" ht="15.75" thickBot="1">
      <c r="A2" s="29" t="s">
        <v>44</v>
      </c>
      <c r="C2" t="s">
        <v>45</v>
      </c>
      <c r="E2" s="51" t="s">
        <v>34</v>
      </c>
      <c r="F2" s="48" t="s">
        <v>30</v>
      </c>
      <c r="G2" s="16" t="s">
        <v>61</v>
      </c>
      <c r="H2" s="10" t="s">
        <v>62</v>
      </c>
      <c r="I2" s="46" t="s">
        <v>37</v>
      </c>
      <c r="J2" s="17" t="s">
        <v>28</v>
      </c>
      <c r="K2" s="16" t="s">
        <v>26</v>
      </c>
      <c r="L2" s="46" t="s">
        <v>27</v>
      </c>
      <c r="M2" s="46" t="s">
        <v>60</v>
      </c>
      <c r="N2" s="17" t="s">
        <v>30</v>
      </c>
      <c r="O2" s="17" t="s">
        <v>31</v>
      </c>
      <c r="P2" s="17" t="s">
        <v>66</v>
      </c>
      <c r="Q2" s="17" t="s">
        <v>33</v>
      </c>
    </row>
    <row r="3" spans="1:17">
      <c r="A3" s="22" t="s">
        <v>9</v>
      </c>
      <c r="B3" s="23">
        <f>IF(C3=0,YEAR(B1),C3)</f>
        <v>2018</v>
      </c>
      <c r="C3" s="18">
        <v>2018</v>
      </c>
      <c r="D3" s="18"/>
      <c r="E3" s="18" t="s">
        <v>14</v>
      </c>
      <c r="F3" s="66" t="e">
        <f ca="1">vbEccentricAnomaly(vbmeananomaly(planetno,dd), vbeccentricity(planetno,dd))*180/PI()</f>
        <v>#VALUE!</v>
      </c>
      <c r="G3" s="3"/>
      <c r="H3" s="18"/>
      <c r="I3" s="10"/>
      <c r="J3" s="18"/>
      <c r="K3" s="18"/>
      <c r="M3" s="19"/>
      <c r="N3" s="7"/>
      <c r="O3" s="7"/>
      <c r="P3" s="7"/>
      <c r="Q3" s="7"/>
    </row>
    <row r="4" spans="1:17">
      <c r="A4" s="24" t="s">
        <v>13</v>
      </c>
      <c r="B4" s="25">
        <f>IF(C4=0,MONTH(B1),C4)</f>
        <v>2</v>
      </c>
      <c r="C4" s="19">
        <v>2</v>
      </c>
      <c r="D4" s="19"/>
      <c r="E4" s="19" t="s">
        <v>63</v>
      </c>
      <c r="F4" s="63" t="e">
        <f ca="1">vbplandist(planetno,dd)</f>
        <v>#VALUE!</v>
      </c>
      <c r="G4" s="55">
        <f ca="1">OFFSET(J4,0,planetno)</f>
        <v>10.065437381923914</v>
      </c>
      <c r="H4" s="58" t="e">
        <f ca="1">ROUND(ABS(F4-G4)*IF(planetno=0,erad,au),0)/IF(planetno=0,erad,au)/F4</f>
        <v>#VALUE!</v>
      </c>
      <c r="I4" s="7">
        <v>0.98990259999999997</v>
      </c>
      <c r="J4" s="44">
        <f>367419.465/erad</f>
        <v>57.606052077878502</v>
      </c>
      <c r="K4" s="19">
        <f>52631000/au</f>
        <v>0.35181650483211058</v>
      </c>
      <c r="L4">
        <f>108658000/au</f>
        <v>0.7263338675314448</v>
      </c>
      <c r="M4" s="19">
        <f>235693000/au</f>
        <v>1.5755103926088168</v>
      </c>
      <c r="N4" s="7">
        <f>811299000/au</f>
        <v>5.4231988477092683</v>
      </c>
      <c r="O4" s="7">
        <f>1505768000/au</f>
        <v>10.065437381923914</v>
      </c>
      <c r="P4" s="7">
        <f>2976507000/au</f>
        <v>19.896720361541885</v>
      </c>
      <c r="Q4" s="7">
        <f>4479518000/au</f>
        <v>29.943728336769706</v>
      </c>
    </row>
    <row r="5" spans="1:17">
      <c r="A5" s="24" t="s">
        <v>10</v>
      </c>
      <c r="B5" s="25">
        <f>IF(C5=0,DAY(B1),C5)</f>
        <v>25</v>
      </c>
      <c r="C5" s="19">
        <v>25</v>
      </c>
      <c r="D5" s="19"/>
      <c r="E5" s="19" t="s">
        <v>35</v>
      </c>
      <c r="F5" s="63" t="e">
        <f ca="1">vbPlanTrueAnomaly(planetno,dd)*180/PI()</f>
        <v>#VALUE!</v>
      </c>
      <c r="G5" s="5"/>
      <c r="H5" s="19"/>
      <c r="I5" s="7"/>
      <c r="J5" s="19"/>
      <c r="K5" s="19"/>
      <c r="M5" s="19"/>
      <c r="N5" s="7"/>
      <c r="O5" s="7"/>
      <c r="P5" s="7"/>
      <c r="Q5" s="7"/>
    </row>
    <row r="6" spans="1:17">
      <c r="A6" s="24" t="s">
        <v>11</v>
      </c>
      <c r="B6" s="25">
        <f>IF(C6=0,HOUR(B1),C6)</f>
        <v>11</v>
      </c>
      <c r="C6" s="19">
        <v>11</v>
      </c>
      <c r="D6" s="19"/>
      <c r="E6" s="19" t="s">
        <v>50</v>
      </c>
      <c r="F6" s="63" t="e">
        <f ca="1">vbplanetxyz(planetno,dd,1,lst, lat,temp,pres)</f>
        <v>#VALUE!</v>
      </c>
      <c r="G6" s="5"/>
      <c r="H6" s="19"/>
      <c r="I6" s="7"/>
      <c r="J6" s="19">
        <f>-0.0002089*au/erad</f>
        <v>-4.8997035482491755</v>
      </c>
      <c r="K6" s="19"/>
      <c r="M6" s="19"/>
      <c r="N6" s="7"/>
      <c r="O6" s="7"/>
      <c r="P6" s="7"/>
      <c r="Q6" s="7"/>
    </row>
    <row r="7" spans="1:17">
      <c r="A7" s="24" t="s">
        <v>5</v>
      </c>
      <c r="B7" s="25">
        <f>IF(C7=0,MINUTE(B1),C7)</f>
        <v>22</v>
      </c>
      <c r="C7" s="19">
        <v>22</v>
      </c>
      <c r="D7" s="19"/>
      <c r="E7" s="19" t="s">
        <v>51</v>
      </c>
      <c r="F7" s="63" t="e">
        <f ca="1">vbplanetxyz(planetno,dd,2,lst, lat,temp,pres)</f>
        <v>#VALUE!</v>
      </c>
      <c r="G7" s="5"/>
      <c r="H7" s="19"/>
      <c r="I7" s="7"/>
      <c r="J7" s="19">
        <f>0.0024301*au/erad</f>
        <v>56.997460950695654</v>
      </c>
      <c r="K7" s="19"/>
      <c r="M7" s="19"/>
      <c r="N7" s="7"/>
      <c r="O7" s="7"/>
      <c r="P7" s="7"/>
      <c r="Q7" s="7"/>
    </row>
    <row r="8" spans="1:17" ht="15.75" thickBot="1">
      <c r="A8" s="24" t="s">
        <v>12</v>
      </c>
      <c r="B8" s="25">
        <f>IF(C8=0,SECOND(B1),C8)</f>
        <v>46</v>
      </c>
      <c r="C8" s="30">
        <v>46</v>
      </c>
      <c r="D8" s="30"/>
      <c r="E8" s="19" t="s">
        <v>52</v>
      </c>
      <c r="F8" s="63" t="e">
        <f ca="1">vbplanetxyz(planetno,dd,3,lst, lat,temp,pres)</f>
        <v>#VALUE!</v>
      </c>
      <c r="G8" s="61"/>
      <c r="H8" s="19"/>
      <c r="I8" s="7"/>
      <c r="J8" s="19">
        <f>-0.0001436 *au/erad</f>
        <v>-3.3681064122957469</v>
      </c>
      <c r="K8" s="19"/>
      <c r="M8" s="19"/>
      <c r="N8" s="7"/>
      <c r="O8" s="7"/>
      <c r="P8" s="7"/>
      <c r="Q8" s="7"/>
    </row>
    <row r="9" spans="1:17">
      <c r="A9" s="24" t="s">
        <v>40</v>
      </c>
      <c r="B9" s="26">
        <v>10</v>
      </c>
      <c r="C9" t="s">
        <v>42</v>
      </c>
      <c r="E9" s="19" t="s">
        <v>53</v>
      </c>
      <c r="F9" s="63" t="e">
        <f ca="1">vbplanetxyz(planetno,dd,4,lst, lat,temp,pres)</f>
        <v>#VALUE!</v>
      </c>
      <c r="G9" s="64">
        <f ca="1">OFFSET(J9,0,planetno)</f>
        <v>277.06052777777779</v>
      </c>
      <c r="H9" s="49" t="e">
        <f ca="1">(F9-G9)*60*60</f>
        <v>#VALUE!</v>
      </c>
      <c r="I9" s="56">
        <f>336+48/60+51/3600</f>
        <v>336.81416666666667</v>
      </c>
      <c r="J9" s="19">
        <f>95+28/60+8.4/3600</f>
        <v>95.469000000000008</v>
      </c>
      <c r="K9" s="19">
        <f>343+36/60+11.4/3600</f>
        <v>343.60316666666671</v>
      </c>
      <c r="L9">
        <f>348+9/60+29.8/3600</f>
        <v>348.15827777777776</v>
      </c>
      <c r="M9" s="19">
        <v>220.13582</v>
      </c>
      <c r="N9" s="7">
        <v>222.60016999999999</v>
      </c>
      <c r="O9" s="7">
        <f>277+3/60+37.9/3600</f>
        <v>277.06052777777779</v>
      </c>
      <c r="P9" s="7">
        <f>25+46/60+44.9/3600</f>
        <v>25.779138888888887</v>
      </c>
      <c r="Q9" s="7">
        <f>343+40/60+37.4/3600</f>
        <v>343.67705555555557</v>
      </c>
    </row>
    <row r="10" spans="1:17" ht="15.75" thickBot="1">
      <c r="A10" s="27" t="s">
        <v>41</v>
      </c>
      <c r="B10" s="28">
        <v>1010</v>
      </c>
      <c r="C10" t="s">
        <v>43</v>
      </c>
      <c r="E10" s="19" t="s">
        <v>54</v>
      </c>
      <c r="F10" s="63" t="e">
        <f ca="1">vbplanetxyz(planetno,dd,5,lst, lat,temp,pres)</f>
        <v>#VALUE!</v>
      </c>
      <c r="G10" s="67">
        <f ca="1">OFFSET(J10,0,planetno)</f>
        <v>0.87733333333333341</v>
      </c>
      <c r="H10" s="57" t="e">
        <f ca="1">(F10-G10)*60*60</f>
        <v>#VALUE!</v>
      </c>
      <c r="I10" s="7">
        <f>-5.6/3600</f>
        <v>-1.5555555555555555E-3</v>
      </c>
      <c r="J10" s="19">
        <f>-4-13/60-56.6/3600</f>
        <v>-4.232388888888889</v>
      </c>
      <c r="K10" s="19">
        <f>-1-20/60-23/3600</f>
        <v>-1.3397222222222223</v>
      </c>
      <c r="L10">
        <f>-1-24/60-49.3/3600</f>
        <v>-1.4136944444444444</v>
      </c>
      <c r="M10" s="19">
        <v>0.30732999999999999</v>
      </c>
      <c r="N10" s="7">
        <v>1.10551</v>
      </c>
      <c r="O10" s="7">
        <f>52/60+38.4/3600</f>
        <v>0.87733333333333341</v>
      </c>
      <c r="P10" s="7">
        <f>-32/60-25.8/3600</f>
        <v>-0.54049999999999998</v>
      </c>
      <c r="Q10" s="7">
        <f>-54/60-18.6/3600</f>
        <v>-0.90516666666666667</v>
      </c>
    </row>
    <row r="11" spans="1:17">
      <c r="A11" s="3" t="s">
        <v>24</v>
      </c>
      <c r="B11" s="10">
        <f>51+52/60+58.11/3600</f>
        <v>51.882808333333337</v>
      </c>
      <c r="E11" s="18" t="s">
        <v>55</v>
      </c>
      <c r="F11" s="35" t="e">
        <f ca="1">vbplanetxyz(planetno,dd,6,lst, lat,temp,pres)</f>
        <v>#VALUE!</v>
      </c>
      <c r="G11" s="68">
        <f ca="1">OFFSET(J11,0,planetno)*15</f>
        <v>277.6906153846154</v>
      </c>
      <c r="H11" s="49" t="e">
        <f ca="1">(F11-G11)*3600</f>
        <v>#VALUE!</v>
      </c>
      <c r="I11" s="18">
        <f>(22+34/60+11.32/3600)</f>
        <v>22.569811111111111</v>
      </c>
      <c r="J11" s="18">
        <f>6+23/60+5.44/3600</f>
        <v>6.384844444444445</v>
      </c>
      <c r="K11" s="18">
        <f>23+1/60+38.54/3600</f>
        <v>23.027372222222223</v>
      </c>
      <c r="L11" s="31">
        <f>23+18/60+39.84/3600</f>
        <v>23.311066666666669</v>
      </c>
      <c r="M11" s="18">
        <f>17+8/60+40.92/3600</f>
        <v>17.1447</v>
      </c>
      <c r="N11" s="10">
        <v>15.38104</v>
      </c>
      <c r="O11" s="10">
        <f>18+30/60+33.04/2600</f>
        <v>18.512707692307693</v>
      </c>
      <c r="P11" s="10">
        <f>1+36/60+23.65/3600</f>
        <v>1.6065694444444445</v>
      </c>
      <c r="Q11" s="10">
        <f>23+1/60+14.56/3600</f>
        <v>23.020711111111112</v>
      </c>
    </row>
    <row r="12" spans="1:17" ht="15.75" thickBot="1">
      <c r="A12" s="5" t="s">
        <v>25</v>
      </c>
      <c r="B12" s="7">
        <f>-(1+18/60+21.08/3600)</f>
        <v>-1.3058555555555555</v>
      </c>
      <c r="C12" s="7"/>
      <c r="E12" s="19" t="s">
        <v>56</v>
      </c>
      <c r="F12" s="34" t="e">
        <f ca="1">vbplanetxyz(planetno,dd,7,lst, lat,temp,pres)</f>
        <v>#VALUE!</v>
      </c>
      <c r="G12" s="69">
        <f t="shared" ref="G12:G19" ca="1" si="0">OFFSET(J12,0,planetno)</f>
        <v>-22.372611111111112</v>
      </c>
      <c r="H12" s="49" t="e">
        <f ca="1">(F12-G12)*3600</f>
        <v>#VALUE!</v>
      </c>
      <c r="I12" s="20">
        <v>-9.0109999999999992</v>
      </c>
      <c r="J12" s="19">
        <f>19+5/60+42.1/3600</f>
        <v>19.095027777777776</v>
      </c>
      <c r="K12" s="19">
        <f>-7-41/60-0/3600</f>
        <v>-7.6833333333333336</v>
      </c>
      <c r="L12">
        <f>-5-58/60-58.2/3600</f>
        <v>-5.9828333333333337</v>
      </c>
      <c r="M12" s="19">
        <f>-22-34/60-27.1/3600</f>
        <v>-22.574194444444444</v>
      </c>
      <c r="N12" s="7">
        <v>-17.333729999999999</v>
      </c>
      <c r="O12" s="7">
        <f>-22-22/60-21.4/3600</f>
        <v>-22.372611111111112</v>
      </c>
      <c r="P12" s="7">
        <f>9+27/60+26.9/3600</f>
        <v>9.4574722222222221</v>
      </c>
      <c r="Q12" s="7">
        <f>-7-15/60-13.8/3600</f>
        <v>-7.2538333333333336</v>
      </c>
    </row>
    <row r="13" spans="1:17">
      <c r="A13" s="3" t="s">
        <v>21</v>
      </c>
      <c r="B13" s="31"/>
      <c r="C13" s="32" t="e">
        <f ca="1">_xludf.days(B3,B4,B5,B6,B7,B8)</f>
        <v>#NAME?</v>
      </c>
      <c r="E13" s="19" t="s">
        <v>57</v>
      </c>
      <c r="F13" s="34" t="e">
        <f ca="1">vbplanetxyz(planetno,dd,8,lst, lat,temp,pres)</f>
        <v>#VALUE!</v>
      </c>
      <c r="G13" s="69">
        <f t="shared" ca="1" si="0"/>
        <v>5.2986944444444442</v>
      </c>
      <c r="H13" s="49" t="e">
        <f ca="1">(F13-G13)*3600</f>
        <v>#VALUE!</v>
      </c>
      <c r="I13" s="20">
        <v>27.981629999999999</v>
      </c>
      <c r="J13" s="19">
        <f>-7-14/60-49/3600</f>
        <v>-7.2469444444444449</v>
      </c>
      <c r="K13" s="19">
        <f>27+51/60+46.6/3600</f>
        <v>27.862944444444445</v>
      </c>
      <c r="L13">
        <f>28+20/60+58.1/3600</f>
        <v>28.349472222222222</v>
      </c>
      <c r="M13" s="19">
        <f>-4-48/60-32.4/3600</f>
        <v>-4.8090000000000002</v>
      </c>
      <c r="N13" s="7">
        <v>-15.96011</v>
      </c>
      <c r="O13" s="7">
        <f>5+17/60+55.3/3600</f>
        <v>5.2986944444444442</v>
      </c>
      <c r="P13" s="7">
        <f>26+4/60+3.2/3600</f>
        <v>26.067555555555554</v>
      </c>
      <c r="Q13" s="7">
        <f>28+18/60+11/3600</f>
        <v>28.303055555555556</v>
      </c>
    </row>
    <row r="14" spans="1:17">
      <c r="A14" s="5" t="s">
        <v>39</v>
      </c>
      <c r="C14" s="7" t="e">
        <f ca="1">juliandate(yval,monval,dayval,hval,mval,sval)</f>
        <v>#NAME?</v>
      </c>
      <c r="E14" s="19" t="s">
        <v>58</v>
      </c>
      <c r="F14" s="34" t="e">
        <f ca="1">vbplanetxyz(planetno,dd,9,lst, lat,temp,pres)</f>
        <v>#VALUE!</v>
      </c>
      <c r="G14" s="69">
        <f t="shared" ca="1" si="0"/>
        <v>222.79069444444445</v>
      </c>
      <c r="H14" s="49" t="e">
        <f ca="1">(F14-G14)*3600</f>
        <v>#VALUE!</v>
      </c>
      <c r="I14" s="20">
        <v>164.43979999999999</v>
      </c>
      <c r="J14" s="19">
        <f>45+52/60+4.9/3600</f>
        <v>45.868027777777776</v>
      </c>
      <c r="K14" s="19">
        <f>156+36/60+36.3/3600</f>
        <v>156.61008333333334</v>
      </c>
      <c r="L14">
        <f>151+28/60+39.1/3600</f>
        <v>151.47752777777777</v>
      </c>
      <c r="M14" s="19">
        <f>238+52/60+40.3/3600</f>
        <v>238.87786111111112</v>
      </c>
      <c r="N14" s="7">
        <v>262.09654999999998</v>
      </c>
      <c r="O14" s="7">
        <f>222+47/60+26.5/3600</f>
        <v>222.79069444444445</v>
      </c>
      <c r="P14" s="7">
        <f>109+2/60+43.5/3600</f>
        <v>109.04541666666667</v>
      </c>
      <c r="Q14" s="7">
        <f>156+35/60+54.9/3600</f>
        <v>156.59858333333335</v>
      </c>
    </row>
    <row r="15" spans="1:17" ht="15.75" thickBot="1">
      <c r="A15" s="8" t="s">
        <v>38</v>
      </c>
      <c r="B15" s="33"/>
      <c r="C15" s="95" t="e">
        <f ca="1">localsiderealtime(yval,monval,dayval,hval,mval,sval,long)/24</f>
        <v>#NAME?</v>
      </c>
      <c r="E15" s="19" t="s">
        <v>59</v>
      </c>
      <c r="F15" s="34" t="e">
        <f ca="1">lst*360-F11</f>
        <v>#NAME?</v>
      </c>
      <c r="G15" s="69" t="e">
        <f t="shared" ca="1" si="0"/>
        <v>#NAME?</v>
      </c>
      <c r="H15" s="49" t="e">
        <f ca="1">(F15-G15)*3600</f>
        <v>#NAME?</v>
      </c>
      <c r="I15" s="20">
        <v>-13.882</v>
      </c>
      <c r="J15" s="43" t="e">
        <f t="shared" ref="J15:Q15" ca="1" si="1">lst*360-J11*15</f>
        <v>#NAME?</v>
      </c>
      <c r="K15" s="43" t="e">
        <f t="shared" ca="1" si="1"/>
        <v>#NAME?</v>
      </c>
      <c r="L15" s="42" t="e">
        <f t="shared" ca="1" si="1"/>
        <v>#NAME?</v>
      </c>
      <c r="M15" s="43" t="e">
        <f t="shared" ca="1" si="1"/>
        <v>#NAME?</v>
      </c>
      <c r="N15" s="43" t="e">
        <f t="shared" ca="1" si="1"/>
        <v>#NAME?</v>
      </c>
      <c r="O15" s="43" t="e">
        <f t="shared" ca="1" si="1"/>
        <v>#NAME?</v>
      </c>
      <c r="P15" s="43" t="e">
        <f t="shared" ca="1" si="1"/>
        <v>#NAME?</v>
      </c>
      <c r="Q15" s="43" t="e">
        <f t="shared" ca="1" si="1"/>
        <v>#NAME?</v>
      </c>
    </row>
    <row r="16" spans="1:17" ht="15.75" thickBot="1">
      <c r="E16" s="30" t="s">
        <v>64</v>
      </c>
      <c r="F16" s="65" t="e">
        <f ca="1">SQRT(F6^2+F7^2+F8^2)</f>
        <v>#VALUE!</v>
      </c>
      <c r="G16" s="69">
        <f t="shared" ca="1" si="0"/>
        <v>10.527616420144676</v>
      </c>
      <c r="H16" s="50" t="e">
        <f ca="1">ROUND(ABS(F16-G16)*IF(planetno=0,erad,au),0)/IF(planetno=0,erad,au)/F16</f>
        <v>#VALUE!</v>
      </c>
      <c r="I16" s="30">
        <v>0.98990259999999997</v>
      </c>
      <c r="J16" s="45">
        <f>J4</f>
        <v>57.606052077878502</v>
      </c>
      <c r="K16" s="30">
        <f>196523000/au</f>
        <v>1.3136751150295618</v>
      </c>
      <c r="L16" s="33">
        <f>249768000/au</f>
        <v>1.6695959563547453</v>
      </c>
      <c r="M16" s="30">
        <f>214819000/au</f>
        <v>1.4359763210185854</v>
      </c>
      <c r="N16" s="11">
        <f>763139000/au</f>
        <v>5.1012691319008194</v>
      </c>
      <c r="O16" s="11">
        <f>1574909000/au</f>
        <v>10.527616420144676</v>
      </c>
      <c r="P16" s="11">
        <f>3071627000/au</f>
        <v>20.532558288612059</v>
      </c>
      <c r="Q16" s="11">
        <f>4626489000/au</f>
        <v>30.92616879071662</v>
      </c>
    </row>
    <row r="17" spans="2:17">
      <c r="E17" s="19" t="s">
        <v>36</v>
      </c>
      <c r="F17" s="71" t="e">
        <f ca="1">vbvisualmagnitude(planetno,dd)</f>
        <v>#VALUE!</v>
      </c>
      <c r="G17" s="53">
        <f t="shared" ca="1" si="0"/>
        <v>0.56000000000000005</v>
      </c>
      <c r="H17" s="60" t="e">
        <f ca="1">(F17-G17)</f>
        <v>#VALUE!</v>
      </c>
      <c r="I17" s="52">
        <v>-26.76</v>
      </c>
      <c r="J17" s="18">
        <v>-11.82</v>
      </c>
      <c r="K17" s="18">
        <v>-1.46</v>
      </c>
      <c r="L17" s="18">
        <v>-3.6</v>
      </c>
      <c r="M17" s="18">
        <v>0.86</v>
      </c>
      <c r="N17" s="18">
        <v>-2.14</v>
      </c>
      <c r="O17" s="18">
        <v>0.56000000000000005</v>
      </c>
      <c r="P17" s="18">
        <v>5.87</v>
      </c>
      <c r="Q17" s="18">
        <v>7.96</v>
      </c>
    </row>
    <row r="18" spans="2:17">
      <c r="E18" s="19" t="s">
        <v>70</v>
      </c>
      <c r="F18" s="70" t="e">
        <f ca="1">vbapparentsize(planetno,dd)</f>
        <v>#VALUE!</v>
      </c>
      <c r="G18" s="54">
        <f t="shared" ca="1" si="0"/>
        <v>15.8</v>
      </c>
      <c r="H18" s="59" t="e">
        <f ca="1">(F18-G18)</f>
        <v>#VALUE!</v>
      </c>
      <c r="I18" s="19">
        <f>32*60+18.9</f>
        <v>1938.9</v>
      </c>
      <c r="J18" s="19">
        <f>32*60+30.7</f>
        <v>1950.7</v>
      </c>
      <c r="K18" s="19">
        <v>5.0999999999999996</v>
      </c>
      <c r="L18" s="19">
        <v>10</v>
      </c>
      <c r="M18" s="19">
        <v>6.5</v>
      </c>
      <c r="N18" s="19">
        <f>38.7</f>
        <v>38.700000000000003</v>
      </c>
      <c r="O18" s="19">
        <f>15.8</f>
        <v>15.8</v>
      </c>
      <c r="P18" s="19">
        <f>3.4</f>
        <v>3.4</v>
      </c>
      <c r="Q18" s="19">
        <f>2.2</f>
        <v>2.2000000000000002</v>
      </c>
    </row>
    <row r="19" spans="2:17" ht="15.75" thickBot="1">
      <c r="E19" s="30" t="s">
        <v>71</v>
      </c>
      <c r="F19" s="11"/>
      <c r="G19" s="47" t="str">
        <f t="shared" ca="1" si="0"/>
        <v>Sgr</v>
      </c>
      <c r="H19" s="50"/>
      <c r="I19" s="30" t="s">
        <v>72</v>
      </c>
      <c r="J19" s="30" t="s">
        <v>75</v>
      </c>
      <c r="K19" s="30" t="s">
        <v>72</v>
      </c>
      <c r="L19" s="30" t="s">
        <v>72</v>
      </c>
      <c r="M19" s="30" t="s">
        <v>74</v>
      </c>
      <c r="N19" s="30" t="s">
        <v>73</v>
      </c>
      <c r="O19" s="30" t="s">
        <v>67</v>
      </c>
      <c r="P19" s="30" t="s">
        <v>68</v>
      </c>
      <c r="Q19" s="30" t="s">
        <v>72</v>
      </c>
    </row>
    <row r="20" spans="2:17" ht="15.75" thickBot="1">
      <c r="E20" s="19"/>
    </row>
    <row r="21" spans="2:17">
      <c r="E21" s="3" t="s">
        <v>22</v>
      </c>
      <c r="F21" s="10" t="e">
        <f ca="1">vbmeananomaly(planetno, dd)-180</f>
        <v>#VALUE!</v>
      </c>
    </row>
    <row r="22" spans="2:17" ht="15.75" thickBot="1">
      <c r="E22" s="8" t="s">
        <v>23</v>
      </c>
      <c r="F22" s="11" t="e">
        <f ca="1">vbeccentricity(planetno, dd)</f>
        <v>#VALUE!</v>
      </c>
    </row>
    <row r="23" spans="2:17">
      <c r="E23" t="s">
        <v>79</v>
      </c>
      <c r="F23" s="62" t="e">
        <f ca="1">SQRT(F6^2+F7^2+F8^2)-F4</f>
        <v>#VALUE!</v>
      </c>
    </row>
    <row r="25" spans="2:17">
      <c r="B25" s="34"/>
    </row>
    <row r="27" spans="2:17">
      <c r="E27" s="34"/>
    </row>
    <row r="28" spans="2:17">
      <c r="E28" s="34"/>
    </row>
    <row r="30" spans="2:17">
      <c r="B30" s="74"/>
      <c r="C30" s="74"/>
    </row>
    <row r="31" spans="2:17">
      <c r="B31" s="74"/>
      <c r="C31" s="74"/>
    </row>
    <row r="33" spans="2:3">
      <c r="B33" s="21"/>
      <c r="C33" s="21"/>
    </row>
    <row r="34" spans="2:3">
      <c r="C34" s="77"/>
    </row>
  </sheetData>
  <dataValidations count="1">
    <dataValidation type="list" allowBlank="1" showInputMessage="1" showErrorMessage="1" sqref="F2" xr:uid="{00000000-0002-0000-0000-000000000000}">
      <formula1>planetnames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28"/>
  <sheetViews>
    <sheetView workbookViewId="0">
      <selection activeCell="A3" sqref="A3"/>
    </sheetView>
  </sheetViews>
  <sheetFormatPr defaultRowHeight="15"/>
  <cols>
    <col min="1" max="1" width="53" customWidth="1"/>
    <col min="4" max="4" width="12.7109375" bestFit="1" customWidth="1"/>
    <col min="6" max="8" width="12.7109375" bestFit="1" customWidth="1"/>
    <col min="9" max="9" width="10" bestFit="1" customWidth="1"/>
    <col min="22" max="22" width="12.5703125" bestFit="1" customWidth="1"/>
  </cols>
  <sheetData>
    <row r="1" spans="1:22">
      <c r="C1" t="s">
        <v>6</v>
      </c>
      <c r="D1">
        <v>-1</v>
      </c>
      <c r="E1" t="s">
        <v>28</v>
      </c>
      <c r="F1">
        <v>0</v>
      </c>
      <c r="G1" t="s">
        <v>26</v>
      </c>
      <c r="H1">
        <v>1</v>
      </c>
      <c r="I1" t="s">
        <v>27</v>
      </c>
      <c r="J1">
        <v>2</v>
      </c>
      <c r="K1" t="s">
        <v>29</v>
      </c>
      <c r="L1">
        <v>3</v>
      </c>
      <c r="M1" t="s">
        <v>30</v>
      </c>
      <c r="N1">
        <v>4</v>
      </c>
      <c r="O1" t="s">
        <v>31</v>
      </c>
      <c r="P1">
        <v>5</v>
      </c>
      <c r="Q1" t="s">
        <v>32</v>
      </c>
      <c r="R1">
        <v>6</v>
      </c>
      <c r="S1" t="s">
        <v>33</v>
      </c>
      <c r="T1">
        <v>7</v>
      </c>
      <c r="U1" t="s">
        <v>81</v>
      </c>
      <c r="V1">
        <v>8</v>
      </c>
    </row>
    <row r="2" spans="1:22" ht="15.75" thickBot="1">
      <c r="C2" t="s">
        <v>8</v>
      </c>
      <c r="D2" t="s">
        <v>7</v>
      </c>
    </row>
    <row r="3" spans="1:22">
      <c r="A3" s="1" t="s">
        <v>15</v>
      </c>
      <c r="B3" t="s">
        <v>0</v>
      </c>
      <c r="C3" s="3">
        <v>0</v>
      </c>
      <c r="D3" s="10">
        <v>0</v>
      </c>
      <c r="E3" s="3">
        <v>125.1228</v>
      </c>
      <c r="F3" s="10">
        <v>-5.2953808300000002E-2</v>
      </c>
      <c r="G3" s="40">
        <v>48.331299999999999</v>
      </c>
      <c r="H3" s="41">
        <v>3.2458700000000001E-5</v>
      </c>
      <c r="I3" s="40">
        <v>76.679900000000004</v>
      </c>
      <c r="J3" s="41">
        <v>2.4658999999999999E-5</v>
      </c>
      <c r="K3" s="3">
        <v>49.557400000000001</v>
      </c>
      <c r="L3" s="4">
        <v>2.1108099999999999E-5</v>
      </c>
      <c r="M3" s="3">
        <v>100.4542</v>
      </c>
      <c r="N3" s="4">
        <v>2.7685400000000001E-5</v>
      </c>
      <c r="O3" s="40">
        <v>113.6634</v>
      </c>
      <c r="P3" s="41">
        <v>2.3898000000000001E-5</v>
      </c>
      <c r="Q3" s="40">
        <v>74.000500000000002</v>
      </c>
      <c r="R3" s="41">
        <v>1.3978000000000001E-5</v>
      </c>
      <c r="S3" s="40">
        <v>131.78059999999999</v>
      </c>
      <c r="T3" s="41">
        <v>3.0173000000000001E-5</v>
      </c>
      <c r="U3" s="3">
        <v>174.87299999999999</v>
      </c>
      <c r="V3" s="10">
        <v>0</v>
      </c>
    </row>
    <row r="4" spans="1:22">
      <c r="A4" s="1" t="s">
        <v>16</v>
      </c>
      <c r="B4" t="s">
        <v>1</v>
      </c>
      <c r="C4" s="5">
        <v>0</v>
      </c>
      <c r="D4" s="7">
        <v>0</v>
      </c>
      <c r="E4" s="5">
        <v>5.1454000000000004</v>
      </c>
      <c r="F4" s="7">
        <v>0</v>
      </c>
      <c r="G4" s="36">
        <v>7.0046999999999997</v>
      </c>
      <c r="H4" s="37">
        <v>4.9999999999999998E-8</v>
      </c>
      <c r="I4" s="36">
        <v>3.3946000000000001</v>
      </c>
      <c r="J4" s="37">
        <v>2.7500000000000001E-8</v>
      </c>
      <c r="K4" s="36">
        <v>1.8496999999999999</v>
      </c>
      <c r="L4" s="6">
        <v>-1.7800000000000001E-8</v>
      </c>
      <c r="M4" s="5">
        <v>1.3029999999999999</v>
      </c>
      <c r="N4" s="6">
        <v>-1.557E-7</v>
      </c>
      <c r="O4" s="36">
        <v>2.4885999999999999</v>
      </c>
      <c r="P4" s="6">
        <v>-1.081E-7</v>
      </c>
      <c r="Q4" s="36">
        <v>0.77329999999999999</v>
      </c>
      <c r="R4" s="37">
        <v>1.9000000000000001E-8</v>
      </c>
      <c r="S4" s="36">
        <v>1.77</v>
      </c>
      <c r="T4" s="6">
        <v>-2.5499999999999999E-7</v>
      </c>
      <c r="U4" s="5">
        <v>0</v>
      </c>
      <c r="V4" s="7">
        <v>0</v>
      </c>
    </row>
    <row r="5" spans="1:22">
      <c r="A5" s="1" t="s">
        <v>17</v>
      </c>
      <c r="B5" t="s">
        <v>2</v>
      </c>
      <c r="C5" s="5">
        <v>282.94040000000001</v>
      </c>
      <c r="D5" s="12">
        <v>4.7093499999999999E-5</v>
      </c>
      <c r="E5" s="5">
        <v>318.0634</v>
      </c>
      <c r="F5" s="7">
        <v>0.1643573223</v>
      </c>
      <c r="G5" s="36">
        <v>29.124099999999999</v>
      </c>
      <c r="H5" s="37">
        <v>1.0144400000000001E-5</v>
      </c>
      <c r="I5" s="36">
        <v>54.890999999999998</v>
      </c>
      <c r="J5" s="37">
        <v>1.3837400000000001E-5</v>
      </c>
      <c r="K5" s="36">
        <v>286.5016</v>
      </c>
      <c r="L5" s="37">
        <v>2.9296099999999999E-5</v>
      </c>
      <c r="M5" s="5">
        <v>273.8777</v>
      </c>
      <c r="N5" s="6">
        <v>1.6450500000000001E-5</v>
      </c>
      <c r="O5" s="36">
        <v>339.39389999999997</v>
      </c>
      <c r="P5" s="37">
        <v>2.9766099999999999E-5</v>
      </c>
      <c r="Q5" s="36">
        <v>96.661199999999994</v>
      </c>
      <c r="R5" s="37">
        <v>3.0565000000000003E-5</v>
      </c>
      <c r="S5" s="36">
        <v>272.84609999999998</v>
      </c>
      <c r="T5" s="6">
        <v>-6.0270000000000001E-6</v>
      </c>
      <c r="U5" s="5">
        <v>288.06400000000002</v>
      </c>
      <c r="V5" s="12">
        <v>4.7093499999999999E-5</v>
      </c>
    </row>
    <row r="6" spans="1:22">
      <c r="A6" s="1" t="s">
        <v>18</v>
      </c>
      <c r="B6" t="s">
        <v>3</v>
      </c>
      <c r="C6" s="5">
        <v>1.0000010180000001</v>
      </c>
      <c r="D6" s="7">
        <v>0</v>
      </c>
      <c r="E6" s="5">
        <v>60.266599999999997</v>
      </c>
      <c r="F6" s="7">
        <v>0</v>
      </c>
      <c r="G6" s="36">
        <v>0.387098</v>
      </c>
      <c r="H6" s="7">
        <v>0</v>
      </c>
      <c r="I6" s="36">
        <v>0.72333000000000003</v>
      </c>
      <c r="J6" s="7">
        <v>0</v>
      </c>
      <c r="K6" s="36">
        <v>1.5236879999999999</v>
      </c>
      <c r="L6" s="7">
        <v>0</v>
      </c>
      <c r="M6" s="5">
        <v>5.2025600000000001</v>
      </c>
      <c r="N6" s="7">
        <v>0</v>
      </c>
      <c r="O6" s="36">
        <v>9.5547500000000003</v>
      </c>
      <c r="P6" s="7">
        <v>0</v>
      </c>
      <c r="Q6" s="36">
        <v>19.181709999999999</v>
      </c>
      <c r="R6" s="6">
        <v>-1.55E-8</v>
      </c>
      <c r="S6" s="36">
        <v>30.058260000000001</v>
      </c>
      <c r="T6" s="6">
        <v>3.313E-8</v>
      </c>
      <c r="U6" s="5">
        <v>1.0000010180000001</v>
      </c>
      <c r="V6" s="7">
        <v>0</v>
      </c>
    </row>
    <row r="7" spans="1:22">
      <c r="A7" s="1" t="s">
        <v>19</v>
      </c>
      <c r="B7" t="s">
        <v>4</v>
      </c>
      <c r="C7" s="5">
        <v>1.6709000000000002E-2</v>
      </c>
      <c r="D7" s="13">
        <v>-1.1509103353867213E-9</v>
      </c>
      <c r="E7" s="5">
        <v>5.4899999999999997E-2</v>
      </c>
      <c r="F7" s="7">
        <v>0</v>
      </c>
      <c r="G7" s="36">
        <v>0.20563500000000001</v>
      </c>
      <c r="H7" s="37">
        <v>5.5900000000000003E-10</v>
      </c>
      <c r="I7" s="36">
        <v>6.7730000000000004E-3</v>
      </c>
      <c r="J7" s="6">
        <v>-1.3020000000000001E-9</v>
      </c>
      <c r="K7" s="36">
        <v>9.3405000000000002E-2</v>
      </c>
      <c r="L7" s="37">
        <v>2.516E-9</v>
      </c>
      <c r="M7" s="5">
        <v>4.8497999999999999E-2</v>
      </c>
      <c r="N7" s="6">
        <v>4.4690000000000002E-9</v>
      </c>
      <c r="O7" s="36">
        <v>5.5545999999999998E-2</v>
      </c>
      <c r="P7" s="6">
        <v>-9.4989999999999996E-9</v>
      </c>
      <c r="Q7" s="36">
        <v>4.7317999999999999E-2</v>
      </c>
      <c r="R7" s="6">
        <v>7.4499999999999997E-9</v>
      </c>
      <c r="S7" s="36">
        <v>8.6060000000000008E-3</v>
      </c>
      <c r="T7" s="37">
        <v>2.1499999999999998E-9</v>
      </c>
      <c r="U7" s="5">
        <v>1.6709000000000002E-2</v>
      </c>
      <c r="V7" s="13">
        <v>-1.1509103353867213E-9</v>
      </c>
    </row>
    <row r="8" spans="1:22" ht="15.75" thickBot="1">
      <c r="A8" s="1" t="s">
        <v>20</v>
      </c>
      <c r="B8" t="s">
        <v>5</v>
      </c>
      <c r="C8" s="15">
        <v>356.04700000000003</v>
      </c>
      <c r="D8" s="14">
        <v>0.98560025849999999</v>
      </c>
      <c r="E8" s="8">
        <v>115.36539999999999</v>
      </c>
      <c r="F8" s="11">
        <v>13.064992950900001</v>
      </c>
      <c r="G8" s="38">
        <v>168.65620000000001</v>
      </c>
      <c r="H8" s="39">
        <v>4.0923344367999999</v>
      </c>
      <c r="I8" s="38">
        <v>48.005200000000002</v>
      </c>
      <c r="J8" s="39">
        <v>1.6021302244</v>
      </c>
      <c r="K8" s="38">
        <v>18.6021</v>
      </c>
      <c r="L8" s="39">
        <v>0.52402077660000002</v>
      </c>
      <c r="M8" s="8">
        <v>19.895</v>
      </c>
      <c r="N8" s="9">
        <v>8.3085300099999995E-2</v>
      </c>
      <c r="O8" s="38">
        <v>316.96699999999998</v>
      </c>
      <c r="P8" s="39">
        <v>3.3444228200000002E-2</v>
      </c>
      <c r="Q8" s="38">
        <v>142.59049999999999</v>
      </c>
      <c r="R8" s="39">
        <v>1.1725806E-2</v>
      </c>
      <c r="S8" s="38">
        <v>260.24709999999999</v>
      </c>
      <c r="T8" s="39">
        <v>5.9951470000000001E-3</v>
      </c>
      <c r="U8" s="15">
        <v>356.04700000000003</v>
      </c>
      <c r="V8" s="14">
        <v>0.98560025849999999</v>
      </c>
    </row>
    <row r="9" spans="1:22" ht="15.75" thickBot="1">
      <c r="A9" s="1" t="s">
        <v>76</v>
      </c>
      <c r="B9" t="s">
        <v>36</v>
      </c>
      <c r="C9" s="16">
        <v>-26.76</v>
      </c>
      <c r="D9" s="17">
        <v>0</v>
      </c>
      <c r="E9" s="5">
        <v>0.23</v>
      </c>
      <c r="F9">
        <v>2.5999999999999999E-2</v>
      </c>
      <c r="G9" s="36">
        <v>-0.36</v>
      </c>
      <c r="H9" s="37">
        <v>2.7E-2</v>
      </c>
      <c r="I9" s="36">
        <v>-4.34</v>
      </c>
      <c r="J9">
        <v>1.2999999999999999E-2</v>
      </c>
      <c r="K9">
        <v>-1.51</v>
      </c>
      <c r="L9">
        <v>1.6E-2</v>
      </c>
      <c r="M9" s="5">
        <v>-9.25</v>
      </c>
      <c r="N9" s="6">
        <v>1.4E-2</v>
      </c>
      <c r="O9" s="36">
        <v>-9</v>
      </c>
      <c r="P9">
        <v>4.3999999999999997E-2</v>
      </c>
      <c r="Q9" s="36">
        <v>-7.15</v>
      </c>
      <c r="R9">
        <v>1E-3</v>
      </c>
      <c r="S9" s="36">
        <v>-6.9</v>
      </c>
      <c r="T9" s="6">
        <v>1E-3</v>
      </c>
      <c r="U9" s="5">
        <v>0</v>
      </c>
      <c r="V9">
        <v>0</v>
      </c>
    </row>
    <row r="10" spans="1:22">
      <c r="A10" s="1" t="s">
        <v>77</v>
      </c>
      <c r="B10" t="s">
        <v>78</v>
      </c>
      <c r="C10" s="5">
        <v>1919.26</v>
      </c>
      <c r="E10" s="5">
        <v>1873.7</v>
      </c>
      <c r="G10" s="36">
        <v>6.74</v>
      </c>
      <c r="I10" s="36">
        <v>16.920000000000002</v>
      </c>
      <c r="K10" s="1">
        <v>9.36</v>
      </c>
      <c r="M10" s="5">
        <v>196.34</v>
      </c>
      <c r="O10" s="36">
        <v>165.6</v>
      </c>
      <c r="Q10" s="36">
        <v>65.8</v>
      </c>
      <c r="S10" s="36">
        <v>62.2</v>
      </c>
      <c r="U10" s="5">
        <v>17.59</v>
      </c>
    </row>
    <row r="12" spans="1:22" ht="15.75" thickBot="1">
      <c r="B12" t="s">
        <v>46</v>
      </c>
    </row>
    <row r="13" spans="1:22">
      <c r="B13" s="3" t="s">
        <v>6</v>
      </c>
      <c r="C13" s="10">
        <v>0</v>
      </c>
      <c r="E13" s="3" t="s">
        <v>320</v>
      </c>
      <c r="F13" s="10">
        <v>1</v>
      </c>
    </row>
    <row r="14" spans="1:22" ht="15.75" thickBot="1">
      <c r="B14" s="5" t="s">
        <v>28</v>
      </c>
      <c r="C14" s="7">
        <v>1</v>
      </c>
      <c r="E14" s="8" t="s">
        <v>321</v>
      </c>
      <c r="F14" s="11">
        <v>2</v>
      </c>
    </row>
    <row r="15" spans="1:22">
      <c r="B15" s="5" t="s">
        <v>26</v>
      </c>
      <c r="C15" s="7">
        <v>2</v>
      </c>
      <c r="E15" s="3"/>
      <c r="F15" s="96"/>
    </row>
    <row r="16" spans="1:22">
      <c r="B16" s="5" t="s">
        <v>27</v>
      </c>
      <c r="C16" s="7">
        <v>3</v>
      </c>
      <c r="E16" s="5"/>
      <c r="F16" s="7"/>
    </row>
    <row r="17" spans="2:10">
      <c r="B17" s="5" t="s">
        <v>29</v>
      </c>
      <c r="C17" s="7">
        <v>4</v>
      </c>
      <c r="E17" s="5" t="s">
        <v>48</v>
      </c>
      <c r="F17" s="7">
        <v>149597870.69999999</v>
      </c>
    </row>
    <row r="18" spans="2:10" ht="15.75" thickBot="1">
      <c r="B18" s="5" t="s">
        <v>30</v>
      </c>
      <c r="C18" s="7">
        <v>5</v>
      </c>
      <c r="E18" s="8" t="s">
        <v>49</v>
      </c>
      <c r="F18" s="11">
        <f>6378140/1000</f>
        <v>6378.14</v>
      </c>
    </row>
    <row r="19" spans="2:10">
      <c r="B19" s="5" t="s">
        <v>31</v>
      </c>
      <c r="C19" s="7">
        <v>6</v>
      </c>
      <c r="I19" s="76"/>
      <c r="J19" s="76"/>
    </row>
    <row r="20" spans="2:10">
      <c r="B20" s="5" t="s">
        <v>32</v>
      </c>
      <c r="C20" s="7">
        <v>7</v>
      </c>
      <c r="I20" s="78"/>
      <c r="J20" s="78"/>
    </row>
    <row r="21" spans="2:10">
      <c r="B21" s="5" t="s">
        <v>33</v>
      </c>
      <c r="C21" s="7">
        <v>8</v>
      </c>
    </row>
    <row r="22" spans="2:10">
      <c r="B22" s="5" t="s">
        <v>81</v>
      </c>
      <c r="C22" s="7">
        <v>9</v>
      </c>
    </row>
    <row r="23" spans="2:10">
      <c r="B23" s="5" t="s">
        <v>47</v>
      </c>
      <c r="C23" s="7">
        <v>10</v>
      </c>
      <c r="F23" s="72">
        <v>43101</v>
      </c>
    </row>
    <row r="24" spans="2:10">
      <c r="B24" s="5"/>
      <c r="C24" s="7"/>
      <c r="F24">
        <v>31</v>
      </c>
    </row>
    <row r="25" spans="2:10">
      <c r="B25" s="5"/>
      <c r="C25" s="7"/>
      <c r="F25">
        <v>71</v>
      </c>
    </row>
    <row r="26" spans="2:10">
      <c r="B26" s="5"/>
      <c r="C26" s="7"/>
      <c r="F26" s="72">
        <f>F23+F24*F25</f>
        <v>45302</v>
      </c>
    </row>
    <row r="27" spans="2:10">
      <c r="B27" s="5"/>
      <c r="C27" s="7"/>
    </row>
    <row r="28" spans="2:10" ht="15.75" thickBot="1">
      <c r="B28" s="8"/>
      <c r="C28" s="1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W1048576"/>
  <sheetViews>
    <sheetView zoomScale="70" zoomScaleNormal="70" workbookViewId="0">
      <selection activeCell="A5" sqref="A5"/>
    </sheetView>
  </sheetViews>
  <sheetFormatPr defaultRowHeight="15"/>
  <cols>
    <col min="1" max="1" width="18.85546875" bestFit="1" customWidth="1"/>
    <col min="2" max="2" width="14.85546875" bestFit="1" customWidth="1"/>
    <col min="3" max="3" width="17.85546875" style="80" customWidth="1"/>
    <col min="4" max="4" width="10.5703125" bestFit="1" customWidth="1"/>
    <col min="5" max="5" width="10" style="21" bestFit="1" customWidth="1"/>
    <col min="6" max="6" width="10.7109375" style="82" bestFit="1" customWidth="1"/>
    <col min="17" max="17" width="14.5703125" bestFit="1" customWidth="1"/>
    <col min="18" max="18" width="15.7109375" bestFit="1" customWidth="1"/>
    <col min="23" max="23" width="13.140625" bestFit="1" customWidth="1"/>
  </cols>
  <sheetData>
    <row r="1" spans="1:23">
      <c r="A1" t="s">
        <v>324</v>
      </c>
      <c r="B1" s="100">
        <v>51.883000000000003</v>
      </c>
      <c r="C1" s="101">
        <v>-1.3080000000000001</v>
      </c>
      <c r="E1" s="21" t="s">
        <v>325</v>
      </c>
      <c r="F1" s="82">
        <v>20</v>
      </c>
      <c r="G1" t="s">
        <v>2</v>
      </c>
      <c r="I1" s="105" t="str">
        <f>B3</f>
        <v>Moon</v>
      </c>
      <c r="J1" s="105"/>
      <c r="K1" s="105"/>
      <c r="L1" s="105"/>
      <c r="M1" s="105"/>
      <c r="N1" s="105"/>
      <c r="Q1" t="s">
        <v>340</v>
      </c>
    </row>
    <row r="2" spans="1:23" ht="15.75" thickBot="1">
      <c r="A2" s="72"/>
      <c r="B2">
        <f>VLOOKUP(B3,planetlookup,2,0)</f>
        <v>1</v>
      </c>
      <c r="C2" s="80">
        <f>VLOOKUP(C3,'Orbital Elements'!E13:F14,2,0)</f>
        <v>1</v>
      </c>
      <c r="I2" s="105"/>
      <c r="J2" s="105"/>
      <c r="K2" s="105"/>
      <c r="L2" s="105"/>
      <c r="M2" s="105"/>
      <c r="N2" s="105"/>
      <c r="Q2" t="s">
        <v>326</v>
      </c>
      <c r="R2" t="s">
        <v>330</v>
      </c>
      <c r="S2">
        <f>1+46/60</f>
        <v>1.7666666666666666</v>
      </c>
    </row>
    <row r="3" spans="1:23" ht="15.75" thickBot="1">
      <c r="A3" s="21"/>
      <c r="B3" s="102" t="s">
        <v>28</v>
      </c>
      <c r="C3" s="102" t="s">
        <v>320</v>
      </c>
      <c r="D3" s="83"/>
      <c r="Q3" t="s">
        <v>327</v>
      </c>
      <c r="R3" t="s">
        <v>333</v>
      </c>
      <c r="S3">
        <f>8+9.8/60</f>
        <v>8.163333333333334</v>
      </c>
    </row>
    <row r="4" spans="1:23" ht="15.75" thickBot="1">
      <c r="A4" s="73" t="s">
        <v>80</v>
      </c>
      <c r="B4" s="99" t="s">
        <v>319</v>
      </c>
      <c r="C4" s="98" t="s">
        <v>322</v>
      </c>
      <c r="D4" s="48" t="s">
        <v>323</v>
      </c>
      <c r="E4" s="104" t="s">
        <v>36</v>
      </c>
      <c r="F4" s="97" t="s">
        <v>69</v>
      </c>
      <c r="Q4" t="s">
        <v>328</v>
      </c>
      <c r="R4" t="s">
        <v>331</v>
      </c>
      <c r="S4">
        <f>49+53/60</f>
        <v>49.883333333333333</v>
      </c>
    </row>
    <row r="5" spans="1:23">
      <c r="A5" s="2">
        <v>43101</v>
      </c>
      <c r="B5" s="79">
        <f>vbTimeofTransit(B$2,$A5,$B$1, $C$1)/24</f>
        <v>0.96224676763754757</v>
      </c>
      <c r="C5" s="81">
        <f>vbisvisible(B$2,A5,$B$1,$C$1,$C$2,"a")</f>
        <v>57.031875453756747</v>
      </c>
      <c r="D5" s="79">
        <f>vbisvisible(B$2,A5,$B$1,$C$1,$C$2,2)</f>
        <v>0.96224676763754757</v>
      </c>
      <c r="E5" s="21">
        <f>vbvisualmagnitude($B$2,vbastrodaysfromdt(A5))</f>
        <v>20.087990324047254</v>
      </c>
      <c r="F5" s="82">
        <f>vbapparentsize($B$2, vbastrodaysfromdt(A5))</f>
        <v>33.470404566948098</v>
      </c>
      <c r="Q5" t="s">
        <v>329</v>
      </c>
      <c r="R5" t="s">
        <v>332</v>
      </c>
      <c r="S5">
        <f>60+49/60</f>
        <v>60.81666666666667</v>
      </c>
      <c r="W5" s="21">
        <f>DATE(1970,1,1)</f>
        <v>25569</v>
      </c>
    </row>
    <row r="6" spans="1:23">
      <c r="A6" s="2">
        <f t="shared" ref="A6:A37" si="0">DATE(YEAR(A5), IF(unt="m",intvl,0)+MONTH(A5), IF(unt="m", 0,intvl)+DAY(A5))</f>
        <v>43121</v>
      </c>
      <c r="B6" s="79">
        <f t="shared" ref="B6:B69" si="1">vbTimeofTransit(B$2,$A6,$B$1, $C$1)/24</f>
        <v>0.63173761835590703</v>
      </c>
      <c r="C6" s="81">
        <f t="shared" ref="C6:C69" si="2">vbisvisible(B$2,A6,$B$1,$C$1,$C$2,"a")</f>
        <v>25.977044135903167</v>
      </c>
      <c r="D6" s="79">
        <f t="shared" ref="D6:D69" si="3">vbisvisible(B$2,A6,$B$1,$C$1,$C$2,2)</f>
        <v>0.68936957151305833</v>
      </c>
      <c r="E6" s="21">
        <f>vbvisualmagnitude($B$2,vbastrodaysfromdt(A6))</f>
        <v>20.473523600251895</v>
      </c>
      <c r="F6" s="82">
        <f>vbapparentsize($B$2, vbastrodaysfromdt(A6))</f>
        <v>30.205599477513434</v>
      </c>
    </row>
    <row r="7" spans="1:23">
      <c r="A7" s="2">
        <f t="shared" si="0"/>
        <v>43141</v>
      </c>
      <c r="B7" s="79">
        <f t="shared" si="1"/>
        <v>0.32631776784295058</v>
      </c>
      <c r="C7" s="81">
        <f t="shared" si="2"/>
        <v>0</v>
      </c>
      <c r="D7" s="79">
        <f t="shared" si="3"/>
        <v>0</v>
      </c>
      <c r="E7" s="21">
        <f>vbvisualmagnitude($B$2,vbastrodaysfromdt(A7))</f>
        <v>20.57912088307005</v>
      </c>
      <c r="F7" s="82">
        <f>vbapparentsize($B$2, vbastrodaysfromdt(A7))</f>
        <v>29.619916401138724</v>
      </c>
    </row>
    <row r="8" spans="1:23">
      <c r="A8" s="2">
        <f t="shared" si="0"/>
        <v>43161</v>
      </c>
      <c r="B8" s="79">
        <f t="shared" si="1"/>
        <v>1.2237977915221325E-2</v>
      </c>
      <c r="C8" s="81">
        <f t="shared" si="2"/>
        <v>47.156302970355043</v>
      </c>
      <c r="D8" s="79">
        <f t="shared" si="3"/>
        <v>1.2237977915221325E-2</v>
      </c>
      <c r="E8" s="21">
        <f>vbvisualmagnitude($B$2,vbastrodaysfromdt(A8))</f>
        <v>20.246092243585085</v>
      </c>
      <c r="F8" s="82">
        <f>vbapparentsize($B$2, vbastrodaysfromdt(A8))</f>
        <v>31.923353896914183</v>
      </c>
      <c r="Q8" t="s">
        <v>334</v>
      </c>
    </row>
    <row r="9" spans="1:23">
      <c r="A9" s="2">
        <f t="shared" si="0"/>
        <v>43181</v>
      </c>
      <c r="B9" s="79">
        <f t="shared" si="1"/>
        <v>0.66106625136883279</v>
      </c>
      <c r="C9" s="81">
        <f t="shared" si="2"/>
        <v>41.559847172645249</v>
      </c>
      <c r="D9" s="79">
        <f t="shared" si="3"/>
        <v>0.7640287423437786</v>
      </c>
      <c r="E9" s="21">
        <f>vbvisualmagnitude($B$2,vbastrodaysfromdt(A9))</f>
        <v>20.176130673090658</v>
      </c>
      <c r="F9" s="82">
        <f>vbapparentsize($B$2, vbastrodaysfromdt(A9))</f>
        <v>32.688666488573048</v>
      </c>
      <c r="Q9" t="s">
        <v>351</v>
      </c>
    </row>
    <row r="10" spans="1:23">
      <c r="A10" s="2">
        <f t="shared" si="0"/>
        <v>43201</v>
      </c>
      <c r="B10" s="79">
        <f t="shared" si="1"/>
        <v>0.34617328598351316</v>
      </c>
      <c r="C10" s="81">
        <f t="shared" si="2"/>
        <v>0</v>
      </c>
      <c r="D10" s="79">
        <f t="shared" si="3"/>
        <v>0</v>
      </c>
      <c r="E10" s="21">
        <f>vbvisualmagnitude($B$2,vbastrodaysfromdt(A10))</f>
        <v>20.569576693170632</v>
      </c>
      <c r="F10" s="82">
        <f>vbapparentsize($B$2, vbastrodaysfromdt(A10))</f>
        <v>29.611807924531547</v>
      </c>
      <c r="Q10" t="s">
        <v>335</v>
      </c>
    </row>
    <row r="11" spans="1:23">
      <c r="A11" s="2">
        <f t="shared" si="0"/>
        <v>43221</v>
      </c>
      <c r="B11" s="79">
        <f t="shared" si="1"/>
        <v>4.2391213719773509E-2</v>
      </c>
      <c r="C11" s="81">
        <f t="shared" si="2"/>
        <v>0</v>
      </c>
      <c r="D11" s="79">
        <f t="shared" si="3"/>
        <v>0</v>
      </c>
      <c r="E11" s="21">
        <f>vbvisualmagnitude($B$2,vbastrodaysfromdt(A11))</f>
        <v>20.505451660843701</v>
      </c>
      <c r="F11" s="82">
        <f>vbapparentsize($B$2, vbastrodaysfromdt(A11))</f>
        <v>30.025360998483166</v>
      </c>
    </row>
    <row r="12" spans="1:23">
      <c r="A12" s="2">
        <f t="shared" si="0"/>
        <v>43241</v>
      </c>
      <c r="B12" s="79">
        <f t="shared" si="1"/>
        <v>0.71303503508146238</v>
      </c>
      <c r="C12" s="81">
        <f t="shared" si="2"/>
        <v>0</v>
      </c>
      <c r="D12" s="79">
        <f t="shared" si="3"/>
        <v>0</v>
      </c>
      <c r="E12" s="21">
        <f>vbvisualmagnitude($B$2,vbastrodaysfromdt(A12))</f>
        <v>20.12401154945595</v>
      </c>
      <c r="F12" s="82">
        <f>vbapparentsize($B$2, vbastrodaysfromdt(A12))</f>
        <v>33.019160844316161</v>
      </c>
      <c r="Q12" t="s">
        <v>336</v>
      </c>
    </row>
    <row r="13" spans="1:23">
      <c r="A13" s="2">
        <f t="shared" si="0"/>
        <v>43261</v>
      </c>
      <c r="B13" s="79">
        <f t="shared" si="1"/>
        <v>0.36795670186033097</v>
      </c>
      <c r="C13" s="81">
        <f t="shared" si="2"/>
        <v>0</v>
      </c>
      <c r="D13" s="79">
        <f t="shared" si="3"/>
        <v>0</v>
      </c>
      <c r="E13" s="21">
        <f>vbvisualmagnitude($B$2,vbastrodaysfromdt(A13))</f>
        <v>20.333105343308048</v>
      </c>
      <c r="F13" s="82">
        <f>vbapparentsize($B$2, vbastrodaysfromdt(A13))</f>
        <v>31.364106564743029</v>
      </c>
      <c r="Q13" t="s">
        <v>337</v>
      </c>
    </row>
    <row r="14" spans="1:23">
      <c r="A14" s="2">
        <f t="shared" si="0"/>
        <v>43281</v>
      </c>
      <c r="B14" s="79">
        <f t="shared" si="1"/>
        <v>6.3440136747983503E-2</v>
      </c>
      <c r="C14" s="81">
        <f t="shared" si="2"/>
        <v>0</v>
      </c>
      <c r="D14" s="79">
        <f t="shared" si="3"/>
        <v>0</v>
      </c>
      <c r="E14" s="21">
        <f>vbvisualmagnitude($B$2,vbastrodaysfromdt(A14))</f>
        <v>20.598404130863369</v>
      </c>
      <c r="F14" s="82">
        <f>vbapparentsize($B$2, vbastrodaysfromdt(A14))</f>
        <v>29.504739655427091</v>
      </c>
    </row>
    <row r="15" spans="1:23">
      <c r="A15" s="2">
        <f t="shared" si="0"/>
        <v>43301</v>
      </c>
      <c r="B15" s="79">
        <f t="shared" si="1"/>
        <v>0.75471553958667015</v>
      </c>
      <c r="C15" s="81">
        <f t="shared" si="2"/>
        <v>0</v>
      </c>
      <c r="D15" s="79">
        <f t="shared" si="3"/>
        <v>0</v>
      </c>
      <c r="E15" s="21">
        <f>vbvisualmagnitude($B$2,vbastrodaysfromdt(A15))</f>
        <v>20.383877644208376</v>
      </c>
      <c r="F15" s="82">
        <f>vbapparentsize($B$2, vbastrodaysfromdt(A15))</f>
        <v>30.784272862346452</v>
      </c>
      <c r="Q15" t="s">
        <v>338</v>
      </c>
      <c r="W15" s="21">
        <v>43101</v>
      </c>
    </row>
    <row r="16" spans="1:23" ht="15.75" customHeight="1">
      <c r="A16" s="2">
        <f t="shared" si="0"/>
        <v>43321</v>
      </c>
      <c r="B16" s="79">
        <f t="shared" si="1"/>
        <v>0.4107012125651342</v>
      </c>
      <c r="C16" s="81">
        <f t="shared" si="2"/>
        <v>0</v>
      </c>
      <c r="D16" s="79">
        <f t="shared" si="3"/>
        <v>0</v>
      </c>
      <c r="E16" s="21">
        <f>vbvisualmagnitude($B$2,vbastrodaysfromdt(A16))</f>
        <v>20.09807394063186</v>
      </c>
      <c r="F16" s="82">
        <f>vbapparentsize($B$2, vbastrodaysfromdt(A16))</f>
        <v>33.361062751878421</v>
      </c>
      <c r="Q16" t="s">
        <v>339</v>
      </c>
      <c r="W16" s="21">
        <f>W15-25569</f>
        <v>17532</v>
      </c>
    </row>
    <row r="17" spans="1:17">
      <c r="A17" s="2">
        <f t="shared" si="0"/>
        <v>43341</v>
      </c>
      <c r="B17" s="79">
        <f t="shared" si="1"/>
        <v>8.1851635132598702E-2</v>
      </c>
      <c r="C17" s="81">
        <f t="shared" si="2"/>
        <v>0</v>
      </c>
      <c r="D17" s="79">
        <f t="shared" si="3"/>
        <v>0</v>
      </c>
      <c r="E17" s="21">
        <f>vbvisualmagnitude($B$2,vbastrodaysfromdt(A17))</f>
        <v>20.485719248668762</v>
      </c>
      <c r="F17" s="82">
        <f>vbapparentsize($B$2, vbastrodaysfromdt(A17))</f>
        <v>30.18129509321361</v>
      </c>
      <c r="Q17" t="s">
        <v>350</v>
      </c>
    </row>
    <row r="18" spans="1:17">
      <c r="A18" s="2">
        <f t="shared" si="0"/>
        <v>43361</v>
      </c>
      <c r="B18" s="79">
        <f t="shared" si="1"/>
        <v>0.78045316154571032</v>
      </c>
      <c r="C18" s="81">
        <f t="shared" si="2"/>
        <v>0</v>
      </c>
      <c r="D18" s="79">
        <f t="shared" si="3"/>
        <v>0</v>
      </c>
      <c r="E18" s="21">
        <f>vbvisualmagnitude($B$2,vbastrodaysfromdt(A18))</f>
        <v>20.563404342567072</v>
      </c>
      <c r="F18" s="82">
        <f>vbapparentsize($B$2, vbastrodaysfromdt(A18))</f>
        <v>29.76617223219564</v>
      </c>
    </row>
    <row r="19" spans="1:17">
      <c r="A19" s="2">
        <f t="shared" si="0"/>
        <v>43381</v>
      </c>
      <c r="B19" s="79">
        <f t="shared" si="1"/>
        <v>0.46211788552669814</v>
      </c>
      <c r="C19" s="81">
        <f t="shared" si="2"/>
        <v>0</v>
      </c>
      <c r="D19" s="79">
        <f t="shared" si="3"/>
        <v>0</v>
      </c>
      <c r="E19" s="21">
        <f>vbvisualmagnitude($B$2,vbastrodaysfromdt(A19))</f>
        <v>20.244063886425337</v>
      </c>
      <c r="F19" s="82">
        <f>vbapparentsize($B$2, vbastrodaysfromdt(A19))</f>
        <v>31.802345147691923</v>
      </c>
      <c r="Q19" t="s">
        <v>341</v>
      </c>
    </row>
    <row r="20" spans="1:17">
      <c r="A20" s="2">
        <f t="shared" si="0"/>
        <v>43401</v>
      </c>
      <c r="B20" s="79">
        <f t="shared" si="1"/>
        <v>0.10988347862032954</v>
      </c>
      <c r="C20" s="81">
        <f t="shared" si="2"/>
        <v>56.576212870444181</v>
      </c>
      <c r="D20" s="79">
        <f t="shared" si="3"/>
        <v>0.10988347862032954</v>
      </c>
      <c r="E20" s="21">
        <f>vbvisualmagnitude($B$2,vbastrodaysfromdt(A20))</f>
        <v>20.185550620151908</v>
      </c>
      <c r="F20" s="82">
        <f>vbapparentsize($B$2, vbastrodaysfromdt(A20))</f>
        <v>32.692296542414688</v>
      </c>
      <c r="Q20" t="s">
        <v>352</v>
      </c>
    </row>
    <row r="21" spans="1:17">
      <c r="A21" s="2">
        <f t="shared" si="0"/>
        <v>43421</v>
      </c>
      <c r="B21" s="79">
        <f t="shared" si="1"/>
        <v>0.79906247289973142</v>
      </c>
      <c r="C21" s="81">
        <f t="shared" si="2"/>
        <v>26.200143842428457</v>
      </c>
      <c r="D21" s="79">
        <f t="shared" si="3"/>
        <v>0.79906247289973142</v>
      </c>
      <c r="E21" s="21">
        <f>vbvisualmagnitude($B$2,vbastrodaysfromdt(A21))</f>
        <v>20.580916723652507</v>
      </c>
      <c r="F21" s="82">
        <f>vbapparentsize($B$2, vbastrodaysfromdt(A21))</f>
        <v>29.536672811813411</v>
      </c>
      <c r="Q21" t="s">
        <v>342</v>
      </c>
    </row>
    <row r="22" spans="1:17">
      <c r="A22" s="2">
        <f t="shared" si="0"/>
        <v>43441</v>
      </c>
      <c r="B22" s="79">
        <f t="shared" si="1"/>
        <v>0.49495241629645292</v>
      </c>
      <c r="C22" s="81">
        <f t="shared" si="2"/>
        <v>0</v>
      </c>
      <c r="D22" s="79">
        <f t="shared" si="3"/>
        <v>0</v>
      </c>
      <c r="E22" s="21">
        <f>vbvisualmagnitude($B$2,vbastrodaysfromdt(A22))</f>
        <v>20.476685747587251</v>
      </c>
      <c r="F22" s="82">
        <f>vbapparentsize($B$2, vbastrodaysfromdt(A22))</f>
        <v>30.286985728065023</v>
      </c>
      <c r="Q22" t="s">
        <v>343</v>
      </c>
    </row>
    <row r="23" spans="1:17">
      <c r="A23" s="2">
        <f t="shared" si="0"/>
        <v>43461</v>
      </c>
      <c r="B23" s="79">
        <f t="shared" si="1"/>
        <v>0.162309685084672</v>
      </c>
      <c r="C23" s="81">
        <f t="shared" si="2"/>
        <v>51.620200491036762</v>
      </c>
      <c r="D23" s="79">
        <f t="shared" si="3"/>
        <v>0.162309685084672</v>
      </c>
      <c r="E23" s="21">
        <f>vbvisualmagnitude($B$2,vbastrodaysfromdt(A23))</f>
        <v>20.139488659087821</v>
      </c>
      <c r="F23" s="82">
        <f>vbapparentsize($B$2, vbastrodaysfromdt(A23))</f>
        <v>32.72217956297375</v>
      </c>
    </row>
    <row r="24" spans="1:17">
      <c r="A24" s="2">
        <f t="shared" si="0"/>
        <v>43481</v>
      </c>
      <c r="B24" s="79">
        <f t="shared" si="1"/>
        <v>0.8155841108586297</v>
      </c>
      <c r="C24" s="81">
        <f t="shared" si="2"/>
        <v>50.421882763986325</v>
      </c>
      <c r="D24" s="79">
        <f t="shared" si="3"/>
        <v>0.8155841108586297</v>
      </c>
      <c r="E24" s="21">
        <f>vbvisualmagnitude($B$2,vbastrodaysfromdt(A24))</f>
        <v>20.341237752604638</v>
      </c>
      <c r="F24" s="82">
        <f>vbapparentsize($B$2, vbastrodaysfromdt(A24))</f>
        <v>31.418152200549791</v>
      </c>
      <c r="Q24" t="s">
        <v>353</v>
      </c>
    </row>
    <row r="25" spans="1:17">
      <c r="A25" s="2">
        <f t="shared" si="0"/>
        <v>43501</v>
      </c>
      <c r="B25" s="79">
        <f t="shared" si="1"/>
        <v>0.51736227352340791</v>
      </c>
      <c r="C25" s="81">
        <f t="shared" si="2"/>
        <v>0</v>
      </c>
      <c r="D25" s="79">
        <f t="shared" si="3"/>
        <v>0</v>
      </c>
      <c r="E25" s="21">
        <f>vbvisualmagnitude($B$2,vbastrodaysfromdt(A25))</f>
        <v>20.598928005141289</v>
      </c>
      <c r="F25" s="82">
        <f>vbapparentsize($B$2, vbastrodaysfromdt(A25))</f>
        <v>29.495831354303245</v>
      </c>
      <c r="Q25" t="s">
        <v>344</v>
      </c>
    </row>
    <row r="26" spans="1:17">
      <c r="A26" s="2">
        <f t="shared" si="0"/>
        <v>43521</v>
      </c>
      <c r="B26" s="79">
        <f t="shared" si="1"/>
        <v>0.20421540960824794</v>
      </c>
      <c r="C26" s="81">
        <f t="shared" si="2"/>
        <v>0</v>
      </c>
      <c r="D26" s="79">
        <f t="shared" si="3"/>
        <v>0</v>
      </c>
      <c r="E26" s="21">
        <f>vbvisualmagnitude($B$2,vbastrodaysfromdt(A26))</f>
        <v>20.356601336669833</v>
      </c>
      <c r="F26" s="82">
        <f>vbapparentsize($B$2, vbastrodaysfromdt(A26))</f>
        <v>31.002079326707669</v>
      </c>
      <c r="Q26" t="s">
        <v>345</v>
      </c>
    </row>
    <row r="27" spans="1:17">
      <c r="A27" s="2">
        <f t="shared" si="0"/>
        <v>43541</v>
      </c>
      <c r="B27" s="79">
        <f t="shared" si="1"/>
        <v>0.85832577935578858</v>
      </c>
      <c r="C27" s="81">
        <f t="shared" si="2"/>
        <v>58.238534871968412</v>
      </c>
      <c r="D27" s="79">
        <f t="shared" si="3"/>
        <v>0.85832577935578858</v>
      </c>
      <c r="E27" s="21">
        <f>vbvisualmagnitude($B$2,vbastrodaysfromdt(A27))</f>
        <v>20.123789783249094</v>
      </c>
      <c r="F27" s="82">
        <f>vbapparentsize($B$2, vbastrodaysfromdt(A27))</f>
        <v>33.032155083193295</v>
      </c>
    </row>
    <row r="28" spans="1:17">
      <c r="A28" s="2">
        <f t="shared" si="0"/>
        <v>43561</v>
      </c>
      <c r="B28" s="79">
        <f t="shared" si="1"/>
        <v>0.52943382205573097</v>
      </c>
      <c r="C28" s="81">
        <f t="shared" si="2"/>
        <v>0</v>
      </c>
      <c r="D28" s="79">
        <f t="shared" si="3"/>
        <v>0</v>
      </c>
      <c r="E28" s="21">
        <f>vbvisualmagnitude($B$2,vbastrodaysfromdt(A28))</f>
        <v>20.493835181504693</v>
      </c>
      <c r="F28" s="82">
        <f>vbapparentsize($B$2, vbastrodaysfromdt(A28))</f>
        <v>30.204682152622119</v>
      </c>
    </row>
    <row r="29" spans="1:17">
      <c r="A29" s="2">
        <f t="shared" si="0"/>
        <v>43581</v>
      </c>
      <c r="B29" s="79">
        <f t="shared" si="1"/>
        <v>0.23400071178109669</v>
      </c>
      <c r="C29" s="81">
        <f t="shared" si="2"/>
        <v>0</v>
      </c>
      <c r="D29" s="79">
        <f t="shared" si="3"/>
        <v>0</v>
      </c>
      <c r="E29" s="21">
        <f>vbvisualmagnitude($B$2,vbastrodaysfromdt(A29))</f>
        <v>20.545944256654092</v>
      </c>
      <c r="F29" s="82">
        <f>vbapparentsize($B$2, vbastrodaysfromdt(A29))</f>
        <v>29.924148337740569</v>
      </c>
      <c r="Q29" t="s">
        <v>346</v>
      </c>
    </row>
    <row r="30" spans="1:17" ht="18.75">
      <c r="A30" s="2">
        <f t="shared" si="0"/>
        <v>43601</v>
      </c>
      <c r="B30" s="79">
        <f t="shared" si="1"/>
        <v>0.90987278958322959</v>
      </c>
      <c r="C30" s="81">
        <f t="shared" si="2"/>
        <v>0</v>
      </c>
      <c r="D30" s="79">
        <f t="shared" si="3"/>
        <v>0</v>
      </c>
      <c r="E30" s="21">
        <f>vbvisualmagnitude($B$2,vbastrodaysfromdt(A30))</f>
        <v>20.234291554426214</v>
      </c>
      <c r="F30" s="82">
        <f>vbapparentsize($B$2, vbastrodaysfromdt(A30))</f>
        <v>31.805804617674749</v>
      </c>
      <c r="Q30" s="103" t="s">
        <v>347</v>
      </c>
    </row>
    <row r="31" spans="1:17">
      <c r="A31" s="2">
        <f t="shared" si="0"/>
        <v>43621</v>
      </c>
      <c r="B31" s="79">
        <f t="shared" si="1"/>
        <v>0.55725147482289394</v>
      </c>
      <c r="C31" s="81">
        <f t="shared" si="2"/>
        <v>0</v>
      </c>
      <c r="D31" s="79">
        <f t="shared" si="3"/>
        <v>0</v>
      </c>
      <c r="E31" s="21">
        <f>vbvisualmagnitude($B$2,vbastrodaysfromdt(A31))</f>
        <v>20.209733958793457</v>
      </c>
      <c r="F31" s="82">
        <f>vbapparentsize($B$2, vbastrodaysfromdt(A31))</f>
        <v>32.485436642889695</v>
      </c>
      <c r="Q31" t="s">
        <v>348</v>
      </c>
    </row>
    <row r="32" spans="1:17" ht="18.75">
      <c r="A32" s="2">
        <f t="shared" si="0"/>
        <v>43641</v>
      </c>
      <c r="B32" s="79">
        <f t="shared" si="1"/>
        <v>0.24885314667916036</v>
      </c>
      <c r="C32" s="81">
        <f t="shared" si="2"/>
        <v>0</v>
      </c>
      <c r="D32" s="79">
        <f t="shared" si="3"/>
        <v>0</v>
      </c>
      <c r="E32" s="21">
        <f>vbvisualmagnitude($B$2,vbastrodaysfromdt(A32))</f>
        <v>20.587539970366002</v>
      </c>
      <c r="F32" s="82">
        <f>vbapparentsize($B$2, vbastrodaysfromdt(A32))</f>
        <v>29.51450913469985</v>
      </c>
      <c r="Q32" s="103" t="s">
        <v>349</v>
      </c>
    </row>
    <row r="33" spans="1:17">
      <c r="A33" s="2">
        <f t="shared" si="0"/>
        <v>43661</v>
      </c>
      <c r="B33" s="79">
        <f t="shared" si="1"/>
        <v>0.94753318046208912</v>
      </c>
      <c r="C33" s="81">
        <f t="shared" si="2"/>
        <v>0</v>
      </c>
      <c r="D33" s="79">
        <f t="shared" si="3"/>
        <v>0</v>
      </c>
      <c r="E33" s="21">
        <f>vbvisualmagnitude($B$2,vbastrodaysfromdt(A33))</f>
        <v>20.442999873738039</v>
      </c>
      <c r="F33" s="82">
        <f>vbapparentsize($B$2, vbastrodaysfromdt(A33))</f>
        <v>30.613657563824866</v>
      </c>
    </row>
    <row r="34" spans="1:17">
      <c r="A34" s="2">
        <f t="shared" si="0"/>
        <v>43681</v>
      </c>
      <c r="B34" s="79">
        <f t="shared" si="1"/>
        <v>0.61182315578625668</v>
      </c>
      <c r="C34" s="81">
        <f t="shared" si="2"/>
        <v>0</v>
      </c>
      <c r="D34" s="79">
        <f t="shared" si="3"/>
        <v>0</v>
      </c>
      <c r="E34" s="21">
        <f>vbvisualmagnitude($B$2,vbastrodaysfromdt(A34))</f>
        <v>20.15513710782913</v>
      </c>
      <c r="F34" s="82">
        <f>vbapparentsize($B$2, vbastrodaysfromdt(A34))</f>
        <v>32.446829426787282</v>
      </c>
    </row>
    <row r="35" spans="1:17">
      <c r="A35" s="2">
        <f t="shared" si="0"/>
        <v>43701</v>
      </c>
      <c r="B35" s="79">
        <f t="shared" si="1"/>
        <v>0.26413688373876881</v>
      </c>
      <c r="C35" s="81">
        <f t="shared" si="2"/>
        <v>52.834635638070708</v>
      </c>
      <c r="D35" s="79">
        <f t="shared" si="3"/>
        <v>0.21195793271107255</v>
      </c>
      <c r="E35" s="21">
        <f>vbvisualmagnitude($B$2,vbastrodaysfromdt(A35))</f>
        <v>20.357156329900505</v>
      </c>
      <c r="F35" s="82">
        <f>vbapparentsize($B$2, vbastrodaysfromdt(A35))</f>
        <v>31.359982338748704</v>
      </c>
    </row>
    <row r="36" spans="1:17">
      <c r="A36" s="2">
        <f t="shared" si="0"/>
        <v>43721</v>
      </c>
      <c r="B36" s="79">
        <f t="shared" si="1"/>
        <v>0.96987936087258497</v>
      </c>
      <c r="C36" s="81">
        <f t="shared" si="2"/>
        <v>0</v>
      </c>
      <c r="D36" s="79">
        <f t="shared" si="3"/>
        <v>0</v>
      </c>
      <c r="E36" s="21">
        <f>vbvisualmagnitude($B$2,vbastrodaysfromdt(A36))</f>
        <v>20.597848303523168</v>
      </c>
      <c r="F36" s="82">
        <f>vbapparentsize($B$2, vbastrodaysfromdt(A36))</f>
        <v>29.496482850470567</v>
      </c>
    </row>
    <row r="37" spans="1:17">
      <c r="A37" s="2">
        <f t="shared" si="0"/>
        <v>43741</v>
      </c>
      <c r="B37" s="79">
        <f t="shared" si="1"/>
        <v>0.65536598880755181</v>
      </c>
      <c r="C37" s="81">
        <f t="shared" si="2"/>
        <v>0</v>
      </c>
      <c r="D37" s="79">
        <f t="shared" si="3"/>
        <v>0</v>
      </c>
      <c r="E37" s="21">
        <f>vbvisualmagnitude($B$2,vbastrodaysfromdt(A37))</f>
        <v>20.319596279626118</v>
      </c>
      <c r="F37" s="82">
        <f>vbapparentsize($B$2, vbastrodaysfromdt(A37))</f>
        <v>31.363588354646055</v>
      </c>
    </row>
    <row r="38" spans="1:17">
      <c r="A38" s="2">
        <f t="shared" ref="A38:A69" si="4">DATE(YEAR(A37), IF(unt="m",intvl,0)+MONTH(A37), IF(unt="m", 0,intvl)+DAY(A37))</f>
        <v>43761</v>
      </c>
      <c r="B38" s="79">
        <f t="shared" si="1"/>
        <v>0.31030769082656179</v>
      </c>
      <c r="C38" s="81">
        <f t="shared" si="2"/>
        <v>54.817182757708743</v>
      </c>
      <c r="D38" s="79">
        <f t="shared" si="3"/>
        <v>0.28077576886461536</v>
      </c>
      <c r="E38" s="21">
        <f>vbvisualmagnitude($B$2,vbastrodaysfromdt(A38))</f>
        <v>20.158170520085523</v>
      </c>
      <c r="F38" s="82">
        <f>vbapparentsize($B$2, vbastrodaysfromdt(A38))</f>
        <v>32.595547781420493</v>
      </c>
    </row>
    <row r="39" spans="1:17">
      <c r="A39" s="2">
        <f t="shared" si="4"/>
        <v>43781</v>
      </c>
      <c r="B39" s="79">
        <f t="shared" si="1"/>
        <v>0.97797634064895789</v>
      </c>
      <c r="C39" s="81">
        <f t="shared" si="2"/>
        <v>49.098477546056891</v>
      </c>
      <c r="D39" s="79">
        <f t="shared" si="3"/>
        <v>0.97797634064895789</v>
      </c>
      <c r="E39" s="21">
        <f>vbvisualmagnitude($B$2,vbastrodaysfromdt(A39))</f>
        <v>20.502287130622051</v>
      </c>
      <c r="F39" s="82">
        <f>vbapparentsize($B$2, vbastrodaysfromdt(A39))</f>
        <v>30.214228386563867</v>
      </c>
      <c r="P39" s="81" t="e">
        <f ca="1">isvisible(O$2,N39,$B$1,$C$1,$C$2,"a")</f>
        <v>#NAME?</v>
      </c>
      <c r="Q39" s="79" t="e">
        <f ca="1">isvisible(O$2,N39,$B$1,$C$1,$C$2,"t")</f>
        <v>#NAME?</v>
      </c>
    </row>
    <row r="40" spans="1:17">
      <c r="A40" s="2">
        <f t="shared" si="4"/>
        <v>43801</v>
      </c>
      <c r="B40" s="79">
        <f t="shared" si="1"/>
        <v>0.68824772174009707</v>
      </c>
      <c r="C40" s="81">
        <f t="shared" si="2"/>
        <v>0</v>
      </c>
      <c r="D40" s="79">
        <f t="shared" si="3"/>
        <v>0</v>
      </c>
      <c r="E40" s="21">
        <f>vbvisualmagnitude($B$2,vbastrodaysfromdt(A40))</f>
        <v>20.529473547804876</v>
      </c>
      <c r="F40" s="82">
        <f>vbapparentsize($B$2, vbastrodaysfromdt(A40))</f>
        <v>30.05655065352838</v>
      </c>
    </row>
    <row r="41" spans="1:17">
      <c r="A41" s="2">
        <f t="shared" si="4"/>
        <v>43821</v>
      </c>
      <c r="B41" s="79">
        <f t="shared" si="1"/>
        <v>0.35835564358610711</v>
      </c>
      <c r="C41" s="81">
        <f t="shared" si="2"/>
        <v>26.972610951820407</v>
      </c>
      <c r="D41" s="79">
        <f t="shared" si="3"/>
        <v>0.34129374308657678</v>
      </c>
      <c r="E41" s="21">
        <f>vbvisualmagnitude($B$2,vbastrodaysfromdt(A41))</f>
        <v>20.212956537205745</v>
      </c>
      <c r="F41" s="82">
        <f>vbapparentsize($B$2, vbastrodaysfromdt(A41))</f>
        <v>31.990748544080944</v>
      </c>
    </row>
    <row r="42" spans="1:17">
      <c r="A42" s="2">
        <f t="shared" si="4"/>
        <v>43841</v>
      </c>
      <c r="B42" s="79">
        <f t="shared" si="1"/>
        <v>8.1753840416607677E-3</v>
      </c>
      <c r="C42" s="81">
        <f t="shared" si="2"/>
        <v>60.569327843451028</v>
      </c>
      <c r="D42" s="79">
        <f t="shared" si="3"/>
        <v>8.1753840416607677E-3</v>
      </c>
      <c r="E42" s="21">
        <f>vbvisualmagnitude($B$2,vbastrodaysfromdt(A42))</f>
        <v>20.246210944751493</v>
      </c>
      <c r="F42" s="82">
        <f>vbapparentsize($B$2, vbastrodaysfromdt(A42))</f>
        <v>32.104607123831258</v>
      </c>
    </row>
    <row r="43" spans="1:17">
      <c r="A43" s="2">
        <f t="shared" si="4"/>
        <v>43861</v>
      </c>
      <c r="B43" s="79">
        <f t="shared" si="1"/>
        <v>0.69711203394008114</v>
      </c>
      <c r="C43" s="81">
        <f t="shared" si="2"/>
        <v>40.31685201025212</v>
      </c>
      <c r="D43" s="79">
        <f t="shared" si="3"/>
        <v>0.70105274718405175</v>
      </c>
      <c r="E43" s="21">
        <f>vbvisualmagnitude($B$2,vbastrodaysfromdt(A43))</f>
        <v>20.591289791757273</v>
      </c>
      <c r="F43" s="82">
        <f>vbapparentsize($B$2, vbastrodaysfromdt(A43))</f>
        <v>29.516968773708196</v>
      </c>
    </row>
    <row r="44" spans="1:17">
      <c r="A44" s="2">
        <f t="shared" si="4"/>
        <v>43881</v>
      </c>
      <c r="B44" s="79">
        <f t="shared" si="1"/>
        <v>0.40083029955308008</v>
      </c>
      <c r="C44" s="81">
        <f t="shared" si="2"/>
        <v>0</v>
      </c>
      <c r="D44" s="79">
        <f t="shared" si="3"/>
        <v>0</v>
      </c>
      <c r="E44" s="21">
        <f>vbvisualmagnitude($B$2,vbastrodaysfromdt(A44))</f>
        <v>20.408994339012793</v>
      </c>
      <c r="F44" s="82">
        <f>vbapparentsize($B$2, vbastrodaysfromdt(A44))</f>
        <v>30.939797266497507</v>
      </c>
    </row>
    <row r="45" spans="1:17">
      <c r="A45" s="2">
        <f t="shared" si="4"/>
        <v>43901</v>
      </c>
      <c r="B45" s="79">
        <f t="shared" si="1"/>
        <v>5.8837143219800818E-2</v>
      </c>
      <c r="C45" s="81">
        <f t="shared" si="2"/>
        <v>0</v>
      </c>
      <c r="D45" s="79">
        <f t="shared" si="3"/>
        <v>0</v>
      </c>
      <c r="E45" s="21">
        <f>vbvisualmagnitude($B$2,vbastrodaysfromdt(A45))</f>
        <v>20.162891905470197</v>
      </c>
      <c r="F45" s="82">
        <f>vbapparentsize($B$2, vbastrodaysfromdt(A45))</f>
        <v>32.310074852000938</v>
      </c>
    </row>
    <row r="46" spans="1:17">
      <c r="A46" s="2">
        <f t="shared" si="4"/>
        <v>43921</v>
      </c>
      <c r="B46" s="79">
        <f t="shared" si="1"/>
        <v>0.71297899452249869</v>
      </c>
      <c r="C46" s="81">
        <f t="shared" si="2"/>
        <v>55.007357843868569</v>
      </c>
      <c r="D46" s="79">
        <f t="shared" si="3"/>
        <v>0.77527320567231239</v>
      </c>
      <c r="E46" s="21">
        <f>vbvisualmagnitude($B$2,vbastrodaysfromdt(A46))</f>
        <v>20.382563619335478</v>
      </c>
      <c r="F46" s="82">
        <f>vbapparentsize($B$2, vbastrodaysfromdt(A46))</f>
        <v>31.161422232700772</v>
      </c>
    </row>
    <row r="47" spans="1:17">
      <c r="A47" s="2">
        <f t="shared" si="4"/>
        <v>43941</v>
      </c>
      <c r="B47" s="79">
        <f t="shared" si="1"/>
        <v>0.41871283268650128</v>
      </c>
      <c r="C47" s="81">
        <f t="shared" si="2"/>
        <v>0</v>
      </c>
      <c r="D47" s="79">
        <f t="shared" si="3"/>
        <v>0</v>
      </c>
      <c r="E47" s="21">
        <f>vbvisualmagnitude($B$2,vbastrodaysfromdt(A47))</f>
        <v>20.59588350959605</v>
      </c>
      <c r="F47" s="82">
        <f>vbapparentsize($B$2, vbastrodaysfromdt(A47))</f>
        <v>29.494983280593111</v>
      </c>
    </row>
    <row r="48" spans="1:17">
      <c r="A48" s="2">
        <f t="shared" si="4"/>
        <v>43961</v>
      </c>
      <c r="B48" s="79">
        <f t="shared" si="1"/>
        <v>0.10581677161217797</v>
      </c>
      <c r="C48" s="81">
        <f t="shared" si="2"/>
        <v>0</v>
      </c>
      <c r="D48" s="79">
        <f t="shared" si="3"/>
        <v>0</v>
      </c>
      <c r="E48" s="21">
        <f>vbvisualmagnitude($B$2,vbastrodaysfromdt(A48))</f>
        <v>20.277297862053675</v>
      </c>
      <c r="F48" s="82">
        <f>vbapparentsize($B$2, vbastrodaysfromdt(A48))</f>
        <v>31.80941666792846</v>
      </c>
    </row>
    <row r="49" spans="1:6">
      <c r="A49" s="2">
        <f t="shared" si="4"/>
        <v>43981</v>
      </c>
      <c r="B49" s="79">
        <f t="shared" si="1"/>
        <v>0.75992166827242957</v>
      </c>
      <c r="C49" s="81">
        <f t="shared" si="2"/>
        <v>0</v>
      </c>
      <c r="D49" s="79">
        <f t="shared" si="3"/>
        <v>0</v>
      </c>
      <c r="E49" s="21">
        <f>vbvisualmagnitude($B$2,vbastrodaysfromdt(A49))</f>
        <v>20.192056285964888</v>
      </c>
      <c r="F49" s="82">
        <f>vbapparentsize($B$2, vbastrodaysfromdt(A49))</f>
        <v>32.189993501938886</v>
      </c>
    </row>
    <row r="50" spans="1:6">
      <c r="A50" s="2">
        <f t="shared" si="4"/>
        <v>44001</v>
      </c>
      <c r="B50" s="79">
        <f t="shared" si="1"/>
        <v>0.42622364709321786</v>
      </c>
      <c r="C50" s="81">
        <f t="shared" si="2"/>
        <v>0</v>
      </c>
      <c r="D50" s="79">
        <f t="shared" si="3"/>
        <v>0</v>
      </c>
      <c r="E50" s="21">
        <f>vbvisualmagnitude($B$2,vbastrodaysfromdt(A50))</f>
        <v>20.514220137497858</v>
      </c>
      <c r="F50" s="82">
        <f>vbapparentsize($B$2, vbastrodaysfromdt(A50))</f>
        <v>30.166275290862156</v>
      </c>
    </row>
    <row r="51" spans="1:6">
      <c r="A51" s="2">
        <f t="shared" si="4"/>
        <v>44021</v>
      </c>
      <c r="B51" s="79">
        <f t="shared" si="1"/>
        <v>0.13910663606565932</v>
      </c>
      <c r="C51" s="81">
        <f t="shared" si="2"/>
        <v>0</v>
      </c>
      <c r="D51" s="79">
        <f t="shared" si="3"/>
        <v>0</v>
      </c>
      <c r="E51" s="21">
        <f>vbvisualmagnitude($B$2,vbastrodaysfromdt(A51))</f>
        <v>20.516367680836034</v>
      </c>
      <c r="F51" s="82">
        <f>vbapparentsize($B$2, vbastrodaysfromdt(A51))</f>
        <v>30.132616988723584</v>
      </c>
    </row>
    <row r="52" spans="1:6">
      <c r="A52" s="2">
        <f t="shared" si="4"/>
        <v>44041</v>
      </c>
      <c r="B52" s="79">
        <f t="shared" si="1"/>
        <v>0.80648967706267616</v>
      </c>
      <c r="C52" s="81">
        <f t="shared" si="2"/>
        <v>0</v>
      </c>
      <c r="D52" s="79">
        <f t="shared" si="3"/>
        <v>0</v>
      </c>
      <c r="E52" s="21">
        <f>vbvisualmagnitude($B$2,vbastrodaysfromdt(A52))</f>
        <v>20.18132647594831</v>
      </c>
      <c r="F52" s="82">
        <f>vbapparentsize($B$2, vbastrodaysfromdt(A52))</f>
        <v>32.345943455653618</v>
      </c>
    </row>
    <row r="53" spans="1:6">
      <c r="A53" s="2">
        <f t="shared" si="4"/>
        <v>44061</v>
      </c>
      <c r="B53" s="79">
        <f t="shared" si="1"/>
        <v>0.46183495974624361</v>
      </c>
      <c r="C53" s="81">
        <f t="shared" si="2"/>
        <v>0</v>
      </c>
      <c r="D53" s="79">
        <f t="shared" si="3"/>
        <v>0</v>
      </c>
      <c r="E53" s="21">
        <f>vbvisualmagnitude($B$2,vbastrodaysfromdt(A53))</f>
        <v>20.288663713045505</v>
      </c>
      <c r="F53" s="82">
        <f>vbapparentsize($B$2, vbastrodaysfromdt(A53))</f>
        <v>31.649040508041164</v>
      </c>
    </row>
    <row r="54" spans="1:6">
      <c r="A54" s="2">
        <f t="shared" si="4"/>
        <v>44081</v>
      </c>
      <c r="B54" s="79">
        <f t="shared" si="1"/>
        <v>0.14537278149142616</v>
      </c>
      <c r="C54" s="81">
        <f t="shared" si="2"/>
        <v>0</v>
      </c>
      <c r="D54" s="79">
        <f t="shared" si="3"/>
        <v>0</v>
      </c>
      <c r="E54" s="21">
        <f>vbvisualmagnitude($B$2,vbastrodaysfromdt(A54))</f>
        <v>20.594100113131486</v>
      </c>
      <c r="F54" s="82">
        <f>vbapparentsize($B$2, vbastrodaysfromdt(A54))</f>
        <v>29.520508219490956</v>
      </c>
    </row>
    <row r="55" spans="1:6">
      <c r="A55" s="2">
        <f t="shared" si="4"/>
        <v>44101</v>
      </c>
      <c r="B55" s="79">
        <f t="shared" si="1"/>
        <v>0.85423824471530929</v>
      </c>
      <c r="C55" s="81">
        <f t="shared" si="2"/>
        <v>0</v>
      </c>
      <c r="D55" s="79">
        <f t="shared" si="3"/>
        <v>0</v>
      </c>
      <c r="E55" s="21">
        <f>vbvisualmagnitude($B$2,vbastrodaysfromdt(A55))</f>
        <v>20.380166023917429</v>
      </c>
      <c r="F55" s="82">
        <f>vbapparentsize($B$2, vbastrodaysfromdt(A55))</f>
        <v>31.190312451886609</v>
      </c>
    </row>
    <row r="56" spans="1:6">
      <c r="A56" s="2">
        <f t="shared" si="4"/>
        <v>44121</v>
      </c>
      <c r="B56" s="79">
        <f t="shared" si="1"/>
        <v>0.50620498179733753</v>
      </c>
      <c r="C56" s="81">
        <f t="shared" si="2"/>
        <v>0</v>
      </c>
      <c r="D56" s="79">
        <f t="shared" si="3"/>
        <v>0</v>
      </c>
      <c r="E56" s="21">
        <f>vbvisualmagnitude($B$2,vbastrodaysfromdt(A56))</f>
        <v>20.159004880387926</v>
      </c>
      <c r="F56" s="82">
        <f>vbapparentsize($B$2, vbastrodaysfromdt(A56))</f>
        <v>32.368457343275189</v>
      </c>
    </row>
    <row r="57" spans="1:6">
      <c r="A57" s="2">
        <f t="shared" si="4"/>
        <v>44141</v>
      </c>
      <c r="B57" s="79">
        <f t="shared" si="1"/>
        <v>0.16721680421627397</v>
      </c>
      <c r="C57" s="81">
        <f t="shared" si="2"/>
        <v>62.240575309765312</v>
      </c>
      <c r="D57" s="79">
        <f t="shared" si="3"/>
        <v>0.16721680421627397</v>
      </c>
      <c r="E57" s="21">
        <f>vbvisualmagnitude($B$2,vbastrodaysfromdt(A57))</f>
        <v>20.415445415217537</v>
      </c>
      <c r="F57" s="82">
        <f>vbapparentsize($B$2, vbastrodaysfromdt(A57))</f>
        <v>30.853433952194088</v>
      </c>
    </row>
    <row r="58" spans="1:6">
      <c r="A58" s="2">
        <f t="shared" si="4"/>
        <v>44161</v>
      </c>
      <c r="B58" s="79">
        <f t="shared" si="1"/>
        <v>0.86665107725655555</v>
      </c>
      <c r="C58" s="81">
        <f t="shared" si="2"/>
        <v>39.324672965161696</v>
      </c>
      <c r="D58" s="79">
        <f t="shared" si="3"/>
        <v>0.86665107725655555</v>
      </c>
      <c r="E58" s="21">
        <f>vbvisualmagnitude($B$2,vbastrodaysfromdt(A58))</f>
        <v>20.593123902047033</v>
      </c>
      <c r="F58" s="82">
        <f>vbapparentsize($B$2, vbastrodaysfromdt(A58))</f>
        <v>29.490437856073413</v>
      </c>
    </row>
    <row r="59" spans="1:6">
      <c r="A59" s="2">
        <f t="shared" si="4"/>
        <v>44181</v>
      </c>
      <c r="B59" s="79">
        <f t="shared" si="1"/>
        <v>0.55930119395855493</v>
      </c>
      <c r="C59" s="81">
        <f t="shared" si="2"/>
        <v>0</v>
      </c>
      <c r="D59" s="79">
        <f t="shared" si="3"/>
        <v>0</v>
      </c>
      <c r="E59" s="21">
        <f>vbvisualmagnitude($B$2,vbastrodaysfromdt(A59))</f>
        <v>20.236912273249779</v>
      </c>
      <c r="F59" s="82">
        <f>vbapparentsize($B$2, vbastrodaysfromdt(A59))</f>
        <v>32.236844465272625</v>
      </c>
    </row>
    <row r="60" spans="1:6">
      <c r="A60" s="2">
        <f t="shared" si="4"/>
        <v>44201</v>
      </c>
      <c r="B60" s="79">
        <f t="shared" si="1"/>
        <v>0.2082054742277569</v>
      </c>
      <c r="C60" s="81">
        <f t="shared" si="2"/>
        <v>43.810703845228133</v>
      </c>
      <c r="D60" s="79">
        <f t="shared" si="3"/>
        <v>0.2082054742277569</v>
      </c>
      <c r="E60" s="21">
        <f>vbvisualmagnitude($B$2,vbastrodaysfromdt(A60))</f>
        <v>20.217695361840526</v>
      </c>
      <c r="F60" s="82">
        <f>vbapparentsize($B$2, vbastrodaysfromdt(A60))</f>
        <v>31.925085675615115</v>
      </c>
    </row>
    <row r="61" spans="1:6">
      <c r="A61" s="2">
        <f t="shared" si="4"/>
        <v>44221</v>
      </c>
      <c r="B61" s="79">
        <f t="shared" si="1"/>
        <v>0.87772332322469093</v>
      </c>
      <c r="C61" s="81">
        <f t="shared" si="2"/>
        <v>60.837122876008543</v>
      </c>
      <c r="D61" s="79">
        <f t="shared" si="3"/>
        <v>0.87772332322469093</v>
      </c>
      <c r="E61" s="21">
        <f>vbvisualmagnitude($B$2,vbastrodaysfromdt(A61))</f>
        <v>20.530167875830848</v>
      </c>
      <c r="F61" s="82">
        <f>vbapparentsize($B$2, vbastrodaysfromdt(A61))</f>
        <v>30.050323491002093</v>
      </c>
    </row>
    <row r="62" spans="1:6">
      <c r="A62" s="2">
        <f t="shared" si="4"/>
        <v>44241</v>
      </c>
      <c r="B62" s="79">
        <f t="shared" si="1"/>
        <v>0.58688192704591324</v>
      </c>
      <c r="C62" s="81">
        <f t="shared" si="2"/>
        <v>16.379083323753857</v>
      </c>
      <c r="D62" s="79">
        <f t="shared" si="3"/>
        <v>0.71996310801304342</v>
      </c>
      <c r="E62" s="21">
        <f>vbvisualmagnitude($B$2,vbastrodaysfromdt(A62))</f>
        <v>20.506868965039324</v>
      </c>
      <c r="F62" s="82">
        <f>vbapparentsize($B$2, vbastrodaysfromdt(A62))</f>
        <v>30.146229003684184</v>
      </c>
    </row>
    <row r="63" spans="1:6">
      <c r="A63" s="2">
        <f t="shared" si="4"/>
        <v>44261</v>
      </c>
      <c r="B63" s="79">
        <f t="shared" si="1"/>
        <v>0.25557451320460006</v>
      </c>
      <c r="C63" s="81">
        <f t="shared" si="2"/>
        <v>0</v>
      </c>
      <c r="D63" s="79">
        <f t="shared" si="3"/>
        <v>0</v>
      </c>
      <c r="E63" s="21">
        <f>vbvisualmagnitude($B$2,vbastrodaysfromdt(A63))</f>
        <v>20.145044543157084</v>
      </c>
      <c r="F63" s="82">
        <f>vbapparentsize($B$2, vbastrodaysfromdt(A63))</f>
        <v>32.790110922492069</v>
      </c>
    </row>
    <row r="64" spans="1:6">
      <c r="A64" s="2">
        <f t="shared" si="4"/>
        <v>44281</v>
      </c>
      <c r="B64" s="79">
        <f t="shared" si="1"/>
        <v>0.91286602613812973</v>
      </c>
      <c r="C64" s="81">
        <f t="shared" si="2"/>
        <v>54.835790852416267</v>
      </c>
      <c r="D64" s="79">
        <f t="shared" si="3"/>
        <v>0.91286602613812973</v>
      </c>
      <c r="E64" s="21">
        <f>vbvisualmagnitude($B$2,vbastrodaysfromdt(A64))</f>
        <v>20.329034222121248</v>
      </c>
      <c r="F64" s="82">
        <f>vbapparentsize($B$2, vbastrodaysfromdt(A64))</f>
        <v>31.233161606229967</v>
      </c>
    </row>
    <row r="65" spans="1:6">
      <c r="A65" s="2">
        <f t="shared" si="4"/>
        <v>44301</v>
      </c>
      <c r="B65" s="79">
        <f t="shared" si="1"/>
        <v>0.59418761643147788</v>
      </c>
      <c r="C65" s="81">
        <f t="shared" si="2"/>
        <v>24.365506247791167</v>
      </c>
      <c r="D65" s="79">
        <f t="shared" si="3"/>
        <v>0.79263467470169446</v>
      </c>
      <c r="E65" s="21">
        <f>vbvisualmagnitude($B$2,vbastrodaysfromdt(A65))</f>
        <v>20.596434227423845</v>
      </c>
      <c r="F65" s="82">
        <f>vbapparentsize($B$2, vbastrodaysfromdt(A65))</f>
        <v>29.516351984130782</v>
      </c>
    </row>
    <row r="66" spans="1:6">
      <c r="A66" s="2">
        <f t="shared" si="4"/>
        <v>44321</v>
      </c>
      <c r="B66" s="79">
        <f t="shared" si="1"/>
        <v>0.30261670718982997</v>
      </c>
      <c r="C66" s="81">
        <f t="shared" si="2"/>
        <v>0</v>
      </c>
      <c r="D66" s="79">
        <f t="shared" si="3"/>
        <v>0</v>
      </c>
      <c r="E66" s="21">
        <f>vbvisualmagnitude($B$2,vbastrodaysfromdt(A66))</f>
        <v>20.359978841644182</v>
      </c>
      <c r="F66" s="82">
        <f>vbapparentsize($B$2, vbastrodaysfromdt(A66))</f>
        <v>31.313337740463872</v>
      </c>
    </row>
    <row r="67" spans="1:6">
      <c r="A67" s="2">
        <f t="shared" si="4"/>
        <v>44341</v>
      </c>
      <c r="B67" s="79">
        <f t="shared" si="1"/>
        <v>0.95164400741797239</v>
      </c>
      <c r="C67" s="81">
        <f t="shared" si="2"/>
        <v>0</v>
      </c>
      <c r="D67" s="79">
        <f t="shared" si="3"/>
        <v>0</v>
      </c>
      <c r="E67" s="21">
        <f>vbvisualmagnitude($B$2,vbastrodaysfromdt(A67))</f>
        <v>20.144891492065824</v>
      </c>
      <c r="F67" s="82">
        <f>vbapparentsize($B$2, vbastrodaysfromdt(A67))</f>
        <v>32.601432839369132</v>
      </c>
    </row>
    <row r="68" spans="1:6">
      <c r="A68" s="2">
        <f t="shared" si="4"/>
        <v>44361</v>
      </c>
      <c r="B68" s="79">
        <f t="shared" si="1"/>
        <v>0.621654065607533</v>
      </c>
      <c r="C68" s="81">
        <f t="shared" si="2"/>
        <v>0</v>
      </c>
      <c r="D68" s="79">
        <f t="shared" si="3"/>
        <v>0</v>
      </c>
      <c r="E68" s="21">
        <f>vbvisualmagnitude($B$2,vbastrodaysfromdt(A68))</f>
        <v>20.450958448074065</v>
      </c>
      <c r="F68" s="82">
        <f>vbapparentsize($B$2, vbastrodaysfromdt(A68))</f>
        <v>30.506689879956898</v>
      </c>
    </row>
    <row r="69" spans="1:6">
      <c r="A69" s="2">
        <f t="shared" si="4"/>
        <v>44381</v>
      </c>
      <c r="B69" s="79">
        <f t="shared" si="1"/>
        <v>0.31380742971444908</v>
      </c>
      <c r="C69" s="81">
        <f t="shared" si="2"/>
        <v>0</v>
      </c>
      <c r="D69" s="79">
        <f t="shared" si="3"/>
        <v>0</v>
      </c>
      <c r="E69" s="21">
        <f>vbvisualmagnitude($B$2,vbastrodaysfromdt(A69))</f>
        <v>20.588637314644082</v>
      </c>
      <c r="F69" s="82">
        <f>vbapparentsize($B$2, vbastrodaysfromdt(A69))</f>
        <v>29.497507518921857</v>
      </c>
    </row>
    <row r="70" spans="1:6">
      <c r="A70" s="2">
        <f t="shared" ref="A70:A101" si="5">DATE(YEAR(A69), IF(unt="m",intvl,0)+MONTH(A69), IF(unt="m", 0,intvl)+DAY(A69))</f>
        <v>44401</v>
      </c>
      <c r="B70" s="79">
        <f t="shared" ref="B70:B133" si="6">vbTimeofTransit(B$2,$A70,$B$1, $C$1)/24</f>
        <v>1.0313305935746165E-2</v>
      </c>
      <c r="C70" s="81">
        <f t="shared" ref="C70:C133" si="7">vbisvisible(B$2,A70,$B$1,$C$1,$C$2,"a")</f>
        <v>0</v>
      </c>
      <c r="D70" s="79">
        <f t="shared" ref="D70:D133" si="8">vbisvisible(B$2,A70,$B$1,$C$1,$C$2,2)</f>
        <v>0</v>
      </c>
      <c r="E70" s="21">
        <f>vbvisualmagnitude($B$2,vbastrodaysfromdt(A70))</f>
        <v>20.206046046956519</v>
      </c>
      <c r="F70" s="82">
        <f>vbapparentsize($B$2, vbastrodaysfromdt(A70))</f>
        <v>32.535269700130648</v>
      </c>
    </row>
    <row r="71" spans="1:6">
      <c r="A71" s="2">
        <f t="shared" si="5"/>
        <v>44421</v>
      </c>
      <c r="B71" s="79">
        <f t="shared" si="6"/>
        <v>0.65456574666229994</v>
      </c>
      <c r="C71" s="81">
        <f t="shared" si="7"/>
        <v>0</v>
      </c>
      <c r="D71" s="79">
        <f t="shared" si="8"/>
        <v>0</v>
      </c>
      <c r="E71" s="21">
        <f>vbvisualmagnitude($B$2,vbastrodaysfromdt(A71))</f>
        <v>20.231804106393863</v>
      </c>
      <c r="F71" s="82">
        <f>vbapparentsize($B$2, vbastrodaysfromdt(A71))</f>
        <v>31.846946329746753</v>
      </c>
    </row>
    <row r="72" spans="1:6">
      <c r="A72" s="2">
        <f t="shared" si="5"/>
        <v>44441</v>
      </c>
      <c r="B72" s="79">
        <f t="shared" si="6"/>
        <v>0.33334854071983705</v>
      </c>
      <c r="C72" s="81">
        <f t="shared" si="7"/>
        <v>49.912755941042384</v>
      </c>
      <c r="D72" s="79">
        <f t="shared" si="8"/>
        <v>0.22262833878173613</v>
      </c>
      <c r="E72" s="21">
        <f>vbvisualmagnitude($B$2,vbastrodaysfromdt(A72))</f>
        <v>20.548782204183947</v>
      </c>
      <c r="F72" s="82">
        <f>vbapparentsize($B$2, vbastrodaysfromdt(A72))</f>
        <v>29.888124240379568</v>
      </c>
    </row>
    <row r="73" spans="1:6">
      <c r="A73" s="2">
        <f t="shared" si="5"/>
        <v>44461</v>
      </c>
      <c r="B73" s="79">
        <f t="shared" si="6"/>
        <v>3.3808316858767729E-2</v>
      </c>
      <c r="C73" s="81">
        <f t="shared" si="7"/>
        <v>0</v>
      </c>
      <c r="D73" s="79">
        <f t="shared" si="8"/>
        <v>0</v>
      </c>
      <c r="E73" s="21">
        <f>vbvisualmagnitude($B$2,vbastrodaysfromdt(A73))</f>
        <v>20.499283170825962</v>
      </c>
      <c r="F73" s="82">
        <f>vbapparentsize($B$2, vbastrodaysfromdt(A73))</f>
        <v>30.124508595338657</v>
      </c>
    </row>
    <row r="74" spans="1:6">
      <c r="A74" s="2">
        <f t="shared" si="5"/>
        <v>44481</v>
      </c>
      <c r="B74" s="79">
        <f t="shared" si="6"/>
        <v>0.70784634163430693</v>
      </c>
      <c r="C74" s="81">
        <f t="shared" si="7"/>
        <v>0</v>
      </c>
      <c r="D74" s="79">
        <f t="shared" si="8"/>
        <v>0</v>
      </c>
      <c r="E74" s="21">
        <f>vbvisualmagnitude($B$2,vbastrodaysfromdt(A74))</f>
        <v>20.113064197032394</v>
      </c>
      <c r="F74" s="82">
        <f>vbapparentsize($B$2, vbastrodaysfromdt(A74))</f>
        <v>33.193395979267081</v>
      </c>
    </row>
    <row r="75" spans="1:6">
      <c r="A75" s="2">
        <f t="shared" si="5"/>
        <v>44501</v>
      </c>
      <c r="B75" s="79">
        <f t="shared" si="6"/>
        <v>0.36279093358464215</v>
      </c>
      <c r="C75" s="81">
        <f t="shared" si="7"/>
        <v>42.663144223484643</v>
      </c>
      <c r="D75" s="79">
        <f t="shared" si="8"/>
        <v>0.29250287662414176</v>
      </c>
      <c r="E75" s="21">
        <f>vbvisualmagnitude($B$2,vbastrodaysfromdt(A75))</f>
        <v>20.36123673216559</v>
      </c>
      <c r="F75" s="82">
        <f>vbapparentsize($B$2, vbastrodaysfromdt(A75))</f>
        <v>30.941798330977502</v>
      </c>
    </row>
    <row r="76" spans="1:6">
      <c r="A76" s="2">
        <f t="shared" si="5"/>
        <v>44521</v>
      </c>
      <c r="B76" s="79">
        <f t="shared" si="6"/>
        <v>4.7623414845271363E-2</v>
      </c>
      <c r="C76" s="81">
        <f t="shared" si="7"/>
        <v>61.788379430158763</v>
      </c>
      <c r="D76" s="79">
        <f t="shared" si="8"/>
        <v>4.7623414845271363E-2</v>
      </c>
      <c r="E76" s="21">
        <f>vbvisualmagnitude($B$2,vbastrodaysfromdt(A76))</f>
        <v>20.597831549859627</v>
      </c>
      <c r="F76" s="82">
        <f>vbapparentsize($B$2, vbastrodaysfromdt(A76))</f>
        <v>29.51105914420382</v>
      </c>
    </row>
    <row r="77" spans="1:6">
      <c r="A77" s="2">
        <f t="shared" si="5"/>
        <v>44541</v>
      </c>
      <c r="B77" s="79">
        <f t="shared" si="6"/>
        <v>0.74986705238873219</v>
      </c>
      <c r="C77" s="81">
        <f t="shared" si="7"/>
        <v>27.155335531293353</v>
      </c>
      <c r="D77" s="79">
        <f t="shared" si="8"/>
        <v>0.74986705238873219</v>
      </c>
      <c r="E77" s="21">
        <f>vbvisualmagnitude($B$2,vbastrodaysfromdt(A77))</f>
        <v>20.348444232625358</v>
      </c>
      <c r="F77" s="82">
        <f>vbapparentsize($B$2, vbastrodaysfromdt(A77))</f>
        <v>31.308125537401569</v>
      </c>
    </row>
    <row r="78" spans="1:6">
      <c r="A78" s="2">
        <f t="shared" si="5"/>
        <v>44561</v>
      </c>
      <c r="B78" s="79">
        <f t="shared" si="6"/>
        <v>0.40025573497845524</v>
      </c>
      <c r="C78" s="81">
        <f t="shared" si="7"/>
        <v>0</v>
      </c>
      <c r="D78" s="79">
        <f t="shared" si="8"/>
        <v>0</v>
      </c>
      <c r="E78" s="21">
        <f>vbvisualmagnitude($B$2,vbastrodaysfromdt(A78))</f>
        <v>20.126730893029368</v>
      </c>
      <c r="F78" s="82">
        <f>vbapparentsize($B$2, vbastrodaysfromdt(A78))</f>
        <v>32.916936801893549</v>
      </c>
    </row>
    <row r="79" spans="1:6">
      <c r="A79" s="2">
        <f t="shared" si="5"/>
        <v>44581</v>
      </c>
      <c r="B79" s="79">
        <f t="shared" si="6"/>
        <v>7.4864563840776638E-2</v>
      </c>
      <c r="C79" s="81">
        <f t="shared" si="7"/>
        <v>57.13667306623087</v>
      </c>
      <c r="D79" s="79">
        <f t="shared" si="8"/>
        <v>7.4864563840776638E-2</v>
      </c>
      <c r="E79" s="21">
        <f>vbvisualmagnitude($B$2,vbastrodaysfromdt(A79))</f>
        <v>20.483436119982432</v>
      </c>
      <c r="F79" s="82">
        <f>vbapparentsize($B$2, vbastrodaysfromdt(A79))</f>
        <v>30.19770074476666</v>
      </c>
    </row>
    <row r="80" spans="1:6">
      <c r="A80" s="2">
        <f t="shared" si="5"/>
        <v>44601</v>
      </c>
      <c r="B80" s="79">
        <f t="shared" si="6"/>
        <v>0.76299050491207987</v>
      </c>
      <c r="C80" s="81">
        <f t="shared" si="7"/>
        <v>56.160928241160704</v>
      </c>
      <c r="D80" s="79">
        <f t="shared" si="8"/>
        <v>0.76299050491207987</v>
      </c>
      <c r="E80" s="21">
        <f>vbvisualmagnitude($B$2,vbastrodaysfromdt(A80))</f>
        <v>20.580363874912717</v>
      </c>
      <c r="F80" s="82">
        <f>vbapparentsize($B$2, vbastrodaysfromdt(A80))</f>
        <v>29.541616864021925</v>
      </c>
    </row>
    <row r="81" spans="1:6">
      <c r="A81" s="2">
        <f t="shared" si="5"/>
        <v>44621</v>
      </c>
      <c r="B81" s="79">
        <f t="shared" si="6"/>
        <v>0.45802482441131787</v>
      </c>
      <c r="C81" s="81">
        <f t="shared" si="7"/>
        <v>0</v>
      </c>
      <c r="D81" s="79">
        <f t="shared" si="8"/>
        <v>0</v>
      </c>
      <c r="E81" s="21">
        <f>vbvisualmagnitude($B$2,vbastrodaysfromdt(A81))</f>
        <v>20.189024677314539</v>
      </c>
      <c r="F81" s="82">
        <f>vbapparentsize($B$2, vbastrodaysfromdt(A81))</f>
        <v>32.634755556818277</v>
      </c>
    </row>
    <row r="82" spans="1:6">
      <c r="A82" s="2">
        <f t="shared" si="5"/>
        <v>44641</v>
      </c>
      <c r="B82" s="79">
        <f t="shared" si="6"/>
        <v>9.9371600535236679E-2</v>
      </c>
      <c r="C82" s="81">
        <f t="shared" si="7"/>
        <v>0</v>
      </c>
      <c r="D82" s="79">
        <f t="shared" si="8"/>
        <v>0</v>
      </c>
      <c r="E82" s="21">
        <f>vbvisualmagnitude($B$2,vbastrodaysfromdt(A82))</f>
        <v>20.235759636689153</v>
      </c>
      <c r="F82" s="82">
        <f>vbapparentsize($B$2, vbastrodaysfromdt(A82))</f>
        <v>31.929214766690396</v>
      </c>
    </row>
    <row r="83" spans="1:6">
      <c r="A83" s="2">
        <f t="shared" si="5"/>
        <v>44661</v>
      </c>
      <c r="B83" s="79">
        <f t="shared" si="6"/>
        <v>0.78885129018135702</v>
      </c>
      <c r="C83" s="81">
        <f t="shared" si="7"/>
        <v>62.976055683715536</v>
      </c>
      <c r="D83" s="79">
        <f t="shared" si="8"/>
        <v>0.78885129018135702</v>
      </c>
      <c r="E83" s="21">
        <f>vbvisualmagnitude($B$2,vbastrodaysfromdt(A83))</f>
        <v>20.567062415927957</v>
      </c>
      <c r="F83" s="82">
        <f>vbapparentsize($B$2, vbastrodaysfromdt(A83))</f>
        <v>29.718514419654547</v>
      </c>
    </row>
    <row r="84" spans="1:6">
      <c r="A84" s="2">
        <f t="shared" si="5"/>
        <v>44681</v>
      </c>
      <c r="B84" s="79">
        <f t="shared" si="6"/>
        <v>0.47933712228014597</v>
      </c>
      <c r="C84" s="81">
        <f t="shared" si="7"/>
        <v>0</v>
      </c>
      <c r="D84" s="79">
        <f t="shared" si="8"/>
        <v>0</v>
      </c>
      <c r="E84" s="21">
        <f>vbvisualmagnitude($B$2,vbastrodaysfromdt(A84))</f>
        <v>20.489732552307917</v>
      </c>
      <c r="F84" s="82">
        <f>vbapparentsize($B$2, vbastrodaysfromdt(A84))</f>
        <v>30.120635687516476</v>
      </c>
    </row>
    <row r="85" spans="1:6">
      <c r="A85" s="2">
        <f t="shared" si="5"/>
        <v>44701</v>
      </c>
      <c r="B85" s="79">
        <f t="shared" si="6"/>
        <v>0.15660150877886045</v>
      </c>
      <c r="C85" s="81">
        <f t="shared" si="7"/>
        <v>0</v>
      </c>
      <c r="D85" s="79">
        <f t="shared" si="8"/>
        <v>0</v>
      </c>
      <c r="E85" s="21">
        <f>vbvisualmagnitude($B$2,vbastrodaysfromdt(A85))</f>
        <v>20.093844495280724</v>
      </c>
      <c r="F85" s="82">
        <f>vbapparentsize($B$2, vbastrodaysfromdt(A85))</f>
        <v>33.424218928886674</v>
      </c>
    </row>
    <row r="86" spans="1:6">
      <c r="A86" s="2">
        <f t="shared" si="5"/>
        <v>44721</v>
      </c>
      <c r="B86" s="79">
        <f t="shared" si="6"/>
        <v>0.80868520755488726</v>
      </c>
      <c r="C86" s="81">
        <f t="shared" si="7"/>
        <v>0</v>
      </c>
      <c r="D86" s="79">
        <f t="shared" si="8"/>
        <v>0</v>
      </c>
      <c r="E86" s="21">
        <f>vbvisualmagnitude($B$2,vbastrodaysfromdt(A86))</f>
        <v>20.382777927235722</v>
      </c>
      <c r="F86" s="82">
        <f>vbapparentsize($B$2, vbastrodaysfromdt(A86))</f>
        <v>30.805628492956444</v>
      </c>
    </row>
    <row r="87" spans="1:6">
      <c r="A87" s="2">
        <f t="shared" si="5"/>
        <v>44741</v>
      </c>
      <c r="B87" s="79">
        <f t="shared" si="6"/>
        <v>0.50371410783111614</v>
      </c>
      <c r="C87" s="81">
        <f t="shared" si="7"/>
        <v>0</v>
      </c>
      <c r="D87" s="79">
        <f t="shared" si="8"/>
        <v>0</v>
      </c>
      <c r="E87" s="21">
        <f>vbvisualmagnitude($B$2,vbastrodaysfromdt(A87))</f>
        <v>20.597391308614842</v>
      </c>
      <c r="F87" s="82">
        <f>vbapparentsize($B$2, vbastrodaysfromdt(A87))</f>
        <v>29.518306916673506</v>
      </c>
    </row>
    <row r="88" spans="1:6">
      <c r="A88" s="2">
        <f t="shared" si="5"/>
        <v>44761</v>
      </c>
      <c r="B88" s="79">
        <f t="shared" si="6"/>
        <v>0.19457189297678346</v>
      </c>
      <c r="C88" s="81">
        <f t="shared" si="7"/>
        <v>0</v>
      </c>
      <c r="D88" s="79">
        <f t="shared" si="8"/>
        <v>0</v>
      </c>
      <c r="E88" s="21">
        <f>vbvisualmagnitude($B$2,vbastrodaysfromdt(A88))</f>
        <v>20.341952005243282</v>
      </c>
      <c r="F88" s="82">
        <f>vbapparentsize($B$2, vbastrodaysfromdt(A88))</f>
        <v>31.230641726937371</v>
      </c>
    </row>
    <row r="89" spans="1:6">
      <c r="A89" s="2">
        <f t="shared" si="5"/>
        <v>44781</v>
      </c>
      <c r="B89" s="79">
        <f t="shared" si="6"/>
        <v>0.84992251416326525</v>
      </c>
      <c r="C89" s="81">
        <f t="shared" si="7"/>
        <v>0</v>
      </c>
      <c r="D89" s="79">
        <f t="shared" si="8"/>
        <v>0</v>
      </c>
      <c r="E89" s="21">
        <f>vbvisualmagnitude($B$2,vbastrodaysfromdt(A89))</f>
        <v>20.113618435053343</v>
      </c>
      <c r="F89" s="82">
        <f>vbapparentsize($B$2, vbastrodaysfromdt(A89))</f>
        <v>33.180237152797567</v>
      </c>
    </row>
    <row r="90" spans="1:6">
      <c r="A90" s="2">
        <f t="shared" si="5"/>
        <v>44801</v>
      </c>
      <c r="B90" s="79">
        <f t="shared" si="6"/>
        <v>0.5251112374536232</v>
      </c>
      <c r="C90" s="81">
        <f t="shared" si="7"/>
        <v>0</v>
      </c>
      <c r="D90" s="79">
        <f t="shared" si="8"/>
        <v>0</v>
      </c>
      <c r="E90" s="21">
        <f>vbvisualmagnitude($B$2,vbastrodaysfromdt(A90))</f>
        <v>20.509114645091113</v>
      </c>
      <c r="F90" s="82">
        <f>vbapparentsize($B$2, vbastrodaysfromdt(A90))</f>
        <v>29.979304143368363</v>
      </c>
    </row>
    <row r="91" spans="1:6">
      <c r="A91" s="2">
        <f t="shared" si="5"/>
        <v>44821</v>
      </c>
      <c r="B91" s="79">
        <f t="shared" si="6"/>
        <v>0.21679216247954791</v>
      </c>
      <c r="C91" s="81">
        <f t="shared" si="7"/>
        <v>62.590310455085728</v>
      </c>
      <c r="D91" s="79">
        <f t="shared" si="8"/>
        <v>0.21679216247954791</v>
      </c>
      <c r="E91" s="21">
        <f>vbvisualmagnitude($B$2,vbastrodaysfromdt(A91))</f>
        <v>20.56683058544737</v>
      </c>
      <c r="F91" s="82">
        <f>vbapparentsize($B$2, vbastrodaysfromdt(A91))</f>
        <v>29.646454685061485</v>
      </c>
    </row>
    <row r="92" spans="1:6">
      <c r="A92" s="2">
        <f t="shared" si="5"/>
        <v>44841</v>
      </c>
      <c r="B92" s="79">
        <f t="shared" si="6"/>
        <v>0.90526865565533809</v>
      </c>
      <c r="C92" s="81">
        <f t="shared" si="7"/>
        <v>0</v>
      </c>
      <c r="D92" s="79">
        <f t="shared" si="8"/>
        <v>0</v>
      </c>
      <c r="E92" s="21">
        <f>vbvisualmagnitude($B$2,vbastrodaysfromdt(A92))</f>
        <v>20.185531865901929</v>
      </c>
      <c r="F92" s="82">
        <f>vbapparentsize($B$2, vbastrodaysfromdt(A92))</f>
        <v>32.542681614332388</v>
      </c>
    </row>
    <row r="93" spans="1:6">
      <c r="A93" s="2">
        <f t="shared" si="5"/>
        <v>44861</v>
      </c>
      <c r="B93" s="79">
        <f t="shared" si="6"/>
        <v>0.54715758579020435</v>
      </c>
      <c r="C93" s="81">
        <f t="shared" si="7"/>
        <v>0</v>
      </c>
      <c r="D93" s="79">
        <f t="shared" si="8"/>
        <v>0</v>
      </c>
      <c r="E93" s="21">
        <f>vbvisualmagnitude($B$2,vbastrodaysfromdt(A93))</f>
        <v>20.235488517722338</v>
      </c>
      <c r="F93" s="82">
        <f>vbapparentsize($B$2, vbastrodaysfromdt(A93))</f>
        <v>32.08520225772255</v>
      </c>
    </row>
    <row r="94" spans="1:6">
      <c r="A94" s="2">
        <f t="shared" si="5"/>
        <v>44881</v>
      </c>
      <c r="B94" s="79">
        <f t="shared" si="6"/>
        <v>0.24342151436576698</v>
      </c>
      <c r="C94" s="81">
        <f t="shared" si="7"/>
        <v>58.324462836243768</v>
      </c>
      <c r="D94" s="79">
        <f t="shared" si="8"/>
        <v>0.24342151436576698</v>
      </c>
      <c r="E94" s="21">
        <f>vbvisualmagnitude($B$2,vbastrodaysfromdt(A94))</f>
        <v>20.582381832999669</v>
      </c>
      <c r="F94" s="82">
        <f>vbapparentsize($B$2, vbastrodaysfromdt(A94))</f>
        <v>29.577627195074871</v>
      </c>
    </row>
    <row r="95" spans="1:6">
      <c r="A95" s="2">
        <f t="shared" si="5"/>
        <v>44901</v>
      </c>
      <c r="B95" s="79">
        <f t="shared" si="6"/>
        <v>0.92834197085060888</v>
      </c>
      <c r="C95" s="81">
        <f t="shared" si="7"/>
        <v>56.026088306894906</v>
      </c>
      <c r="D95" s="79">
        <f t="shared" si="8"/>
        <v>0.92834197085060888</v>
      </c>
      <c r="E95" s="21">
        <f>vbvisualmagnitude($B$2,vbastrodaysfromdt(A95))</f>
        <v>20.474027439277688</v>
      </c>
      <c r="F95" s="82">
        <f>vbapparentsize($B$2, vbastrodaysfromdt(A95))</f>
        <v>30.193550587369785</v>
      </c>
    </row>
    <row r="96" spans="1:6">
      <c r="A96" s="2">
        <f t="shared" si="5"/>
        <v>44921</v>
      </c>
      <c r="B96" s="79">
        <f t="shared" si="6"/>
        <v>0.60642198978672701</v>
      </c>
      <c r="C96" s="81">
        <f t="shared" si="7"/>
        <v>0</v>
      </c>
      <c r="D96" s="79">
        <f t="shared" si="8"/>
        <v>0</v>
      </c>
      <c r="E96" s="21">
        <f>vbvisualmagnitude($B$2,vbastrodaysfromdt(A96))</f>
        <v>20.091956546736235</v>
      </c>
      <c r="F96" s="82">
        <f>vbapparentsize($B$2, vbastrodaysfromdt(A96))</f>
        <v>33.408109194476509</v>
      </c>
    </row>
    <row r="97" spans="1:6">
      <c r="A97" s="2">
        <f t="shared" si="5"/>
        <v>44941</v>
      </c>
      <c r="B97" s="79">
        <f t="shared" si="6"/>
        <v>0.25411780351433677</v>
      </c>
      <c r="C97" s="81">
        <f t="shared" si="7"/>
        <v>28.32568700352747</v>
      </c>
      <c r="D97" s="79">
        <f t="shared" si="8"/>
        <v>0.25411780351433677</v>
      </c>
      <c r="E97" s="21">
        <f>vbvisualmagnitude($B$2,vbastrodaysfromdt(A97))</f>
        <v>20.395082740104495</v>
      </c>
      <c r="F97" s="82">
        <f>vbapparentsize($B$2, vbastrodaysfromdt(A97))</f>
        <v>30.798441402388384</v>
      </c>
    </row>
    <row r="98" spans="1:6">
      <c r="A98" s="2">
        <f t="shared" si="5"/>
        <v>44961</v>
      </c>
      <c r="B98" s="79">
        <f t="shared" si="6"/>
        <v>0.96070999199180729</v>
      </c>
      <c r="C98" s="81">
        <f t="shared" si="7"/>
        <v>63.861623028192675</v>
      </c>
      <c r="D98" s="79">
        <f t="shared" si="8"/>
        <v>0.96070999199180729</v>
      </c>
      <c r="E98" s="21">
        <f>vbvisualmagnitude($B$2,vbastrodaysfromdt(A98))</f>
        <v>20.594229117073159</v>
      </c>
      <c r="F98" s="82">
        <f>vbapparentsize($B$2, vbastrodaysfromdt(A98))</f>
        <v>29.547309101313775</v>
      </c>
    </row>
    <row r="99" spans="1:6">
      <c r="A99" s="2">
        <f t="shared" si="5"/>
        <v>44981</v>
      </c>
      <c r="B99" s="79">
        <f t="shared" si="6"/>
        <v>0.63831872485997065</v>
      </c>
      <c r="C99" s="81">
        <f t="shared" si="7"/>
        <v>36.929552439689907</v>
      </c>
      <c r="D99" s="79">
        <f t="shared" si="8"/>
        <v>0.73206567432379888</v>
      </c>
      <c r="E99" s="21">
        <f>vbvisualmagnitude($B$2,vbastrodaysfromdt(A99))</f>
        <v>20.334088157051244</v>
      </c>
      <c r="F99" s="82">
        <f>vbapparentsize($B$2, vbastrodaysfromdt(A99))</f>
        <v>31.172073615690078</v>
      </c>
    </row>
    <row r="100" spans="1:6">
      <c r="A100" s="2">
        <f t="shared" si="5"/>
        <v>45001</v>
      </c>
      <c r="B100" s="79">
        <f t="shared" si="6"/>
        <v>0.29965694462193659</v>
      </c>
      <c r="C100" s="81">
        <f t="shared" si="7"/>
        <v>0</v>
      </c>
      <c r="D100" s="79">
        <f t="shared" si="8"/>
        <v>0</v>
      </c>
      <c r="E100" s="21">
        <f>vbvisualmagnitude($B$2,vbastrodaysfromdt(A100))</f>
        <v>20.11342702874029</v>
      </c>
      <c r="F100" s="82">
        <f>vbapparentsize($B$2, vbastrodaysfromdt(A100))</f>
        <v>33.265082166475501</v>
      </c>
    </row>
    <row r="101" spans="1:6">
      <c r="A101" s="2">
        <f t="shared" si="5"/>
        <v>45021</v>
      </c>
      <c r="B101" s="79">
        <f t="shared" si="6"/>
        <v>0.97088985459904087</v>
      </c>
      <c r="C101" s="81">
        <f t="shared" si="7"/>
        <v>0</v>
      </c>
      <c r="D101" s="79">
        <f t="shared" si="8"/>
        <v>0</v>
      </c>
      <c r="E101" s="21">
        <f>vbvisualmagnitude($B$2,vbastrodaysfromdt(A101))</f>
        <v>20.526516489686827</v>
      </c>
      <c r="F101" s="82">
        <f>vbapparentsize($B$2, vbastrodaysfromdt(A101))</f>
        <v>29.866316233751178</v>
      </c>
    </row>
    <row r="102" spans="1:6">
      <c r="A102" s="2">
        <f t="shared" ref="A102:A133" si="9">DATE(YEAR(A101), IF(unt="m",intvl,0)+MONTH(A101), IF(unt="m", 0,intvl)+DAY(A101))</f>
        <v>45041</v>
      </c>
      <c r="B102" s="79">
        <f t="shared" si="6"/>
        <v>0.6732739622799494</v>
      </c>
      <c r="C102" s="81">
        <f t="shared" si="7"/>
        <v>46.699805269736551</v>
      </c>
      <c r="D102" s="79">
        <f t="shared" si="8"/>
        <v>0.80379865190214994</v>
      </c>
      <c r="E102" s="21">
        <f>vbvisualmagnitude($B$2,vbastrodaysfromdt(A102))</f>
        <v>20.547431662533032</v>
      </c>
      <c r="F102" s="82">
        <f>vbapparentsize($B$2, vbastrodaysfromdt(A102))</f>
        <v>29.819632212066811</v>
      </c>
    </row>
    <row r="103" spans="1:6">
      <c r="A103" s="2">
        <f t="shared" si="9"/>
        <v>45061</v>
      </c>
      <c r="B103" s="79">
        <f t="shared" si="6"/>
        <v>0.34761462338838706</v>
      </c>
      <c r="C103" s="81">
        <f t="shared" si="7"/>
        <v>0</v>
      </c>
      <c r="D103" s="79">
        <f t="shared" si="8"/>
        <v>0</v>
      </c>
      <c r="E103" s="21">
        <f>vbvisualmagnitude($B$2,vbastrodaysfromdt(A103))</f>
        <v>20.190067882424955</v>
      </c>
      <c r="F103" s="82">
        <f>vbapparentsize($B$2, vbastrodaysfromdt(A103))</f>
        <v>32.34358293575059</v>
      </c>
    </row>
    <row r="104" spans="1:6">
      <c r="A104" s="2">
        <f t="shared" si="9"/>
        <v>45081</v>
      </c>
      <c r="B104" s="79">
        <f t="shared" si="6"/>
        <v>0.99527553871026819</v>
      </c>
      <c r="C104" s="81">
        <f t="shared" si="7"/>
        <v>0</v>
      </c>
      <c r="D104" s="79">
        <f t="shared" si="8"/>
        <v>0</v>
      </c>
      <c r="E104" s="21">
        <f>vbvisualmagnitude($B$2,vbastrodaysfromdt(A104))</f>
        <v>20.238736977831756</v>
      </c>
      <c r="F104" s="82">
        <f>vbapparentsize($B$2, vbastrodaysfromdt(A104))</f>
        <v>32.199050338789689</v>
      </c>
    </row>
    <row r="105" spans="1:6">
      <c r="A105" s="2">
        <f t="shared" si="9"/>
        <v>45101</v>
      </c>
      <c r="B105" s="79">
        <f t="shared" si="6"/>
        <v>0.69272643753387897</v>
      </c>
      <c r="C105" s="81">
        <f t="shared" si="7"/>
        <v>0</v>
      </c>
      <c r="D105" s="79">
        <f t="shared" si="8"/>
        <v>0</v>
      </c>
      <c r="E105" s="21">
        <f>vbvisualmagnitude($B$2,vbastrodaysfromdt(A105))</f>
        <v>20.593359660107428</v>
      </c>
      <c r="F105" s="82">
        <f>vbapparentsize($B$2, vbastrodaysfromdt(A105))</f>
        <v>29.484654972007924</v>
      </c>
    </row>
    <row r="106" spans="1:6">
      <c r="A106" s="2">
        <f t="shared" si="9"/>
        <v>45121</v>
      </c>
      <c r="B106" s="79">
        <f t="shared" si="6"/>
        <v>0.38127833485632578</v>
      </c>
      <c r="C106" s="81">
        <f t="shared" si="7"/>
        <v>0</v>
      </c>
      <c r="D106" s="79">
        <f t="shared" si="8"/>
        <v>0</v>
      </c>
      <c r="E106" s="21">
        <f>vbvisualmagnitude($B$2,vbastrodaysfromdt(A106))</f>
        <v>20.449563314939418</v>
      </c>
      <c r="F106" s="82">
        <f>vbapparentsize($B$2, vbastrodaysfromdt(A106))</f>
        <v>30.383570138618524</v>
      </c>
    </row>
    <row r="107" spans="1:6">
      <c r="A107" s="2">
        <f t="shared" si="9"/>
        <v>45141</v>
      </c>
      <c r="B107" s="79">
        <f t="shared" si="6"/>
        <v>5.322052228568689E-2</v>
      </c>
      <c r="C107" s="81">
        <f t="shared" si="7"/>
        <v>0</v>
      </c>
      <c r="D107" s="79">
        <f t="shared" si="8"/>
        <v>0</v>
      </c>
      <c r="E107" s="21">
        <f>vbvisualmagnitude($B$2,vbastrodaysfromdt(A107))</f>
        <v>20.106290506295263</v>
      </c>
      <c r="F107" s="82">
        <f>vbapparentsize($B$2, vbastrodaysfromdt(A107))</f>
        <v>33.165834538785418</v>
      </c>
    </row>
    <row r="108" spans="1:6">
      <c r="A108" s="2">
        <f t="shared" si="9"/>
        <v>45161</v>
      </c>
      <c r="B108" s="79">
        <f t="shared" si="6"/>
        <v>0.70089630183484652</v>
      </c>
      <c r="C108" s="81">
        <f t="shared" si="7"/>
        <v>0</v>
      </c>
      <c r="D108" s="79">
        <f t="shared" si="8"/>
        <v>0</v>
      </c>
      <c r="E108" s="21">
        <f>vbvisualmagnitude($B$2,vbastrodaysfromdt(A108))</f>
        <v>20.403060242478745</v>
      </c>
      <c r="F108" s="82">
        <f>vbapparentsize($B$2, vbastrodaysfromdt(A108))</f>
        <v>30.85174191769892</v>
      </c>
    </row>
    <row r="109" spans="1:6">
      <c r="A109" s="2">
        <f t="shared" si="9"/>
        <v>45181</v>
      </c>
      <c r="B109" s="79">
        <f t="shared" si="6"/>
        <v>0.41487718253131661</v>
      </c>
      <c r="C109" s="81">
        <f t="shared" si="7"/>
        <v>30.977881860853334</v>
      </c>
      <c r="D109" s="79">
        <f t="shared" si="8"/>
        <v>0.23327868251900072</v>
      </c>
      <c r="E109" s="21">
        <f>vbvisualmagnitude($B$2,vbastrodaysfromdt(A109))</f>
        <v>20.588822590845972</v>
      </c>
      <c r="F109" s="82">
        <f>vbapparentsize($B$2, vbastrodaysfromdt(A109))</f>
        <v>29.594749642738648</v>
      </c>
    </row>
    <row r="110" spans="1:6">
      <c r="A110" s="2">
        <f t="shared" si="9"/>
        <v>45201</v>
      </c>
      <c r="B110" s="79">
        <f t="shared" si="6"/>
        <v>8.6021081151261239E-2</v>
      </c>
      <c r="C110" s="81">
        <f t="shared" si="7"/>
        <v>54.717567350061046</v>
      </c>
      <c r="D110" s="79">
        <f t="shared" si="8"/>
        <v>8.6021081151261239E-2</v>
      </c>
      <c r="E110" s="21">
        <f>vbvisualmagnitude($B$2,vbastrodaysfromdt(A110))</f>
        <v>20.318905490613055</v>
      </c>
      <c r="F110" s="82">
        <f>vbapparentsize($B$2, vbastrodaysfromdt(A110))</f>
        <v>31.222234863306248</v>
      </c>
    </row>
    <row r="111" spans="1:6">
      <c r="A111" s="2">
        <f t="shared" si="9"/>
        <v>45221</v>
      </c>
      <c r="B111" s="79">
        <f t="shared" si="6"/>
        <v>0.75243066163383154</v>
      </c>
      <c r="C111" s="81">
        <f t="shared" si="7"/>
        <v>0</v>
      </c>
      <c r="D111" s="79">
        <f t="shared" si="8"/>
        <v>0</v>
      </c>
      <c r="E111" s="21">
        <f>vbvisualmagnitude($B$2,vbastrodaysfromdt(A111))</f>
        <v>20.130133550300663</v>
      </c>
      <c r="F111" s="82">
        <f>vbapparentsize($B$2, vbastrodaysfromdt(A111))</f>
        <v>33.110059375200045</v>
      </c>
    </row>
    <row r="112" spans="1:6">
      <c r="A112" s="2">
        <f t="shared" si="9"/>
        <v>45241</v>
      </c>
      <c r="B112" s="79">
        <f t="shared" si="6"/>
        <v>0.41645181416828775</v>
      </c>
      <c r="C112" s="81">
        <f t="shared" si="7"/>
        <v>20.525004034338991</v>
      </c>
      <c r="D112" s="79">
        <f t="shared" si="8"/>
        <v>0.30425887221134296</v>
      </c>
      <c r="E112" s="21">
        <f>vbvisualmagnitude($B$2,vbastrodaysfromdt(A112))</f>
        <v>20.537120751494061</v>
      </c>
      <c r="F112" s="82">
        <f>vbapparentsize($B$2, vbastrodaysfromdt(A112))</f>
        <v>29.837273866357634</v>
      </c>
    </row>
    <row r="113" spans="1:6">
      <c r="A113" s="2">
        <f t="shared" si="9"/>
        <v>45261</v>
      </c>
      <c r="B113" s="79">
        <f t="shared" si="6"/>
        <v>0.13126327816416636</v>
      </c>
      <c r="C113" s="81">
        <f t="shared" si="7"/>
        <v>64.453641557078981</v>
      </c>
      <c r="D113" s="79">
        <f t="shared" si="8"/>
        <v>0.13126327816416636</v>
      </c>
      <c r="E113" s="21">
        <f>vbvisualmagnitude($B$2,vbastrodaysfromdt(A113))</f>
        <v>20.52357969163965</v>
      </c>
      <c r="F113" s="82">
        <f>vbapparentsize($B$2, vbastrodaysfromdt(A113))</f>
        <v>30.043327373402349</v>
      </c>
    </row>
    <row r="114" spans="1:6">
      <c r="A114" s="2">
        <f t="shared" si="9"/>
        <v>45281</v>
      </c>
      <c r="B114" s="79">
        <f t="shared" si="6"/>
        <v>0.79076964892916102</v>
      </c>
      <c r="C114" s="81">
        <f t="shared" si="7"/>
        <v>41.941973647796708</v>
      </c>
      <c r="D114" s="79">
        <f t="shared" si="8"/>
        <v>0.79076964892916102</v>
      </c>
      <c r="E114" s="21">
        <f>vbvisualmagnitude($B$2,vbastrodaysfromdt(A114))</f>
        <v>20.194426679426648</v>
      </c>
      <c r="F114" s="82">
        <f>vbapparentsize($B$2, vbastrodaysfromdt(A114))</f>
        <v>32.16152908883209</v>
      </c>
    </row>
    <row r="115" spans="1:6">
      <c r="A115" s="2">
        <f t="shared" si="9"/>
        <v>45301</v>
      </c>
      <c r="B115" s="79">
        <f t="shared" si="6"/>
        <v>0.44819899021714615</v>
      </c>
      <c r="C115" s="81">
        <f t="shared" si="7"/>
        <v>0</v>
      </c>
      <c r="D115" s="79">
        <f t="shared" si="8"/>
        <v>0</v>
      </c>
      <c r="E115" s="21">
        <f>vbvisualmagnitude($B$2,vbastrodaysfromdt(A115))</f>
        <v>20.251924588522431</v>
      </c>
      <c r="F115" s="82">
        <f>vbapparentsize($B$2, vbastrodaysfromdt(A115))</f>
        <v>32.17096542774275</v>
      </c>
    </row>
    <row r="116" spans="1:6">
      <c r="A116" s="2">
        <f t="shared" si="9"/>
        <v>45321</v>
      </c>
      <c r="B116" s="79">
        <f t="shared" si="6"/>
        <v>0.13838502344156176</v>
      </c>
      <c r="C116" s="81">
        <f t="shared" si="7"/>
        <v>40.681055657869429</v>
      </c>
      <c r="D116" s="79">
        <f t="shared" si="8"/>
        <v>0.13838502344156176</v>
      </c>
      <c r="E116" s="21">
        <f>vbvisualmagnitude($B$2,vbastrodaysfromdt(A116))</f>
        <v>20.599835971662152</v>
      </c>
      <c r="F116" s="82">
        <f>vbapparentsize($B$2, vbastrodaysfromdt(A116))</f>
        <v>29.438295414305138</v>
      </c>
    </row>
    <row r="117" spans="1:6">
      <c r="A117" s="2">
        <f t="shared" si="9"/>
        <v>45341</v>
      </c>
      <c r="B117" s="79">
        <f t="shared" si="6"/>
        <v>0.83829131175204663</v>
      </c>
      <c r="C117" s="81">
        <f t="shared" si="7"/>
        <v>66.169404706969146</v>
      </c>
      <c r="D117" s="79">
        <f t="shared" si="8"/>
        <v>0.83829131175204663</v>
      </c>
      <c r="E117" s="21">
        <f>vbvisualmagnitude($B$2,vbastrodaysfromdt(A117))</f>
        <v>20.416199694317942</v>
      </c>
      <c r="F117" s="82">
        <f>vbapparentsize($B$2, vbastrodaysfromdt(A117))</f>
        <v>30.693052337182603</v>
      </c>
    </row>
    <row r="118" spans="1:6">
      <c r="A118" s="2">
        <f t="shared" si="9"/>
        <v>45361</v>
      </c>
      <c r="B118" s="79">
        <f t="shared" si="6"/>
        <v>0.49545593790480685</v>
      </c>
      <c r="C118" s="81">
        <f t="shared" si="7"/>
        <v>0</v>
      </c>
      <c r="D118" s="79">
        <f t="shared" si="8"/>
        <v>0</v>
      </c>
      <c r="E118" s="21">
        <f>vbvisualmagnitude($B$2,vbastrodaysfromdt(A118))</f>
        <v>20.129956372557281</v>
      </c>
      <c r="F118" s="82">
        <f>vbapparentsize($B$2, vbastrodaysfromdt(A118))</f>
        <v>32.803624785346607</v>
      </c>
    </row>
    <row r="119" spans="1:6">
      <c r="A119" s="2">
        <f t="shared" si="9"/>
        <v>45381</v>
      </c>
      <c r="B119" s="79">
        <f t="shared" si="6"/>
        <v>0.15019773826588204</v>
      </c>
      <c r="C119" s="81">
        <f t="shared" si="7"/>
        <v>0</v>
      </c>
      <c r="D119" s="79">
        <f t="shared" si="8"/>
        <v>0</v>
      </c>
      <c r="E119" s="21">
        <f>vbvisualmagnitude($B$2,vbastrodaysfromdt(A119))</f>
        <v>20.412280173835377</v>
      </c>
      <c r="F119" s="82">
        <f>vbapparentsize($B$2, vbastrodaysfromdt(A119))</f>
        <v>30.882174346896615</v>
      </c>
    </row>
    <row r="120" spans="1:6">
      <c r="A120" s="2">
        <f t="shared" si="9"/>
        <v>45401</v>
      </c>
      <c r="B120" s="79">
        <f t="shared" si="6"/>
        <v>0.8626434113825594</v>
      </c>
      <c r="C120" s="81">
        <f t="shared" si="7"/>
        <v>0</v>
      </c>
      <c r="D120" s="79">
        <f t="shared" si="8"/>
        <v>0</v>
      </c>
      <c r="E120" s="21">
        <f>vbvisualmagnitude($B$2,vbastrodaysfromdt(A120))</f>
        <v>20.582186347945843</v>
      </c>
      <c r="F120" s="82">
        <f>vbapparentsize($B$2, vbastrodaysfromdt(A120))</f>
        <v>29.644929221768379</v>
      </c>
    </row>
    <row r="121" spans="1:6">
      <c r="A121" s="2">
        <f t="shared" si="9"/>
        <v>45421</v>
      </c>
      <c r="B121" s="79">
        <f t="shared" si="6"/>
        <v>0.53696902464501195</v>
      </c>
      <c r="C121" s="81">
        <f t="shared" si="7"/>
        <v>10.662986102239499</v>
      </c>
      <c r="D121" s="79">
        <f t="shared" si="8"/>
        <v>0.82070528063010695</v>
      </c>
      <c r="E121" s="21">
        <f>vbvisualmagnitude($B$2,vbastrodaysfromdt(A121))</f>
        <v>20.292772862807212</v>
      </c>
      <c r="F121" s="82">
        <f>vbapparentsize($B$2, vbastrodaysfromdt(A121))</f>
        <v>31.434951830403566</v>
      </c>
    </row>
    <row r="122" spans="1:6">
      <c r="A122" s="2">
        <f t="shared" si="9"/>
        <v>45441</v>
      </c>
      <c r="B122" s="79">
        <f t="shared" si="6"/>
        <v>0.19967113959971214</v>
      </c>
      <c r="C122" s="81">
        <f t="shared" si="7"/>
        <v>0</v>
      </c>
      <c r="D122" s="79">
        <f t="shared" si="8"/>
        <v>0</v>
      </c>
      <c r="E122" s="21">
        <f>vbvisualmagnitude($B$2,vbastrodaysfromdt(A122))</f>
        <v>20.161696661879862</v>
      </c>
      <c r="F122" s="82">
        <f>vbapparentsize($B$2, vbastrodaysfromdt(A122))</f>
        <v>32.747780497897139</v>
      </c>
    </row>
    <row r="123" spans="1:6">
      <c r="A123" s="2">
        <f t="shared" si="9"/>
        <v>45461</v>
      </c>
      <c r="B123" s="79">
        <f t="shared" si="6"/>
        <v>0.8627755674100569</v>
      </c>
      <c r="C123" s="81">
        <f t="shared" si="7"/>
        <v>0</v>
      </c>
      <c r="D123" s="79">
        <f t="shared" si="8"/>
        <v>0</v>
      </c>
      <c r="E123" s="21">
        <f>vbvisualmagnitude($B$2,vbastrodaysfromdt(A123))</f>
        <v>20.544108818389454</v>
      </c>
      <c r="F123" s="82">
        <f>vbapparentsize($B$2, vbastrodaysfromdt(A123))</f>
        <v>29.848300883464017</v>
      </c>
    </row>
    <row r="124" spans="1:6">
      <c r="A124" s="2">
        <f t="shared" si="9"/>
        <v>45481</v>
      </c>
      <c r="B124" s="79">
        <f t="shared" si="6"/>
        <v>0.58361842337645065</v>
      </c>
      <c r="C124" s="81">
        <f t="shared" si="7"/>
        <v>0</v>
      </c>
      <c r="D124" s="79">
        <f t="shared" si="8"/>
        <v>0</v>
      </c>
      <c r="E124" s="21">
        <f>vbvisualmagnitude($B$2,vbastrodaysfromdt(A124))</f>
        <v>20.498564939859357</v>
      </c>
      <c r="F124" s="82">
        <f>vbapparentsize($B$2, vbastrodaysfromdt(A124))</f>
        <v>30.275360825370406</v>
      </c>
    </row>
    <row r="125" spans="1:6">
      <c r="A125" s="2">
        <f t="shared" si="9"/>
        <v>45501</v>
      </c>
      <c r="B125" s="79">
        <f t="shared" si="6"/>
        <v>0.23608422096225543</v>
      </c>
      <c r="C125" s="81">
        <f t="shared" si="7"/>
        <v>0</v>
      </c>
      <c r="D125" s="79">
        <f t="shared" si="8"/>
        <v>0</v>
      </c>
      <c r="E125" s="21">
        <f>vbvisualmagnitude($B$2,vbastrodaysfromdt(A125))</f>
        <v>20.191278183325512</v>
      </c>
      <c r="F125" s="82">
        <f>vbapparentsize($B$2, vbastrodaysfromdt(A125))</f>
        <v>32.10881347533374</v>
      </c>
    </row>
    <row r="126" spans="1:6">
      <c r="A126" s="2">
        <f t="shared" si="9"/>
        <v>45521</v>
      </c>
      <c r="B126" s="79">
        <f t="shared" si="6"/>
        <v>0.90229752374595851</v>
      </c>
      <c r="C126" s="81">
        <f t="shared" si="7"/>
        <v>0</v>
      </c>
      <c r="D126" s="79">
        <f t="shared" si="8"/>
        <v>0</v>
      </c>
      <c r="E126" s="21">
        <f>vbvisualmagnitude($B$2,vbastrodaysfromdt(A126))</f>
        <v>20.277946013198807</v>
      </c>
      <c r="F126" s="82">
        <f>vbapparentsize($B$2, vbastrodaysfromdt(A126))</f>
        <v>31.959724770843248</v>
      </c>
    </row>
    <row r="127" spans="1:6">
      <c r="A127" s="2">
        <f t="shared" si="9"/>
        <v>45541</v>
      </c>
      <c r="B127" s="79">
        <f t="shared" si="6"/>
        <v>0.58346910464517843</v>
      </c>
      <c r="C127" s="81">
        <f t="shared" si="7"/>
        <v>0</v>
      </c>
      <c r="D127" s="79">
        <f t="shared" si="8"/>
        <v>0</v>
      </c>
      <c r="E127" s="21">
        <f>vbvisualmagnitude($B$2,vbastrodaysfromdt(A127))</f>
        <v>20.603130805037377</v>
      </c>
      <c r="F127" s="82">
        <f>vbapparentsize($B$2, vbastrodaysfromdt(A127))</f>
        <v>29.423274513938583</v>
      </c>
    </row>
    <row r="128" spans="1:6">
      <c r="A128" s="2">
        <f t="shared" si="9"/>
        <v>45561</v>
      </c>
      <c r="B128" s="79">
        <f t="shared" si="6"/>
        <v>0.29579126184864046</v>
      </c>
      <c r="C128" s="81">
        <f t="shared" si="7"/>
        <v>62.096502549720682</v>
      </c>
      <c r="D128" s="79">
        <f t="shared" si="8"/>
        <v>0.24990293890145734</v>
      </c>
      <c r="E128" s="21">
        <f>vbvisualmagnitude($B$2,vbastrodaysfromdt(A128))</f>
        <v>20.37751567882016</v>
      </c>
      <c r="F128" s="82">
        <f>vbapparentsize($B$2, vbastrodaysfromdt(A128))</f>
        <v>31.078559074096148</v>
      </c>
    </row>
    <row r="129" spans="1:6">
      <c r="A129" s="2">
        <f t="shared" si="9"/>
        <v>45581</v>
      </c>
      <c r="B129" s="79">
        <f t="shared" si="6"/>
        <v>0.93898772221820603</v>
      </c>
      <c r="C129" s="81">
        <f t="shared" si="7"/>
        <v>37.619597188465725</v>
      </c>
      <c r="D129" s="79">
        <f t="shared" si="8"/>
        <v>0.93898772221820603</v>
      </c>
      <c r="E129" s="21">
        <f>vbvisualmagnitude($B$2,vbastrodaysfromdt(A129))</f>
        <v>20.153912557382064</v>
      </c>
      <c r="F129" s="82">
        <f>vbapparentsize($B$2, vbastrodaysfromdt(A129))</f>
        <v>32.462569663076245</v>
      </c>
    </row>
    <row r="130" spans="1:6">
      <c r="A130" s="2">
        <f t="shared" si="9"/>
        <v>45601</v>
      </c>
      <c r="B130" s="79">
        <f t="shared" si="6"/>
        <v>0.60570694640561584</v>
      </c>
      <c r="C130" s="81">
        <f t="shared" si="7"/>
        <v>0</v>
      </c>
      <c r="D130" s="79">
        <f t="shared" si="8"/>
        <v>0</v>
      </c>
      <c r="E130" s="21">
        <f>vbvisualmagnitude($B$2,vbastrodaysfromdt(A130))</f>
        <v>20.42731947459874</v>
      </c>
      <c r="F130" s="82">
        <f>vbapparentsize($B$2, vbastrodaysfromdt(A130))</f>
        <v>30.824415273943217</v>
      </c>
    </row>
    <row r="131" spans="1:6">
      <c r="A131" s="2">
        <f t="shared" si="9"/>
        <v>45621</v>
      </c>
      <c r="B131" s="79">
        <f t="shared" si="6"/>
        <v>0.30784390777034015</v>
      </c>
      <c r="C131" s="81">
        <f t="shared" si="7"/>
        <v>40.961722975320221</v>
      </c>
      <c r="D131" s="79">
        <f t="shared" si="8"/>
        <v>0.30784390777034015</v>
      </c>
      <c r="E131" s="21">
        <f>vbvisualmagnitude($B$2,vbastrodaysfromdt(A131))</f>
        <v>20.575764485257992</v>
      </c>
      <c r="F131" s="82">
        <f>vbapparentsize($B$2, vbastrodaysfromdt(A131))</f>
        <v>29.678563247898563</v>
      </c>
    </row>
    <row r="132" spans="1:6">
      <c r="A132" s="2">
        <f t="shared" si="9"/>
        <v>45641</v>
      </c>
      <c r="B132" s="79">
        <f t="shared" si="6"/>
        <v>0.99386018614794969</v>
      </c>
      <c r="C132" s="81">
        <f t="shared" si="7"/>
        <v>66.09216589678978</v>
      </c>
      <c r="D132" s="79">
        <f t="shared" si="8"/>
        <v>0.99386018614794969</v>
      </c>
      <c r="E132" s="21">
        <f>vbvisualmagnitude($B$2,vbastrodaysfromdt(A132))</f>
        <v>20.256286228106092</v>
      </c>
      <c r="F132" s="82">
        <f>vbapparentsize($B$2, vbastrodaysfromdt(A132))</f>
        <v>31.805929488744809</v>
      </c>
    </row>
    <row r="133" spans="1:6">
      <c r="A133" s="2">
        <f t="shared" si="9"/>
        <v>45661</v>
      </c>
      <c r="B133" s="79">
        <f t="shared" si="6"/>
        <v>0.64498593648927416</v>
      </c>
      <c r="C133" s="81">
        <f t="shared" si="7"/>
        <v>23.265653890081204</v>
      </c>
      <c r="D133" s="79">
        <f t="shared" si="8"/>
        <v>0.67215643101705558</v>
      </c>
      <c r="E133" s="21">
        <f>vbvisualmagnitude($B$2,vbastrodaysfromdt(A133))</f>
        <v>20.201065883307681</v>
      </c>
      <c r="F133" s="82">
        <f>vbapparentsize($B$2, vbastrodaysfromdt(A133))</f>
        <v>32.286420445795244</v>
      </c>
    </row>
    <row r="134" spans="1:6">
      <c r="A134" s="2">
        <f t="shared" ref="A134:A148" si="10">DATE(YEAR(A133), IF(unt="m",intvl,0)+MONTH(A133), IF(unt="m", 0,intvl)+DAY(A133))</f>
        <v>45681</v>
      </c>
      <c r="B134" s="79">
        <f t="shared" ref="B134:B148" si="11">vbTimeofTransit(B$2,$A134,$B$1, $C$1)/24</f>
        <v>0.31399871862197476</v>
      </c>
      <c r="C134" s="81">
        <f t="shared" ref="C134:C148" si="12">vbisvisible(B$2,A134,$B$1,$C$1,$C$2,"a")</f>
        <v>0</v>
      </c>
      <c r="D134" s="79">
        <f t="shared" ref="D134:D148" si="13">vbisvisible(B$2,A134,$B$1,$C$1,$C$2,2)</f>
        <v>0</v>
      </c>
      <c r="E134" s="21">
        <f>vbvisualmagnitude($B$2,vbastrodaysfromdt(A134))</f>
        <v>20.550600000237793</v>
      </c>
      <c r="F134" s="82">
        <f>vbapparentsize($B$2, vbastrodaysfromdt(A134))</f>
        <v>29.853222178521161</v>
      </c>
    </row>
    <row r="135" spans="1:6">
      <c r="A135" s="2">
        <f t="shared" si="10"/>
        <v>45701</v>
      </c>
      <c r="B135" s="79">
        <f t="shared" si="11"/>
        <v>3.0500448755324899E-2</v>
      </c>
      <c r="C135" s="81">
        <f t="shared" si="12"/>
        <v>51.230133030844144</v>
      </c>
      <c r="D135" s="79">
        <f t="shared" si="13"/>
        <v>3.0500448755324899E-2</v>
      </c>
      <c r="E135" s="21">
        <f>vbvisualmagnitude($B$2,vbastrodaysfromdt(A135))</f>
        <v>20.475990660285202</v>
      </c>
      <c r="F135" s="82">
        <f>vbapparentsize($B$2, vbastrodaysfromdt(A135))</f>
        <v>30.463030245597093</v>
      </c>
    </row>
    <row r="136" spans="1:6">
      <c r="A136" s="2">
        <f t="shared" si="10"/>
        <v>45721</v>
      </c>
      <c r="B136" s="79">
        <f t="shared" si="11"/>
        <v>0.68508421928172103</v>
      </c>
      <c r="C136" s="81">
        <f t="shared" si="12"/>
        <v>55.479705905587672</v>
      </c>
      <c r="D136" s="79">
        <f t="shared" si="13"/>
        <v>0.74389784966407779</v>
      </c>
      <c r="E136" s="21">
        <f>vbvisualmagnitude($B$2,vbastrodaysfromdt(A136))</f>
        <v>20.176439535242643</v>
      </c>
      <c r="F136" s="82">
        <f>vbapparentsize($B$2, vbastrodaysfromdt(A136))</f>
        <v>32.245243841820276</v>
      </c>
    </row>
    <row r="137" spans="1:6">
      <c r="A137" s="2">
        <f t="shared" si="10"/>
        <v>45741</v>
      </c>
      <c r="B137" s="79">
        <f t="shared" si="11"/>
        <v>0.35209400150630055</v>
      </c>
      <c r="C137" s="81">
        <f t="shared" si="12"/>
        <v>0</v>
      </c>
      <c r="D137" s="79">
        <f t="shared" si="13"/>
        <v>0</v>
      </c>
      <c r="E137" s="21">
        <f>vbvisualmagnitude($B$2,vbastrodaysfromdt(A137))</f>
        <v>20.314427770054753</v>
      </c>
      <c r="F137" s="82">
        <f>vbapparentsize($B$2, vbastrodaysfromdt(A137))</f>
        <v>31.598749116448289</v>
      </c>
    </row>
    <row r="138" spans="1:6">
      <c r="A138" s="2">
        <f t="shared" si="10"/>
        <v>45761</v>
      </c>
      <c r="B138" s="79">
        <f t="shared" si="11"/>
        <v>2.9937389376990156E-2</v>
      </c>
      <c r="C138" s="81">
        <f t="shared" si="12"/>
        <v>0</v>
      </c>
      <c r="D138" s="79">
        <f t="shared" si="13"/>
        <v>0</v>
      </c>
      <c r="E138" s="21">
        <f>vbvisualmagnitude($B$2,vbastrodaysfromdt(A138))</f>
        <v>20.604330732954651</v>
      </c>
      <c r="F138" s="82">
        <f>vbapparentsize($B$2, vbastrodaysfromdt(A138))</f>
        <v>29.422366795462882</v>
      </c>
    </row>
    <row r="139" spans="1:6">
      <c r="A139" s="2">
        <f t="shared" si="10"/>
        <v>45781</v>
      </c>
      <c r="B139" s="79">
        <f t="shared" si="11"/>
        <v>0.74631311374202502</v>
      </c>
      <c r="C139" s="81">
        <f t="shared" si="12"/>
        <v>0</v>
      </c>
      <c r="D139" s="79">
        <f t="shared" si="13"/>
        <v>0</v>
      </c>
      <c r="E139" s="21">
        <f>vbvisualmagnitude($B$2,vbastrodaysfromdt(A139))</f>
        <v>20.339265838155924</v>
      </c>
      <c r="F139" s="82">
        <f>vbapparentsize($B$2, vbastrodaysfromdt(A139))</f>
        <v>31.45940263872496</v>
      </c>
    </row>
    <row r="140" spans="1:6">
      <c r="A140" s="2">
        <f t="shared" si="10"/>
        <v>45801</v>
      </c>
      <c r="B140" s="79">
        <f t="shared" si="11"/>
        <v>0.38212722370583047</v>
      </c>
      <c r="C140" s="81">
        <f t="shared" si="12"/>
        <v>0</v>
      </c>
      <c r="D140" s="79">
        <f t="shared" si="13"/>
        <v>0</v>
      </c>
      <c r="E140" s="21">
        <f>vbvisualmagnitude($B$2,vbastrodaysfromdt(A140))</f>
        <v>20.170143268760572</v>
      </c>
      <c r="F140" s="82">
        <f>vbapparentsize($B$2, vbastrodaysfromdt(A140))</f>
        <v>32.260413158784068</v>
      </c>
    </row>
    <row r="141" spans="1:6">
      <c r="A141" s="2">
        <f t="shared" si="10"/>
        <v>45821</v>
      </c>
      <c r="B141" s="79">
        <f t="shared" si="11"/>
        <v>6.0828920225513783E-2</v>
      </c>
      <c r="C141" s="81">
        <f t="shared" si="12"/>
        <v>0</v>
      </c>
      <c r="D141" s="79">
        <f t="shared" si="13"/>
        <v>0</v>
      </c>
      <c r="E141" s="21">
        <f>vbvisualmagnitude($B$2,vbastrodaysfromdt(A141))</f>
        <v>20.449728198555658</v>
      </c>
      <c r="F141" s="82">
        <f>vbapparentsize($B$2, vbastrodaysfromdt(A141))</f>
        <v>30.656458067161147</v>
      </c>
    </row>
    <row r="142" spans="1:6">
      <c r="A142" s="2">
        <f t="shared" si="10"/>
        <v>45841</v>
      </c>
      <c r="B142" s="79">
        <f t="shared" si="11"/>
        <v>0.75160953098057537</v>
      </c>
      <c r="C142" s="81">
        <f t="shared" si="12"/>
        <v>0</v>
      </c>
      <c r="D142" s="79">
        <f t="shared" si="13"/>
        <v>0</v>
      </c>
      <c r="E142" s="21">
        <f>vbvisualmagnitude($B$2,vbastrodaysfromdt(A142))</f>
        <v>20.57040870864779</v>
      </c>
      <c r="F142" s="82">
        <f>vbapparentsize($B$2, vbastrodaysfromdt(A142))</f>
        <v>29.685956414816506</v>
      </c>
    </row>
    <row r="143" spans="1:6">
      <c r="A143" s="2">
        <f t="shared" si="10"/>
        <v>45861</v>
      </c>
      <c r="B143" s="79">
        <f t="shared" si="11"/>
        <v>0.44940550375781013</v>
      </c>
      <c r="C143" s="81">
        <f t="shared" si="12"/>
        <v>16.371034899595056</v>
      </c>
      <c r="D143" s="79">
        <f t="shared" si="13"/>
        <v>0.17797105850534342</v>
      </c>
      <c r="E143" s="21">
        <f>vbvisualmagnitude($B$2,vbastrodaysfromdt(A143))</f>
        <v>20.21466792900317</v>
      </c>
      <c r="F143" s="82">
        <f>vbapparentsize($B$2, vbastrodaysfromdt(A143))</f>
        <v>32.267497377470839</v>
      </c>
    </row>
    <row r="144" spans="1:6">
      <c r="A144" s="2">
        <f t="shared" si="10"/>
        <v>45881</v>
      </c>
      <c r="B144" s="79">
        <f t="shared" si="11"/>
        <v>8.902538730615682E-2</v>
      </c>
      <c r="C144" s="81">
        <f t="shared" si="12"/>
        <v>0</v>
      </c>
      <c r="D144" s="79">
        <f t="shared" si="13"/>
        <v>0</v>
      </c>
      <c r="E144" s="21">
        <f>vbvisualmagnitude($B$2,vbastrodaysfromdt(A144))</f>
        <v>20.239639801915796</v>
      </c>
      <c r="F144" s="82">
        <f>vbapparentsize($B$2, vbastrodaysfromdt(A144))</f>
        <v>31.857512084890413</v>
      </c>
    </row>
    <row r="145" spans="1:6">
      <c r="A145" s="2">
        <f t="shared" si="10"/>
        <v>45901</v>
      </c>
      <c r="B145" s="79">
        <f t="shared" si="11"/>
        <v>0.77035128233823169</v>
      </c>
      <c r="C145" s="81">
        <f t="shared" si="12"/>
        <v>0</v>
      </c>
      <c r="D145" s="79">
        <f t="shared" si="13"/>
        <v>0</v>
      </c>
      <c r="E145" s="21">
        <f>vbvisualmagnitude($B$2,vbastrodaysfromdt(A145))</f>
        <v>20.558943751304767</v>
      </c>
      <c r="F145" s="82">
        <f>vbapparentsize($B$2, vbastrodaysfromdt(A145))</f>
        <v>29.82223637934749</v>
      </c>
    </row>
    <row r="146" spans="1:6">
      <c r="A146" s="2">
        <f t="shared" si="10"/>
        <v>45921</v>
      </c>
      <c r="B146" s="79">
        <f t="shared" si="11"/>
        <v>0.47467293370470537</v>
      </c>
      <c r="C146" s="81">
        <f t="shared" si="12"/>
        <v>0</v>
      </c>
      <c r="D146" s="79">
        <f t="shared" si="13"/>
        <v>0</v>
      </c>
      <c r="E146" s="21">
        <f>vbvisualmagnitude($B$2,vbastrodaysfromdt(A146))</f>
        <v>20.458905833194489</v>
      </c>
      <c r="F146" s="82">
        <f>vbapparentsize($B$2, vbastrodaysfromdt(A146))</f>
        <v>30.566356337913511</v>
      </c>
    </row>
    <row r="147" spans="1:6">
      <c r="A147" s="2">
        <f t="shared" si="10"/>
        <v>45941</v>
      </c>
      <c r="B147" s="79">
        <f t="shared" si="11"/>
        <v>0.14012469582621292</v>
      </c>
      <c r="C147" s="81">
        <f t="shared" si="12"/>
        <v>65.03267922352191</v>
      </c>
      <c r="D147" s="79">
        <f t="shared" si="13"/>
        <v>0.14012469582621292</v>
      </c>
      <c r="E147" s="21">
        <f>vbvisualmagnitude($B$2,vbastrodaysfromdt(A147))</f>
        <v>20.151197135106408</v>
      </c>
      <c r="F147" s="82">
        <f>vbapparentsize($B$2, vbastrodaysfromdt(A147))</f>
        <v>32.557546901189298</v>
      </c>
    </row>
    <row r="148" spans="1:6">
      <c r="A148" s="2">
        <f t="shared" si="10"/>
        <v>45961</v>
      </c>
      <c r="B148" s="79">
        <f t="shared" si="11"/>
        <v>0.80072411432656632</v>
      </c>
      <c r="C148" s="81">
        <f t="shared" si="12"/>
        <v>0</v>
      </c>
      <c r="D148" s="79">
        <f t="shared" si="13"/>
        <v>0</v>
      </c>
      <c r="E148" s="21">
        <f>vbvisualmagnitude($B$2,vbastrodaysfromdt(A148))</f>
        <v>20.355588277389987</v>
      </c>
      <c r="F148" s="82">
        <f>vbapparentsize($B$2, vbastrodaysfromdt(A148))</f>
        <v>31.175752121708367</v>
      </c>
    </row>
    <row r="149" spans="1:6">
      <c r="A149" s="2"/>
      <c r="B149" s="79"/>
      <c r="C149" s="81"/>
    </row>
    <row r="150" spans="1:6">
      <c r="A150" s="2"/>
      <c r="B150" s="79"/>
      <c r="C150" s="81"/>
    </row>
    <row r="151" spans="1:6">
      <c r="A151" s="2"/>
      <c r="B151" s="79"/>
      <c r="C151" s="81"/>
    </row>
    <row r="152" spans="1:6">
      <c r="A152" s="2"/>
      <c r="B152" s="79"/>
      <c r="C152" s="81"/>
    </row>
    <row r="153" spans="1:6">
      <c r="A153" s="2"/>
      <c r="B153" s="79"/>
      <c r="C153" s="81"/>
    </row>
    <row r="154" spans="1:6">
      <c r="A154" s="2"/>
      <c r="B154" s="21"/>
    </row>
    <row r="155" spans="1:6">
      <c r="A155" s="2"/>
      <c r="B155" s="21"/>
    </row>
    <row r="156" spans="1:6">
      <c r="A156" s="2"/>
      <c r="B156" s="21"/>
    </row>
    <row r="157" spans="1:6">
      <c r="A157" s="2"/>
      <c r="B157" s="21"/>
    </row>
    <row r="158" spans="1:6">
      <c r="A158" s="2"/>
      <c r="B158" s="21"/>
    </row>
    <row r="159" spans="1:6">
      <c r="A159" s="2"/>
      <c r="B159" s="21"/>
    </row>
    <row r="160" spans="1:6">
      <c r="A160" s="2"/>
      <c r="B160" s="21"/>
    </row>
    <row r="161" spans="1:2">
      <c r="A161" s="2"/>
      <c r="B161" s="21"/>
    </row>
    <row r="162" spans="1:2">
      <c r="A162" s="2"/>
      <c r="B162" s="21"/>
    </row>
    <row r="163" spans="1:2">
      <c r="A163" s="2"/>
      <c r="B163" s="21"/>
    </row>
    <row r="164" spans="1:2">
      <c r="A164" s="2"/>
      <c r="B164" s="21"/>
    </row>
    <row r="165" spans="1:2">
      <c r="A165" s="2"/>
      <c r="B165" s="21"/>
    </row>
    <row r="166" spans="1:2">
      <c r="A166" s="2"/>
      <c r="B166" s="21"/>
    </row>
    <row r="167" spans="1:2">
      <c r="A167" s="2"/>
      <c r="B167" s="21"/>
    </row>
    <row r="168" spans="1:2">
      <c r="A168" s="2"/>
      <c r="B168" s="21"/>
    </row>
    <row r="169" spans="1:2">
      <c r="A169" s="2"/>
      <c r="B169" s="21"/>
    </row>
    <row r="170" spans="1:2">
      <c r="A170" s="2"/>
      <c r="B170" s="21"/>
    </row>
    <row r="171" spans="1:2">
      <c r="A171" s="2"/>
      <c r="B171" s="21"/>
    </row>
    <row r="172" spans="1:2">
      <c r="A172" s="2"/>
      <c r="B172" s="21"/>
    </row>
    <row r="173" spans="1:2">
      <c r="A173" s="2"/>
      <c r="B173" s="21"/>
    </row>
    <row r="174" spans="1:2">
      <c r="A174" s="2"/>
      <c r="B174" s="21"/>
    </row>
    <row r="175" spans="1:2">
      <c r="A175" s="2"/>
      <c r="B175" s="21"/>
    </row>
    <row r="176" spans="1:2">
      <c r="A176" s="2"/>
      <c r="B176" s="21"/>
    </row>
    <row r="177" spans="1:2">
      <c r="A177" s="2"/>
      <c r="B177" s="21"/>
    </row>
    <row r="178" spans="1:2">
      <c r="A178" s="2"/>
      <c r="B178" s="21"/>
    </row>
    <row r="179" spans="1:2">
      <c r="A179" s="2"/>
      <c r="B179" s="21"/>
    </row>
    <row r="180" spans="1:2">
      <c r="A180" s="2"/>
      <c r="B180" s="21"/>
    </row>
    <row r="181" spans="1:2">
      <c r="A181" s="2"/>
      <c r="B181" s="21"/>
    </row>
    <row r="182" spans="1:2">
      <c r="A182" s="2"/>
      <c r="B182" s="21"/>
    </row>
    <row r="183" spans="1:2">
      <c r="A183" s="2"/>
      <c r="B183" s="21"/>
    </row>
    <row r="184" spans="1:2">
      <c r="A184" s="2"/>
      <c r="B184" s="21"/>
    </row>
    <row r="185" spans="1:2">
      <c r="A185" s="2"/>
      <c r="B185" s="21"/>
    </row>
    <row r="186" spans="1:2">
      <c r="A186" s="2"/>
      <c r="B186" s="21"/>
    </row>
    <row r="187" spans="1:2">
      <c r="A187" s="2"/>
      <c r="B187" s="21"/>
    </row>
    <row r="188" spans="1:2">
      <c r="A188" s="2"/>
      <c r="B188" s="21"/>
    </row>
    <row r="189" spans="1:2">
      <c r="A189" s="2"/>
      <c r="B189" s="21"/>
    </row>
    <row r="190" spans="1:2">
      <c r="A190" s="2"/>
      <c r="B190" s="21"/>
    </row>
    <row r="191" spans="1:2">
      <c r="A191" s="2"/>
      <c r="B191" s="21"/>
    </row>
    <row r="192" spans="1:2">
      <c r="A192" s="2"/>
      <c r="B192" s="21"/>
    </row>
    <row r="193" spans="1:2">
      <c r="A193" s="2"/>
      <c r="B193" s="21"/>
    </row>
    <row r="194" spans="1:2">
      <c r="A194" s="2"/>
      <c r="B194" s="21"/>
    </row>
    <row r="195" spans="1:2">
      <c r="A195" s="2"/>
      <c r="B195" s="21"/>
    </row>
    <row r="196" spans="1:2">
      <c r="A196" s="2"/>
      <c r="B196" s="21"/>
    </row>
    <row r="197" spans="1:2">
      <c r="A197" s="2"/>
      <c r="B197" s="21"/>
    </row>
    <row r="198" spans="1:2">
      <c r="A198" s="2"/>
      <c r="B198" s="21"/>
    </row>
    <row r="199" spans="1:2">
      <c r="A199" s="2"/>
      <c r="B199" s="21"/>
    </row>
    <row r="200" spans="1:2">
      <c r="A200" s="2"/>
      <c r="B200" s="21"/>
    </row>
    <row r="201" spans="1:2">
      <c r="A201" s="2"/>
      <c r="B201" s="21"/>
    </row>
    <row r="202" spans="1:2">
      <c r="A202" s="2"/>
      <c r="B202" s="21"/>
    </row>
    <row r="203" spans="1:2">
      <c r="A203" s="2"/>
      <c r="B203" s="21"/>
    </row>
    <row r="204" spans="1:2">
      <c r="A204" s="2"/>
      <c r="B204" s="21"/>
    </row>
    <row r="205" spans="1:2">
      <c r="A205" s="2"/>
      <c r="B205" s="21"/>
    </row>
    <row r="206" spans="1:2">
      <c r="A206" s="2"/>
      <c r="B206" s="21"/>
    </row>
    <row r="207" spans="1:2">
      <c r="A207" s="2"/>
      <c r="B207" s="21"/>
    </row>
    <row r="208" spans="1:2">
      <c r="A208" s="2"/>
      <c r="B208" s="21"/>
    </row>
    <row r="209" spans="1:2">
      <c r="A209" s="2"/>
      <c r="B209" s="21"/>
    </row>
    <row r="210" spans="1:2">
      <c r="A210" s="2"/>
      <c r="B210" s="21"/>
    </row>
    <row r="211" spans="1:2">
      <c r="A211" s="2"/>
      <c r="B211" s="21"/>
    </row>
    <row r="212" spans="1:2">
      <c r="A212" s="2"/>
      <c r="B212" s="21"/>
    </row>
    <row r="213" spans="1:2">
      <c r="A213" s="2"/>
      <c r="B213" s="21"/>
    </row>
    <row r="214" spans="1:2">
      <c r="A214" s="2"/>
      <c r="B214" s="21"/>
    </row>
    <row r="215" spans="1:2">
      <c r="A215" s="2"/>
      <c r="B215" s="21"/>
    </row>
    <row r="216" spans="1:2">
      <c r="A216" s="2"/>
      <c r="B216" s="21"/>
    </row>
    <row r="217" spans="1:2">
      <c r="A217" s="2"/>
      <c r="B217" s="21"/>
    </row>
    <row r="218" spans="1:2">
      <c r="A218" s="2"/>
      <c r="B218" s="21"/>
    </row>
    <row r="219" spans="1:2">
      <c r="A219" s="2"/>
      <c r="B219" s="21"/>
    </row>
    <row r="220" spans="1:2">
      <c r="A220" s="2"/>
      <c r="B220" s="21"/>
    </row>
    <row r="221" spans="1:2">
      <c r="A221" s="2"/>
      <c r="B221" s="21"/>
    </row>
    <row r="222" spans="1:2">
      <c r="A222" s="2"/>
      <c r="B222" s="21"/>
    </row>
    <row r="223" spans="1:2">
      <c r="A223" s="2"/>
      <c r="B223" s="21"/>
    </row>
    <row r="224" spans="1:2">
      <c r="A224" s="2"/>
      <c r="B224" s="21"/>
    </row>
    <row r="225" spans="1:2">
      <c r="A225" s="2"/>
      <c r="B225" s="21"/>
    </row>
    <row r="226" spans="1:2">
      <c r="A226" s="2"/>
      <c r="B226" s="21"/>
    </row>
    <row r="227" spans="1:2">
      <c r="A227" s="2"/>
      <c r="B227" s="21"/>
    </row>
    <row r="228" spans="1:2">
      <c r="A228" s="2"/>
      <c r="B228" s="21"/>
    </row>
    <row r="229" spans="1:2">
      <c r="A229" s="2"/>
      <c r="B229" s="21"/>
    </row>
    <row r="230" spans="1:2">
      <c r="A230" s="2"/>
      <c r="B230" s="21"/>
    </row>
    <row r="231" spans="1:2">
      <c r="A231" s="2"/>
      <c r="B231" s="21"/>
    </row>
    <row r="232" spans="1:2">
      <c r="A232" s="2"/>
      <c r="B232" s="21"/>
    </row>
    <row r="233" spans="1:2">
      <c r="A233" s="2"/>
      <c r="B233" s="21"/>
    </row>
    <row r="234" spans="1:2">
      <c r="A234" s="2"/>
      <c r="B234" s="21"/>
    </row>
    <row r="235" spans="1:2">
      <c r="A235" s="2"/>
      <c r="B235" s="21"/>
    </row>
    <row r="236" spans="1:2">
      <c r="A236" s="2"/>
      <c r="B236" s="21"/>
    </row>
    <row r="237" spans="1:2">
      <c r="A237" s="2"/>
      <c r="B237" s="21"/>
    </row>
    <row r="238" spans="1:2">
      <c r="A238" s="2"/>
      <c r="B238" s="21"/>
    </row>
    <row r="239" spans="1:2">
      <c r="A239" s="2"/>
      <c r="B239" s="21"/>
    </row>
    <row r="240" spans="1:2">
      <c r="A240" s="2"/>
      <c r="B240" s="21"/>
    </row>
    <row r="241" spans="1:2">
      <c r="A241" s="2"/>
      <c r="B241" s="21"/>
    </row>
    <row r="242" spans="1:2">
      <c r="A242" s="2"/>
      <c r="B242" s="21"/>
    </row>
    <row r="243" spans="1:2">
      <c r="A243" s="2"/>
      <c r="B243" s="21"/>
    </row>
    <row r="244" spans="1:2">
      <c r="A244" s="2"/>
      <c r="B244" s="21"/>
    </row>
    <row r="245" spans="1:2">
      <c r="A245" s="2"/>
      <c r="B245" s="21"/>
    </row>
    <row r="246" spans="1:2">
      <c r="A246" s="2"/>
      <c r="B246" s="21"/>
    </row>
    <row r="247" spans="1:2">
      <c r="A247" s="2"/>
      <c r="B247" s="21"/>
    </row>
    <row r="248" spans="1:2">
      <c r="A248" s="2"/>
      <c r="B248" s="21"/>
    </row>
    <row r="249" spans="1:2">
      <c r="A249" s="2"/>
      <c r="B249" s="21"/>
    </row>
    <row r="250" spans="1:2">
      <c r="A250" s="2"/>
      <c r="B250" s="21"/>
    </row>
    <row r="251" spans="1:2">
      <c r="A251" s="2"/>
      <c r="B251" s="21"/>
    </row>
    <row r="252" spans="1:2">
      <c r="A252" s="2"/>
      <c r="B252" s="21"/>
    </row>
    <row r="253" spans="1:2">
      <c r="A253" s="2"/>
      <c r="B253" s="21"/>
    </row>
    <row r="254" spans="1:2">
      <c r="A254" s="2"/>
      <c r="B254" s="21"/>
    </row>
    <row r="255" spans="1:2">
      <c r="A255" s="2"/>
      <c r="B255" s="21"/>
    </row>
    <row r="256" spans="1:2">
      <c r="A256" s="2"/>
      <c r="B256" s="21"/>
    </row>
    <row r="257" spans="1:2">
      <c r="A257" s="2"/>
      <c r="B257" s="21"/>
    </row>
    <row r="258" spans="1:2">
      <c r="A258" s="2"/>
      <c r="B258" s="21"/>
    </row>
    <row r="259" spans="1:2">
      <c r="A259" s="2"/>
      <c r="B259" s="21"/>
    </row>
    <row r="260" spans="1:2">
      <c r="A260" s="2"/>
      <c r="B260" s="21"/>
    </row>
    <row r="261" spans="1:2">
      <c r="A261" s="2"/>
      <c r="B261" s="21"/>
    </row>
    <row r="262" spans="1:2">
      <c r="A262" s="2"/>
      <c r="B262" s="21"/>
    </row>
    <row r="263" spans="1:2">
      <c r="A263" s="2"/>
      <c r="B263" s="21"/>
    </row>
    <row r="264" spans="1:2">
      <c r="A264" s="2"/>
      <c r="B264" s="21"/>
    </row>
    <row r="265" spans="1:2">
      <c r="A265" s="2"/>
      <c r="B265" s="21"/>
    </row>
    <row r="266" spans="1:2">
      <c r="A266" s="2"/>
      <c r="B266" s="21"/>
    </row>
    <row r="267" spans="1:2">
      <c r="A267" s="2"/>
      <c r="B267" s="21"/>
    </row>
    <row r="268" spans="1:2">
      <c r="A268" s="2"/>
      <c r="B268" s="21"/>
    </row>
    <row r="269" spans="1:2">
      <c r="A269" s="2"/>
      <c r="B269" s="21"/>
    </row>
    <row r="270" spans="1:2">
      <c r="A270" s="2"/>
      <c r="B270" s="21"/>
    </row>
    <row r="271" spans="1:2">
      <c r="A271" s="2"/>
      <c r="B271" s="21"/>
    </row>
    <row r="272" spans="1:2">
      <c r="A272" s="2"/>
      <c r="B272" s="21"/>
    </row>
    <row r="273" spans="1:2">
      <c r="A273" s="2"/>
      <c r="B273" s="21"/>
    </row>
    <row r="274" spans="1:2">
      <c r="A274" s="2"/>
      <c r="B274" s="21"/>
    </row>
    <row r="275" spans="1:2">
      <c r="A275" s="2"/>
      <c r="B275" s="21"/>
    </row>
    <row r="276" spans="1:2">
      <c r="A276" s="2"/>
      <c r="B276" s="21"/>
    </row>
    <row r="277" spans="1:2">
      <c r="A277" s="2"/>
      <c r="B277" s="21"/>
    </row>
    <row r="278" spans="1:2">
      <c r="A278" s="2"/>
      <c r="B278" s="21"/>
    </row>
    <row r="279" spans="1:2">
      <c r="A279" s="2"/>
      <c r="B279" s="21"/>
    </row>
    <row r="280" spans="1:2">
      <c r="A280" s="2"/>
      <c r="B280" s="21"/>
    </row>
    <row r="281" spans="1:2">
      <c r="A281" s="2"/>
      <c r="B281" s="21"/>
    </row>
    <row r="282" spans="1:2">
      <c r="A282" s="2"/>
      <c r="B282" s="21"/>
    </row>
    <row r="283" spans="1:2">
      <c r="A283" s="2"/>
      <c r="B283" s="21"/>
    </row>
    <row r="284" spans="1:2">
      <c r="A284" s="2"/>
      <c r="B284" s="21"/>
    </row>
    <row r="285" spans="1:2">
      <c r="A285" s="2"/>
      <c r="B285" s="21"/>
    </row>
    <row r="286" spans="1:2">
      <c r="A286" s="2"/>
      <c r="B286" s="21"/>
    </row>
    <row r="287" spans="1:2">
      <c r="A287" s="2"/>
      <c r="B287" s="21"/>
    </row>
    <row r="288" spans="1:2">
      <c r="A288" s="2"/>
      <c r="B288" s="21"/>
    </row>
    <row r="289" spans="1:2">
      <c r="A289" s="2"/>
      <c r="B289" s="21"/>
    </row>
    <row r="290" spans="1:2">
      <c r="A290" s="2"/>
      <c r="B290" s="21"/>
    </row>
    <row r="291" spans="1:2">
      <c r="A291" s="2"/>
      <c r="B291" s="21"/>
    </row>
    <row r="292" spans="1:2">
      <c r="A292" s="2"/>
      <c r="B292" s="21"/>
    </row>
    <row r="293" spans="1:2">
      <c r="A293" s="2"/>
      <c r="B293" s="21"/>
    </row>
    <row r="294" spans="1:2">
      <c r="A294" s="2"/>
      <c r="B294" s="21"/>
    </row>
    <row r="295" spans="1:2">
      <c r="A295" s="2"/>
      <c r="B295" s="21"/>
    </row>
    <row r="296" spans="1:2">
      <c r="A296" s="2"/>
      <c r="B296" s="21"/>
    </row>
    <row r="297" spans="1:2">
      <c r="A297" s="2"/>
      <c r="B297" s="21"/>
    </row>
    <row r="298" spans="1:2">
      <c r="A298" s="2"/>
      <c r="B298" s="21"/>
    </row>
    <row r="299" spans="1:2">
      <c r="A299" s="2"/>
      <c r="B299" s="21"/>
    </row>
    <row r="300" spans="1:2">
      <c r="A300" s="2"/>
      <c r="B300" s="21"/>
    </row>
    <row r="301" spans="1:2">
      <c r="A301" s="2"/>
      <c r="B301" s="21"/>
    </row>
    <row r="302" spans="1:2">
      <c r="A302" s="2"/>
      <c r="B302" s="21"/>
    </row>
    <row r="303" spans="1:2">
      <c r="A303" s="2"/>
      <c r="B303" s="21"/>
    </row>
    <row r="304" spans="1:2">
      <c r="A304" s="2"/>
      <c r="B304" s="21"/>
    </row>
    <row r="305" spans="1:2">
      <c r="A305" s="2"/>
      <c r="B305" s="21"/>
    </row>
    <row r="306" spans="1:2">
      <c r="A306" s="2"/>
      <c r="B306" s="21"/>
    </row>
    <row r="307" spans="1:2">
      <c r="A307" s="2"/>
      <c r="B307" s="21"/>
    </row>
    <row r="308" spans="1:2">
      <c r="A308" s="2"/>
      <c r="B308" s="21"/>
    </row>
    <row r="309" spans="1:2">
      <c r="A309" s="2"/>
      <c r="B309" s="21"/>
    </row>
    <row r="310" spans="1:2">
      <c r="A310" s="2"/>
      <c r="B310" s="21"/>
    </row>
    <row r="311" spans="1:2">
      <c r="A311" s="2"/>
      <c r="B311" s="21"/>
    </row>
    <row r="312" spans="1:2">
      <c r="A312" s="2"/>
      <c r="B312" s="21"/>
    </row>
    <row r="313" spans="1:2">
      <c r="A313" s="2"/>
      <c r="B313" s="21"/>
    </row>
    <row r="314" spans="1:2">
      <c r="A314" s="2"/>
      <c r="B314" s="21"/>
    </row>
    <row r="315" spans="1:2">
      <c r="A315" s="2"/>
      <c r="B315" s="21"/>
    </row>
    <row r="316" spans="1:2">
      <c r="A316" s="2"/>
      <c r="B316" s="21"/>
    </row>
    <row r="317" spans="1:2">
      <c r="A317" s="2"/>
      <c r="B317" s="21"/>
    </row>
    <row r="318" spans="1:2">
      <c r="A318" s="2"/>
      <c r="B318" s="21"/>
    </row>
    <row r="319" spans="1:2">
      <c r="A319" s="2"/>
      <c r="B319" s="21"/>
    </row>
    <row r="320" spans="1:2">
      <c r="A320" s="2"/>
      <c r="B320" s="21"/>
    </row>
    <row r="321" spans="1:2">
      <c r="A321" s="2"/>
      <c r="B321" s="21"/>
    </row>
    <row r="322" spans="1:2">
      <c r="A322" s="2"/>
      <c r="B322" s="21"/>
    </row>
    <row r="323" spans="1:2">
      <c r="A323" s="2"/>
      <c r="B323" s="21"/>
    </row>
    <row r="324" spans="1:2">
      <c r="A324" s="2"/>
      <c r="B324" s="21"/>
    </row>
    <row r="325" spans="1:2">
      <c r="A325" s="2"/>
      <c r="B325" s="21"/>
    </row>
    <row r="326" spans="1:2">
      <c r="A326" s="2"/>
      <c r="B326" s="21"/>
    </row>
    <row r="327" spans="1:2">
      <c r="A327" s="2"/>
      <c r="B327" s="21"/>
    </row>
    <row r="328" spans="1:2">
      <c r="A328" s="2"/>
      <c r="B328" s="21"/>
    </row>
    <row r="329" spans="1:2">
      <c r="A329" s="2"/>
      <c r="B329" s="21"/>
    </row>
    <row r="330" spans="1:2">
      <c r="A330" s="2"/>
      <c r="B330" s="21"/>
    </row>
    <row r="331" spans="1:2">
      <c r="A331" s="2"/>
      <c r="B331" s="21"/>
    </row>
    <row r="332" spans="1:2">
      <c r="A332" s="2"/>
      <c r="B332" s="21"/>
    </row>
    <row r="333" spans="1:2">
      <c r="A333" s="2"/>
      <c r="B333" s="21"/>
    </row>
    <row r="334" spans="1:2">
      <c r="A334" s="2"/>
      <c r="B334" s="21"/>
    </row>
    <row r="335" spans="1:2">
      <c r="A335" s="2"/>
      <c r="B335" s="21"/>
    </row>
    <row r="336" spans="1:2">
      <c r="A336" s="2"/>
      <c r="B336" s="21"/>
    </row>
    <row r="337" spans="1:2">
      <c r="A337" s="2"/>
      <c r="B337" s="21"/>
    </row>
    <row r="338" spans="1:2">
      <c r="A338" s="2"/>
      <c r="B338" s="21"/>
    </row>
    <row r="339" spans="1:2">
      <c r="A339" s="2"/>
      <c r="B339" s="21"/>
    </row>
    <row r="340" spans="1:2">
      <c r="A340" s="2"/>
      <c r="B340" s="21"/>
    </row>
    <row r="341" spans="1:2">
      <c r="A341" s="2"/>
      <c r="B341" s="21"/>
    </row>
    <row r="342" spans="1:2">
      <c r="A342" s="2"/>
      <c r="B342" s="21"/>
    </row>
    <row r="343" spans="1:2">
      <c r="A343" s="2"/>
      <c r="B343" s="21"/>
    </row>
    <row r="344" spans="1:2">
      <c r="A344" s="2"/>
      <c r="B344" s="21"/>
    </row>
    <row r="345" spans="1:2">
      <c r="A345" s="2"/>
      <c r="B345" s="21"/>
    </row>
    <row r="346" spans="1:2">
      <c r="A346" s="2"/>
      <c r="B346" s="21"/>
    </row>
    <row r="347" spans="1:2">
      <c r="A347" s="2"/>
      <c r="B347" s="21"/>
    </row>
    <row r="348" spans="1:2">
      <c r="A348" s="2"/>
      <c r="B348" s="21"/>
    </row>
    <row r="349" spans="1:2">
      <c r="A349" s="2"/>
      <c r="B349" s="21"/>
    </row>
    <row r="350" spans="1:2">
      <c r="A350" s="2"/>
      <c r="B350" s="21"/>
    </row>
    <row r="351" spans="1:2">
      <c r="A351" s="2"/>
      <c r="B351" s="21"/>
    </row>
    <row r="352" spans="1:2">
      <c r="A352" s="2"/>
      <c r="B352" s="21"/>
    </row>
    <row r="353" spans="1:2">
      <c r="A353" s="2"/>
      <c r="B353" s="21"/>
    </row>
    <row r="354" spans="1:2">
      <c r="A354" s="2"/>
      <c r="B354" s="21"/>
    </row>
    <row r="355" spans="1:2">
      <c r="A355" s="2"/>
      <c r="B355" s="21"/>
    </row>
    <row r="356" spans="1:2">
      <c r="A356" s="2"/>
      <c r="B356" s="21"/>
    </row>
    <row r="357" spans="1:2">
      <c r="A357" s="2"/>
      <c r="B357" s="21"/>
    </row>
    <row r="358" spans="1:2">
      <c r="A358" s="2"/>
      <c r="B358" s="21"/>
    </row>
    <row r="359" spans="1:2">
      <c r="A359" s="2"/>
      <c r="B359" s="21"/>
    </row>
    <row r="360" spans="1:2">
      <c r="A360" s="2"/>
      <c r="B360" s="21"/>
    </row>
    <row r="361" spans="1:2">
      <c r="A361" s="2"/>
      <c r="B361" s="21"/>
    </row>
    <row r="362" spans="1:2">
      <c r="A362" s="2"/>
      <c r="B362" s="21"/>
    </row>
    <row r="363" spans="1:2">
      <c r="A363" s="2"/>
      <c r="B363" s="21"/>
    </row>
    <row r="364" spans="1:2">
      <c r="A364" s="2"/>
      <c r="B364" s="21"/>
    </row>
    <row r="365" spans="1:2">
      <c r="A365" s="2"/>
      <c r="B365" s="21"/>
    </row>
    <row r="366" spans="1:2">
      <c r="A366" s="2"/>
      <c r="B366" s="21"/>
    </row>
    <row r="367" spans="1:2">
      <c r="A367" s="2"/>
      <c r="B367" s="21"/>
    </row>
    <row r="368" spans="1:2">
      <c r="A368" s="2"/>
      <c r="B368" s="21"/>
    </row>
    <row r="369" spans="1:2">
      <c r="A369" s="2"/>
      <c r="B369" s="21"/>
    </row>
    <row r="370" spans="1:2">
      <c r="A370" s="2"/>
      <c r="B370" s="21"/>
    </row>
    <row r="371" spans="1:2">
      <c r="A371" s="2"/>
      <c r="B371" s="21"/>
    </row>
    <row r="372" spans="1:2">
      <c r="A372" s="2"/>
      <c r="B372" s="21"/>
    </row>
    <row r="373" spans="1:2">
      <c r="A373" s="2"/>
      <c r="B373" s="21"/>
    </row>
    <row r="374" spans="1:2">
      <c r="A374" s="2"/>
      <c r="B374" s="21"/>
    </row>
    <row r="375" spans="1:2">
      <c r="A375" s="2"/>
      <c r="B375" s="21"/>
    </row>
    <row r="376" spans="1:2">
      <c r="A376" s="2"/>
      <c r="B376" s="21"/>
    </row>
    <row r="377" spans="1:2">
      <c r="A377" s="2"/>
      <c r="B377" s="21"/>
    </row>
    <row r="378" spans="1:2">
      <c r="A378" s="2"/>
      <c r="B378" s="21"/>
    </row>
    <row r="379" spans="1:2">
      <c r="A379" s="2"/>
      <c r="B379" s="21"/>
    </row>
    <row r="380" spans="1:2">
      <c r="A380" s="2"/>
      <c r="B380" s="21"/>
    </row>
    <row r="381" spans="1:2">
      <c r="A381" s="2"/>
      <c r="B381" s="21"/>
    </row>
    <row r="382" spans="1:2">
      <c r="A382" s="2"/>
      <c r="B382" s="21"/>
    </row>
    <row r="383" spans="1:2">
      <c r="A383" s="2"/>
      <c r="B383" s="21"/>
    </row>
    <row r="384" spans="1:2">
      <c r="A384" s="2"/>
      <c r="B384" s="21"/>
    </row>
    <row r="385" spans="1:2">
      <c r="A385" s="2"/>
      <c r="B385" s="21"/>
    </row>
    <row r="386" spans="1:2">
      <c r="A386" s="2"/>
      <c r="B386" s="21"/>
    </row>
    <row r="387" spans="1:2">
      <c r="A387" s="2"/>
      <c r="B387" s="21"/>
    </row>
    <row r="388" spans="1:2">
      <c r="A388" s="2"/>
      <c r="B388" s="21"/>
    </row>
    <row r="389" spans="1:2">
      <c r="A389" s="2"/>
      <c r="B389" s="21"/>
    </row>
    <row r="390" spans="1:2">
      <c r="A390" s="2"/>
      <c r="B390" s="21"/>
    </row>
    <row r="391" spans="1:2">
      <c r="A391" s="2"/>
      <c r="B391" s="21"/>
    </row>
    <row r="1048576" spans="3:4">
      <c r="C1048576" s="81"/>
      <c r="D1048576" s="81"/>
    </row>
  </sheetData>
  <mergeCells count="1">
    <mergeCell ref="I1:N2"/>
  </mergeCells>
  <dataValidations count="2">
    <dataValidation type="list" allowBlank="1" showInputMessage="1" showErrorMessage="1" sqref="C3" xr:uid="{00000000-0002-0000-0200-000000000000}">
      <formula1>visorimg</formula1>
    </dataValidation>
    <dataValidation type="list" allowBlank="1" showInputMessage="1" showErrorMessage="1" sqref="B3" xr:uid="{00000000-0002-0000-0200-000001000000}">
      <formula1>planetnames</formula1>
    </dataValidation>
  </dataValidations>
  <hyperlinks>
    <hyperlink ref="Q30" r:id="rId1" xr:uid="{00000000-0004-0000-0200-000000000000}"/>
    <hyperlink ref="Q32" r:id="rId2" xr:uid="{00000000-0004-0000-0200-000001000000}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65"/>
  <sheetViews>
    <sheetView workbookViewId="0">
      <selection activeCell="B4" sqref="B4"/>
    </sheetView>
  </sheetViews>
  <sheetFormatPr defaultRowHeight="15"/>
  <cols>
    <col min="1" max="1" width="16.140625" customWidth="1"/>
    <col min="2" max="3" width="5.5703125" bestFit="1" customWidth="1"/>
    <col min="4" max="5" width="4" bestFit="1" customWidth="1"/>
    <col min="6" max="6" width="8.42578125" bestFit="1" customWidth="1"/>
    <col min="7" max="7" width="11.5703125" customWidth="1"/>
    <col min="8" max="8" width="10.85546875" bestFit="1" customWidth="1"/>
    <col min="9" max="9" width="8" bestFit="1" customWidth="1"/>
    <col min="10" max="11" width="8.140625" bestFit="1" customWidth="1"/>
    <col min="12" max="12" width="5.140625" customWidth="1"/>
    <col min="13" max="13" width="4.42578125" bestFit="1" customWidth="1"/>
    <col min="14" max="15" width="12.5703125" bestFit="1" customWidth="1"/>
    <col min="16" max="16" width="8.140625" bestFit="1" customWidth="1"/>
    <col min="17" max="17" width="10.42578125" bestFit="1" customWidth="1"/>
    <col min="18" max="23" width="5.5703125" bestFit="1" customWidth="1"/>
    <col min="24" max="24" width="11.7109375" bestFit="1" customWidth="1"/>
    <col min="25" max="25" width="8" bestFit="1" customWidth="1"/>
  </cols>
  <sheetData>
    <row r="1" spans="1:25" ht="15.75" thickBot="1">
      <c r="H1" s="94">
        <f>AVERAGE(H3:H33)</f>
        <v>-21798.300206072276</v>
      </c>
      <c r="I1" s="94">
        <f>AVERAGE(I3:I33)</f>
        <v>-65425.161290322583</v>
      </c>
      <c r="R1" s="106" t="s">
        <v>191</v>
      </c>
      <c r="S1" s="106"/>
      <c r="T1" s="106" t="s">
        <v>192</v>
      </c>
      <c r="U1" s="106"/>
      <c r="V1" s="106" t="s">
        <v>190</v>
      </c>
      <c r="W1" s="106"/>
      <c r="X1" s="106" t="s">
        <v>193</v>
      </c>
      <c r="Y1" s="106"/>
    </row>
    <row r="2" spans="1:25" ht="15.75" thickBot="1">
      <c r="A2" t="s">
        <v>80</v>
      </c>
      <c r="B2" s="16" t="s">
        <v>194</v>
      </c>
      <c r="C2" s="46"/>
      <c r="D2" s="46" t="s">
        <v>197</v>
      </c>
      <c r="E2" s="17"/>
      <c r="F2" s="16" t="s">
        <v>195</v>
      </c>
      <c r="G2" s="46"/>
      <c r="H2" s="46" t="s">
        <v>196</v>
      </c>
      <c r="I2" s="17"/>
      <c r="M2" t="s">
        <v>84</v>
      </c>
      <c r="N2" t="s">
        <v>82</v>
      </c>
      <c r="O2" t="s">
        <v>83</v>
      </c>
      <c r="P2" t="s">
        <v>85</v>
      </c>
      <c r="Q2" t="s">
        <v>86</v>
      </c>
      <c r="R2" t="s">
        <v>87</v>
      </c>
      <c r="S2" t="s">
        <v>88</v>
      </c>
      <c r="T2" t="s">
        <v>87</v>
      </c>
      <c r="U2" t="s">
        <v>88</v>
      </c>
      <c r="V2" t="s">
        <v>87</v>
      </c>
      <c r="W2" t="s">
        <v>88</v>
      </c>
      <c r="X2" t="s">
        <v>89</v>
      </c>
      <c r="Y2" t="s">
        <v>90</v>
      </c>
    </row>
    <row r="3" spans="1:25">
      <c r="A3" s="72">
        <f>DATE(2018,3,M3)</f>
        <v>43160</v>
      </c>
      <c r="B3" s="84">
        <f t="shared" ref="B3:B26" si="0">LEFT(N3,5)*1</f>
        <v>0.28472222222222221</v>
      </c>
      <c r="C3" s="85">
        <f t="shared" ref="C3:C26" si="1">LEFT(O3,5)*1</f>
        <v>0.73888888888888893</v>
      </c>
      <c r="D3" s="31">
        <f>MID(N3,10,3)*1</f>
        <v>101</v>
      </c>
      <c r="E3" s="10">
        <f>MID(O3,10,3)*1</f>
        <v>259</v>
      </c>
      <c r="F3" s="84">
        <f>vbriseset(0,A3,lat, long, 1,-0.8333)/24</f>
        <v>0.28579506495092033</v>
      </c>
      <c r="G3" s="85"/>
      <c r="H3" s="89">
        <f>(F3-B3)*24*3600</f>
        <v>92.69361175951758</v>
      </c>
      <c r="I3" s="89">
        <f>(G3-C3)*24*3600</f>
        <v>-63840</v>
      </c>
      <c r="L3" s="74"/>
      <c r="M3">
        <v>1</v>
      </c>
      <c r="N3" t="s">
        <v>91</v>
      </c>
      <c r="O3" t="s">
        <v>92</v>
      </c>
      <c r="P3" s="75">
        <v>0.45420138888888889</v>
      </c>
      <c r="Q3" t="s">
        <v>93</v>
      </c>
      <c r="R3" s="74">
        <v>0.2076388888888889</v>
      </c>
      <c r="S3" s="74">
        <v>0.81666666666666676</v>
      </c>
      <c r="T3" s="74">
        <v>0.23472222222222219</v>
      </c>
      <c r="U3" s="74">
        <v>0.7895833333333333</v>
      </c>
      <c r="V3" s="74">
        <v>0.26180555555555557</v>
      </c>
      <c r="W3" s="74">
        <v>0.76250000000000007</v>
      </c>
      <c r="X3" t="s">
        <v>94</v>
      </c>
      <c r="Y3">
        <v>148.22900000000001</v>
      </c>
    </row>
    <row r="4" spans="1:25">
      <c r="A4" s="72">
        <f t="shared" ref="A4:A33" si="2">DATE(2018,3,M4)</f>
        <v>43161</v>
      </c>
      <c r="B4" s="86">
        <f t="shared" si="0"/>
        <v>0.28333333333333333</v>
      </c>
      <c r="C4" s="74">
        <f t="shared" si="1"/>
        <v>0.74027777777777781</v>
      </c>
      <c r="D4">
        <f>MID(N4,10,3)*1</f>
        <v>101</v>
      </c>
      <c r="E4" s="7">
        <f>MID(O4,10,3)*1</f>
        <v>260</v>
      </c>
      <c r="F4" s="86"/>
      <c r="G4" s="74"/>
      <c r="H4" s="91">
        <f t="shared" ref="H4:H33" si="3">(F4-B4)*24*3600</f>
        <v>-24480</v>
      </c>
      <c r="I4" s="91">
        <f t="shared" ref="I4:I33" si="4">(G4-C4)*24*3600</f>
        <v>-63960</v>
      </c>
      <c r="L4" s="74"/>
      <c r="M4">
        <v>2</v>
      </c>
      <c r="N4" t="s">
        <v>95</v>
      </c>
      <c r="O4" t="s">
        <v>96</v>
      </c>
      <c r="P4" s="75">
        <v>0.45694444444444443</v>
      </c>
      <c r="Q4" t="s">
        <v>93</v>
      </c>
      <c r="R4" s="74">
        <v>0.20625000000000002</v>
      </c>
      <c r="S4" s="74">
        <v>0.81805555555555554</v>
      </c>
      <c r="T4" s="74">
        <v>0.23333333333333331</v>
      </c>
      <c r="U4" s="74">
        <v>0.7909722222222223</v>
      </c>
      <c r="V4" s="74">
        <v>0.25972222222222224</v>
      </c>
      <c r="W4" s="74">
        <v>0.76388888888888884</v>
      </c>
      <c r="X4" t="s">
        <v>97</v>
      </c>
      <c r="Y4">
        <v>148.26599999999999</v>
      </c>
    </row>
    <row r="5" spans="1:25">
      <c r="A5" s="72">
        <f t="shared" si="2"/>
        <v>43162</v>
      </c>
      <c r="B5" s="86">
        <f t="shared" si="0"/>
        <v>0.28194444444444444</v>
      </c>
      <c r="C5" s="74">
        <f t="shared" si="1"/>
        <v>0.7416666666666667</v>
      </c>
      <c r="D5">
        <f t="shared" ref="D5" si="5">MID(N5,10,IF(MID(N5,10,1)="1",3,2))*1</f>
        <v>100</v>
      </c>
      <c r="E5" s="7">
        <f t="shared" ref="E5:E19" si="6">MID(O5,10,3)*1</f>
        <v>260</v>
      </c>
      <c r="F5" s="86"/>
      <c r="G5" s="74"/>
      <c r="H5" s="91">
        <f t="shared" si="3"/>
        <v>-24360</v>
      </c>
      <c r="I5" s="91">
        <f t="shared" si="4"/>
        <v>-64080</v>
      </c>
      <c r="L5" s="74"/>
      <c r="M5">
        <v>3</v>
      </c>
      <c r="N5" t="s">
        <v>98</v>
      </c>
      <c r="O5" t="s">
        <v>99</v>
      </c>
      <c r="P5" s="75">
        <v>0.45969907407407407</v>
      </c>
      <c r="Q5" t="s">
        <v>100</v>
      </c>
      <c r="R5" s="74">
        <v>0.20416666666666669</v>
      </c>
      <c r="S5" s="74">
        <v>0.81944444444444453</v>
      </c>
      <c r="T5" s="74">
        <v>0.23194444444444443</v>
      </c>
      <c r="U5" s="74">
        <v>0.79166666666666663</v>
      </c>
      <c r="V5" s="74">
        <v>0.25833333333333336</v>
      </c>
      <c r="W5" s="74">
        <v>0.76527777777777783</v>
      </c>
      <c r="X5" t="s">
        <v>101</v>
      </c>
      <c r="Y5">
        <v>148.303</v>
      </c>
    </row>
    <row r="6" spans="1:25">
      <c r="A6" s="72">
        <f t="shared" si="2"/>
        <v>43163</v>
      </c>
      <c r="B6" s="86">
        <f t="shared" si="0"/>
        <v>0.28055555555555556</v>
      </c>
      <c r="C6" s="74">
        <f t="shared" si="1"/>
        <v>0.74305555555555558</v>
      </c>
      <c r="D6">
        <f>MID(N6,10,IF(MID(N6,10,1)="1",3,2))*1</f>
        <v>99</v>
      </c>
      <c r="E6" s="7">
        <f t="shared" si="6"/>
        <v>261</v>
      </c>
      <c r="F6" s="86"/>
      <c r="G6" s="74"/>
      <c r="H6" s="91">
        <f>(F6-B6)*24*3600</f>
        <v>-24240</v>
      </c>
      <c r="I6" s="91">
        <f t="shared" si="4"/>
        <v>-64200.000000000007</v>
      </c>
      <c r="L6" s="74"/>
      <c r="M6">
        <v>4</v>
      </c>
      <c r="N6" t="s">
        <v>102</v>
      </c>
      <c r="O6" t="s">
        <v>103</v>
      </c>
      <c r="P6" s="75">
        <v>0.4624537037037037</v>
      </c>
      <c r="Q6" t="s">
        <v>100</v>
      </c>
      <c r="R6" s="74">
        <v>0.20277777777777781</v>
      </c>
      <c r="S6" s="74">
        <v>0.82013888888888886</v>
      </c>
      <c r="T6" s="74">
        <v>0.2298611111111111</v>
      </c>
      <c r="U6" s="74">
        <v>0.79305555555555562</v>
      </c>
      <c r="V6" s="74">
        <v>0.25694444444444448</v>
      </c>
      <c r="W6" s="74">
        <v>0.76597222222222217</v>
      </c>
      <c r="X6" t="s">
        <v>104</v>
      </c>
      <c r="Y6">
        <v>148.34100000000001</v>
      </c>
    </row>
    <row r="7" spans="1:25">
      <c r="A7" s="72">
        <f t="shared" si="2"/>
        <v>43164</v>
      </c>
      <c r="B7" s="86">
        <f t="shared" si="0"/>
        <v>0.27916666666666667</v>
      </c>
      <c r="C7" s="74">
        <f t="shared" si="1"/>
        <v>0.74375000000000002</v>
      </c>
      <c r="D7">
        <f t="shared" ref="D7:D33" si="7">MID(N7,10,IF(MID(N7,10,1)="1",3,2))*1</f>
        <v>99</v>
      </c>
      <c r="E7" s="7">
        <f t="shared" si="6"/>
        <v>262</v>
      </c>
      <c r="F7" s="86"/>
      <c r="G7" s="74"/>
      <c r="H7" s="91">
        <f t="shared" si="3"/>
        <v>-24120</v>
      </c>
      <c r="I7" s="91">
        <f t="shared" si="4"/>
        <v>-64260.000000000007</v>
      </c>
      <c r="L7" s="74"/>
      <c r="M7">
        <v>5</v>
      </c>
      <c r="N7" t="s">
        <v>105</v>
      </c>
      <c r="O7" t="s">
        <v>106</v>
      </c>
      <c r="P7" s="75">
        <v>0.46521990740740743</v>
      </c>
      <c r="Q7" t="s">
        <v>107</v>
      </c>
      <c r="R7" s="74">
        <v>0.20138888888888887</v>
      </c>
      <c r="S7" s="74">
        <v>0.82152777777777775</v>
      </c>
      <c r="T7" s="74">
        <v>0.22847222222222222</v>
      </c>
      <c r="U7" s="74">
        <v>0.7944444444444444</v>
      </c>
      <c r="V7" s="74">
        <v>0.25555555555555559</v>
      </c>
      <c r="W7" s="74">
        <v>0.76736111111111116</v>
      </c>
      <c r="X7" t="s">
        <v>108</v>
      </c>
      <c r="Y7">
        <v>148.37899999999999</v>
      </c>
    </row>
    <row r="8" spans="1:25">
      <c r="A8" s="72">
        <f t="shared" si="2"/>
        <v>43165</v>
      </c>
      <c r="B8" s="86">
        <f t="shared" si="0"/>
        <v>0.27708333333333335</v>
      </c>
      <c r="C8" s="74">
        <f t="shared" si="1"/>
        <v>0.74513888888888891</v>
      </c>
      <c r="D8">
        <f t="shared" si="7"/>
        <v>98</v>
      </c>
      <c r="E8" s="7">
        <f t="shared" si="6"/>
        <v>262</v>
      </c>
      <c r="F8" s="86"/>
      <c r="G8" s="74"/>
      <c r="H8" s="91">
        <f t="shared" si="3"/>
        <v>-23940</v>
      </c>
      <c r="I8" s="91">
        <f t="shared" si="4"/>
        <v>-64380</v>
      </c>
      <c r="L8" s="74"/>
      <c r="M8">
        <v>6</v>
      </c>
      <c r="N8" t="s">
        <v>109</v>
      </c>
      <c r="O8" t="s">
        <v>110</v>
      </c>
      <c r="P8" s="75">
        <v>0.46797453703703701</v>
      </c>
      <c r="Q8" t="s">
        <v>100</v>
      </c>
      <c r="R8" s="74">
        <v>0.19999999999999998</v>
      </c>
      <c r="S8" s="74">
        <v>0.82291666666666663</v>
      </c>
      <c r="T8" s="74">
        <v>0.22708333333333333</v>
      </c>
      <c r="U8" s="74">
        <v>0.79583333333333339</v>
      </c>
      <c r="V8" s="74">
        <v>0.25416666666666665</v>
      </c>
      <c r="W8" s="74">
        <v>0.76874999999999993</v>
      </c>
      <c r="X8" t="s">
        <v>111</v>
      </c>
      <c r="Y8">
        <v>148.417</v>
      </c>
    </row>
    <row r="9" spans="1:25">
      <c r="A9" s="72">
        <f t="shared" si="2"/>
        <v>43166</v>
      </c>
      <c r="B9" s="86">
        <f t="shared" si="0"/>
        <v>0.27569444444444446</v>
      </c>
      <c r="C9" s="74">
        <f t="shared" si="1"/>
        <v>0.74652777777777779</v>
      </c>
      <c r="D9">
        <f t="shared" si="7"/>
        <v>97</v>
      </c>
      <c r="E9" s="7">
        <f t="shared" si="6"/>
        <v>263</v>
      </c>
      <c r="F9" s="86"/>
      <c r="G9" s="74"/>
      <c r="H9" s="91">
        <f t="shared" si="3"/>
        <v>-23820</v>
      </c>
      <c r="I9" s="91">
        <f t="shared" si="4"/>
        <v>-64500.000000000007</v>
      </c>
      <c r="L9" s="74"/>
      <c r="M9">
        <v>7</v>
      </c>
      <c r="N9" t="s">
        <v>112</v>
      </c>
      <c r="O9" t="s">
        <v>113</v>
      </c>
      <c r="P9" s="75">
        <v>0.47074074074074074</v>
      </c>
      <c r="Q9" t="s">
        <v>107</v>
      </c>
      <c r="R9" s="74">
        <v>0.19791666666666666</v>
      </c>
      <c r="S9" s="74">
        <v>0.82430555555555562</v>
      </c>
      <c r="T9" s="74">
        <v>0.22569444444444445</v>
      </c>
      <c r="U9" s="74">
        <v>0.79652777777777783</v>
      </c>
      <c r="V9" s="74">
        <v>0.25277777777777777</v>
      </c>
      <c r="W9" s="74">
        <v>0.76944444444444438</v>
      </c>
      <c r="X9" t="s">
        <v>114</v>
      </c>
      <c r="Y9">
        <v>148.45599999999999</v>
      </c>
    </row>
    <row r="10" spans="1:25">
      <c r="A10" s="72">
        <f t="shared" si="2"/>
        <v>43167</v>
      </c>
      <c r="B10" s="86">
        <f t="shared" si="0"/>
        <v>0.27430555555555558</v>
      </c>
      <c r="C10" s="74">
        <f t="shared" si="1"/>
        <v>0.74791666666666667</v>
      </c>
      <c r="D10">
        <f t="shared" si="7"/>
        <v>97</v>
      </c>
      <c r="E10" s="7">
        <f t="shared" si="6"/>
        <v>263</v>
      </c>
      <c r="F10" s="86"/>
      <c r="G10" s="74"/>
      <c r="H10" s="91">
        <f t="shared" si="3"/>
        <v>-23700.000000000004</v>
      </c>
      <c r="I10" s="91">
        <f t="shared" si="4"/>
        <v>-64620</v>
      </c>
      <c r="L10" s="74"/>
      <c r="M10">
        <v>8</v>
      </c>
      <c r="N10" t="s">
        <v>115</v>
      </c>
      <c r="O10" t="s">
        <v>116</v>
      </c>
      <c r="P10" s="75">
        <v>0.47351851851851851</v>
      </c>
      <c r="Q10" t="s">
        <v>117</v>
      </c>
      <c r="R10" s="74">
        <v>0.19652777777777777</v>
      </c>
      <c r="S10" s="74">
        <v>0.8256944444444444</v>
      </c>
      <c r="T10" s="74">
        <v>0.22430555555555556</v>
      </c>
      <c r="U10" s="74">
        <v>0.79791666666666661</v>
      </c>
      <c r="V10" s="74">
        <v>0.25069444444444444</v>
      </c>
      <c r="W10" s="74">
        <v>0.77083333333333337</v>
      </c>
      <c r="X10" t="s">
        <v>118</v>
      </c>
      <c r="Y10">
        <v>148.49600000000001</v>
      </c>
    </row>
    <row r="11" spans="1:25">
      <c r="A11" s="72">
        <f t="shared" si="2"/>
        <v>43168</v>
      </c>
      <c r="B11" s="86">
        <f t="shared" si="0"/>
        <v>0.27291666666666664</v>
      </c>
      <c r="C11" s="74">
        <f t="shared" si="1"/>
        <v>0.74861111111111112</v>
      </c>
      <c r="D11">
        <f t="shared" si="7"/>
        <v>96</v>
      </c>
      <c r="E11" s="7">
        <f t="shared" si="6"/>
        <v>264</v>
      </c>
      <c r="F11" s="86"/>
      <c r="G11" s="74"/>
      <c r="H11" s="91">
        <f t="shared" si="3"/>
        <v>-23579.999999999996</v>
      </c>
      <c r="I11" s="91">
        <f t="shared" si="4"/>
        <v>-64680.000000000007</v>
      </c>
      <c r="L11" s="74"/>
      <c r="M11">
        <v>9</v>
      </c>
      <c r="N11" t="s">
        <v>119</v>
      </c>
      <c r="O11" t="s">
        <v>120</v>
      </c>
      <c r="P11" s="75">
        <v>0.47628472222222223</v>
      </c>
      <c r="Q11" t="s">
        <v>107</v>
      </c>
      <c r="R11" s="74">
        <v>0.19513888888888889</v>
      </c>
      <c r="S11" s="74">
        <v>0.82708333333333339</v>
      </c>
      <c r="T11" s="74">
        <v>0.22222222222222221</v>
      </c>
      <c r="U11" s="74">
        <v>0.7993055555555556</v>
      </c>
      <c r="V11" s="74">
        <v>0.24930555555555556</v>
      </c>
      <c r="W11" s="74">
        <v>0.77222222222222225</v>
      </c>
      <c r="X11" t="s">
        <v>121</v>
      </c>
      <c r="Y11">
        <v>148.536</v>
      </c>
    </row>
    <row r="12" spans="1:25">
      <c r="A12" s="72">
        <f t="shared" si="2"/>
        <v>43169</v>
      </c>
      <c r="B12" s="86">
        <f t="shared" si="0"/>
        <v>0.27083333333333331</v>
      </c>
      <c r="C12" s="74">
        <f t="shared" si="1"/>
        <v>0.75</v>
      </c>
      <c r="D12">
        <f t="shared" si="7"/>
        <v>96</v>
      </c>
      <c r="E12" s="7">
        <f t="shared" si="6"/>
        <v>265</v>
      </c>
      <c r="F12" s="86"/>
      <c r="G12" s="74"/>
      <c r="H12" s="91">
        <f t="shared" si="3"/>
        <v>-23400</v>
      </c>
      <c r="I12" s="91">
        <f t="shared" si="4"/>
        <v>-64800</v>
      </c>
      <c r="L12" s="74"/>
      <c r="M12">
        <v>10</v>
      </c>
      <c r="N12" t="s">
        <v>122</v>
      </c>
      <c r="O12" t="s">
        <v>123</v>
      </c>
      <c r="P12" s="75">
        <v>0.4790625</v>
      </c>
      <c r="Q12" t="s">
        <v>117</v>
      </c>
      <c r="R12" s="74">
        <v>0.19305555555555554</v>
      </c>
      <c r="S12" s="74">
        <v>0.82847222222222217</v>
      </c>
      <c r="T12" s="74">
        <v>0.22083333333333333</v>
      </c>
      <c r="U12" s="74">
        <v>0.80069444444444438</v>
      </c>
      <c r="V12" s="74">
        <v>0.24791666666666667</v>
      </c>
      <c r="W12" s="74">
        <v>0.77361111111111114</v>
      </c>
      <c r="X12" t="s">
        <v>124</v>
      </c>
      <c r="Y12">
        <v>148.57599999999999</v>
      </c>
    </row>
    <row r="13" spans="1:25">
      <c r="A13" s="72">
        <f t="shared" si="2"/>
        <v>43170</v>
      </c>
      <c r="B13" s="86">
        <f t="shared" si="0"/>
        <v>0.26944444444444443</v>
      </c>
      <c r="C13" s="74">
        <f t="shared" si="1"/>
        <v>0.75138888888888888</v>
      </c>
      <c r="D13">
        <f t="shared" si="7"/>
        <v>95</v>
      </c>
      <c r="E13" s="7">
        <f t="shared" si="6"/>
        <v>265</v>
      </c>
      <c r="F13" s="86"/>
      <c r="G13" s="74"/>
      <c r="H13" s="91">
        <f t="shared" si="3"/>
        <v>-23280</v>
      </c>
      <c r="I13" s="91">
        <f t="shared" si="4"/>
        <v>-64919.999999999993</v>
      </c>
      <c r="L13" s="74"/>
      <c r="M13">
        <v>11</v>
      </c>
      <c r="N13" t="s">
        <v>125</v>
      </c>
      <c r="O13" t="s">
        <v>126</v>
      </c>
      <c r="P13" s="75">
        <v>0.48184027777777777</v>
      </c>
      <c r="Q13" t="s">
        <v>117</v>
      </c>
      <c r="R13" s="74">
        <v>0.19166666666666665</v>
      </c>
      <c r="S13" s="74">
        <v>0.82916666666666661</v>
      </c>
      <c r="T13" s="74">
        <v>0.21944444444444444</v>
      </c>
      <c r="U13" s="74">
        <v>0.80138888888888893</v>
      </c>
      <c r="V13" s="74">
        <v>0.24652777777777779</v>
      </c>
      <c r="W13" s="74">
        <v>0.77430555555555547</v>
      </c>
      <c r="X13" t="s">
        <v>127</v>
      </c>
      <c r="Y13">
        <v>148.61600000000001</v>
      </c>
    </row>
    <row r="14" spans="1:25">
      <c r="A14" s="72">
        <f t="shared" si="2"/>
        <v>43171</v>
      </c>
      <c r="B14" s="86">
        <f t="shared" si="0"/>
        <v>0.26805555555555555</v>
      </c>
      <c r="C14" s="74">
        <f t="shared" si="1"/>
        <v>0.75277777777777777</v>
      </c>
      <c r="D14">
        <f t="shared" si="7"/>
        <v>94</v>
      </c>
      <c r="E14" s="7">
        <f t="shared" si="6"/>
        <v>266</v>
      </c>
      <c r="F14" s="86"/>
      <c r="G14" s="74"/>
      <c r="H14" s="91">
        <f t="shared" si="3"/>
        <v>-23160</v>
      </c>
      <c r="I14" s="91">
        <f t="shared" si="4"/>
        <v>-65040</v>
      </c>
      <c r="L14" s="74"/>
      <c r="M14">
        <v>12</v>
      </c>
      <c r="N14" t="s">
        <v>128</v>
      </c>
      <c r="O14" t="s">
        <v>129</v>
      </c>
      <c r="P14" s="75">
        <v>0.48461805555555554</v>
      </c>
      <c r="Q14" t="s">
        <v>117</v>
      </c>
      <c r="R14" s="74">
        <v>0.19027777777777777</v>
      </c>
      <c r="S14" s="74">
        <v>0.8305555555555556</v>
      </c>
      <c r="T14" s="74">
        <v>0.21805555555555556</v>
      </c>
      <c r="U14" s="74">
        <v>0.8027777777777777</v>
      </c>
      <c r="V14" s="74">
        <v>0.24444444444444446</v>
      </c>
      <c r="W14" s="74">
        <v>0.77569444444444446</v>
      </c>
      <c r="X14" t="s">
        <v>130</v>
      </c>
      <c r="Y14">
        <v>148.65700000000001</v>
      </c>
    </row>
    <row r="15" spans="1:25">
      <c r="A15" s="72">
        <f t="shared" si="2"/>
        <v>43172</v>
      </c>
      <c r="B15" s="86">
        <f t="shared" si="0"/>
        <v>0.26666666666666666</v>
      </c>
      <c r="C15" s="74">
        <f t="shared" si="1"/>
        <v>0.75347222222222221</v>
      </c>
      <c r="D15">
        <f t="shared" si="7"/>
        <v>94</v>
      </c>
      <c r="E15" s="7">
        <f t="shared" si="6"/>
        <v>267</v>
      </c>
      <c r="F15" s="86"/>
      <c r="G15" s="74"/>
      <c r="H15" s="91">
        <f t="shared" si="3"/>
        <v>-23040</v>
      </c>
      <c r="I15" s="91">
        <f t="shared" si="4"/>
        <v>-65099.999999999993</v>
      </c>
      <c r="M15">
        <v>13</v>
      </c>
      <c r="N15" t="s">
        <v>131</v>
      </c>
      <c r="O15" t="s">
        <v>132</v>
      </c>
      <c r="P15" s="75">
        <v>0.48739583333333331</v>
      </c>
      <c r="Q15" t="s">
        <v>117</v>
      </c>
      <c r="R15" s="74">
        <v>0.18819444444444444</v>
      </c>
      <c r="S15" s="74">
        <v>0.83194444444444438</v>
      </c>
      <c r="T15" s="74">
        <v>0.21597222222222223</v>
      </c>
      <c r="U15" s="74">
        <v>0.8041666666666667</v>
      </c>
      <c r="V15" s="74">
        <v>0.24305555555555555</v>
      </c>
      <c r="W15" s="74">
        <v>0.77708333333333324</v>
      </c>
      <c r="X15" t="s">
        <v>133</v>
      </c>
      <c r="Y15">
        <v>148.69800000000001</v>
      </c>
    </row>
    <row r="16" spans="1:25">
      <c r="A16" s="72">
        <f t="shared" si="2"/>
        <v>43173</v>
      </c>
      <c r="B16" s="86">
        <f t="shared" si="0"/>
        <v>0.26458333333333334</v>
      </c>
      <c r="C16" s="74">
        <f t="shared" si="1"/>
        <v>0.75486111111111109</v>
      </c>
      <c r="D16">
        <f t="shared" si="7"/>
        <v>93</v>
      </c>
      <c r="E16" s="7">
        <f t="shared" si="6"/>
        <v>267</v>
      </c>
      <c r="F16" s="86"/>
      <c r="G16" s="74"/>
      <c r="H16" s="91">
        <f t="shared" si="3"/>
        <v>-22860</v>
      </c>
      <c r="I16" s="91">
        <f t="shared" si="4"/>
        <v>-65220</v>
      </c>
      <c r="M16">
        <v>14</v>
      </c>
      <c r="N16" t="s">
        <v>134</v>
      </c>
      <c r="O16" t="s">
        <v>135</v>
      </c>
      <c r="P16" s="75">
        <v>0.49018518518518522</v>
      </c>
      <c r="Q16" t="s">
        <v>136</v>
      </c>
      <c r="R16" s="74">
        <v>0.18680555555555556</v>
      </c>
      <c r="S16" s="74">
        <v>0.83333333333333337</v>
      </c>
      <c r="T16" s="74">
        <v>0.21458333333333335</v>
      </c>
      <c r="U16" s="74">
        <v>0.80555555555555547</v>
      </c>
      <c r="V16" s="74">
        <v>0.24166666666666667</v>
      </c>
      <c r="W16" s="74">
        <v>0.77847222222222223</v>
      </c>
      <c r="X16" t="s">
        <v>137</v>
      </c>
      <c r="Y16">
        <v>148.739</v>
      </c>
    </row>
    <row r="17" spans="1:25">
      <c r="A17" s="72">
        <f t="shared" si="2"/>
        <v>43174</v>
      </c>
      <c r="B17" s="86">
        <f t="shared" si="0"/>
        <v>0.26319444444444445</v>
      </c>
      <c r="C17" s="74">
        <f t="shared" si="1"/>
        <v>0.75624999999999998</v>
      </c>
      <c r="D17">
        <f t="shared" si="7"/>
        <v>92</v>
      </c>
      <c r="E17" s="7">
        <f t="shared" si="6"/>
        <v>268</v>
      </c>
      <c r="F17" s="86"/>
      <c r="G17" s="74"/>
      <c r="H17" s="91">
        <f t="shared" si="3"/>
        <v>-22740</v>
      </c>
      <c r="I17" s="91">
        <f t="shared" si="4"/>
        <v>-65339.999999999993</v>
      </c>
      <c r="M17">
        <v>15</v>
      </c>
      <c r="N17" t="s">
        <v>138</v>
      </c>
      <c r="O17" t="s">
        <v>139</v>
      </c>
      <c r="P17" s="75">
        <v>0.49297453703703703</v>
      </c>
      <c r="Q17" t="s">
        <v>136</v>
      </c>
      <c r="R17" s="74">
        <v>0.18472222222222223</v>
      </c>
      <c r="S17" s="74">
        <v>0.83472222222222225</v>
      </c>
      <c r="T17" s="74">
        <v>0.21319444444444444</v>
      </c>
      <c r="U17" s="74">
        <v>0.80694444444444446</v>
      </c>
      <c r="V17" s="74">
        <v>0.24027777777777778</v>
      </c>
      <c r="W17" s="74">
        <v>0.77916666666666667</v>
      </c>
      <c r="X17" t="s">
        <v>140</v>
      </c>
      <c r="Y17">
        <v>148.78</v>
      </c>
    </row>
    <row r="18" spans="1:25">
      <c r="A18" s="72">
        <f t="shared" si="2"/>
        <v>43175</v>
      </c>
      <c r="B18" s="86">
        <f t="shared" si="0"/>
        <v>0.26180555555555557</v>
      </c>
      <c r="C18" s="74">
        <f t="shared" si="1"/>
        <v>0.75763888888888886</v>
      </c>
      <c r="D18">
        <f t="shared" si="7"/>
        <v>92</v>
      </c>
      <c r="E18" s="7">
        <f t="shared" si="6"/>
        <v>269</v>
      </c>
      <c r="F18" s="86"/>
      <c r="G18" s="74"/>
      <c r="H18" s="91">
        <f t="shared" si="3"/>
        <v>-22620</v>
      </c>
      <c r="I18" s="91">
        <f t="shared" si="4"/>
        <v>-65460</v>
      </c>
      <c r="M18">
        <v>16</v>
      </c>
      <c r="N18" t="s">
        <v>141</v>
      </c>
      <c r="O18" t="s">
        <v>142</v>
      </c>
      <c r="P18" s="75">
        <v>0.49574074074074076</v>
      </c>
      <c r="Q18" t="s">
        <v>107</v>
      </c>
      <c r="R18" s="74">
        <v>0.18333333333333335</v>
      </c>
      <c r="S18" s="74">
        <v>0.83611111111111114</v>
      </c>
      <c r="T18" s="74">
        <v>0.21111111111111111</v>
      </c>
      <c r="U18" s="74">
        <v>0.80763888888888891</v>
      </c>
      <c r="V18" s="74">
        <v>0.23819444444444446</v>
      </c>
      <c r="W18" s="74">
        <v>0.78055555555555556</v>
      </c>
      <c r="X18" t="s">
        <v>143</v>
      </c>
      <c r="Y18">
        <v>148.821</v>
      </c>
    </row>
    <row r="19" spans="1:25">
      <c r="A19" s="72">
        <f t="shared" si="2"/>
        <v>43176</v>
      </c>
      <c r="B19" s="86">
        <f t="shared" si="0"/>
        <v>0.25972222222222224</v>
      </c>
      <c r="C19" s="74">
        <f t="shared" si="1"/>
        <v>0.7583333333333333</v>
      </c>
      <c r="D19">
        <f t="shared" si="7"/>
        <v>91</v>
      </c>
      <c r="E19" s="7">
        <f t="shared" si="6"/>
        <v>269</v>
      </c>
      <c r="F19" s="86"/>
      <c r="G19" s="74"/>
      <c r="H19" s="91">
        <f t="shared" si="3"/>
        <v>-22440.000000000004</v>
      </c>
      <c r="I19" s="91">
        <f t="shared" si="4"/>
        <v>-65520</v>
      </c>
      <c r="M19">
        <v>17</v>
      </c>
      <c r="N19" t="s">
        <v>144</v>
      </c>
      <c r="O19" t="s">
        <v>145</v>
      </c>
      <c r="P19" s="75">
        <v>0.49854166666666666</v>
      </c>
      <c r="Q19" t="s">
        <v>146</v>
      </c>
      <c r="R19" s="74">
        <v>0.18124999999999999</v>
      </c>
      <c r="S19" s="74">
        <v>0.83750000000000002</v>
      </c>
      <c r="T19" s="74">
        <v>0.20972222222222223</v>
      </c>
      <c r="U19" s="74">
        <v>0.80902777777777779</v>
      </c>
      <c r="V19" s="74">
        <v>0.23680555555555557</v>
      </c>
      <c r="W19" s="74">
        <v>0.78194444444444444</v>
      </c>
      <c r="X19" t="s">
        <v>147</v>
      </c>
      <c r="Y19">
        <v>148.86199999999999</v>
      </c>
    </row>
    <row r="20" spans="1:25">
      <c r="A20" s="72">
        <f t="shared" si="2"/>
        <v>43177</v>
      </c>
      <c r="B20" s="86">
        <f t="shared" si="0"/>
        <v>0.25833333333333336</v>
      </c>
      <c r="C20" s="74">
        <f t="shared" si="1"/>
        <v>0.75972222222222219</v>
      </c>
      <c r="D20">
        <f t="shared" si="7"/>
        <v>90</v>
      </c>
      <c r="E20" s="7">
        <f t="shared" ref="E20:E33" si="8">MID(O20,10,3)*1</f>
        <v>270</v>
      </c>
      <c r="F20" s="86"/>
      <c r="G20" s="74"/>
      <c r="H20" s="91">
        <f t="shared" si="3"/>
        <v>-22320.000000000004</v>
      </c>
      <c r="I20" s="91">
        <f t="shared" si="4"/>
        <v>-65640</v>
      </c>
      <c r="M20">
        <v>18</v>
      </c>
      <c r="N20" t="s">
        <v>148</v>
      </c>
      <c r="O20" t="s">
        <v>149</v>
      </c>
      <c r="P20" s="75">
        <v>0.50131944444444443</v>
      </c>
      <c r="Q20" t="s">
        <v>117</v>
      </c>
      <c r="R20" s="74">
        <v>0.17986111111111111</v>
      </c>
      <c r="S20" s="74">
        <v>0.83888888888888891</v>
      </c>
      <c r="T20" s="74">
        <v>0.2076388888888889</v>
      </c>
      <c r="U20" s="74">
        <v>0.81041666666666667</v>
      </c>
      <c r="V20" s="74">
        <v>0.23541666666666669</v>
      </c>
      <c r="W20" s="74">
        <v>0.78333333333333333</v>
      </c>
      <c r="X20" t="s">
        <v>150</v>
      </c>
      <c r="Y20">
        <v>148.90299999999999</v>
      </c>
    </row>
    <row r="21" spans="1:25">
      <c r="A21" s="72">
        <f t="shared" si="2"/>
        <v>43178</v>
      </c>
      <c r="B21" s="86">
        <f t="shared" si="0"/>
        <v>0.25694444444444442</v>
      </c>
      <c r="C21" s="74">
        <f t="shared" si="1"/>
        <v>0.76111111111111107</v>
      </c>
      <c r="D21">
        <f t="shared" si="7"/>
        <v>90</v>
      </c>
      <c r="E21" s="7">
        <f t="shared" si="8"/>
        <v>270</v>
      </c>
      <c r="F21" s="86"/>
      <c r="G21" s="74"/>
      <c r="H21" s="91">
        <f t="shared" si="3"/>
        <v>-22199.999999999996</v>
      </c>
      <c r="I21" s="91">
        <f t="shared" si="4"/>
        <v>-65760</v>
      </c>
      <c r="M21">
        <v>19</v>
      </c>
      <c r="N21" t="s">
        <v>151</v>
      </c>
      <c r="O21" t="s">
        <v>152</v>
      </c>
      <c r="P21" s="75">
        <v>0.50410879629629635</v>
      </c>
      <c r="Q21" t="s">
        <v>136</v>
      </c>
      <c r="R21" s="74">
        <v>0.17777777777777778</v>
      </c>
      <c r="S21" s="74">
        <v>0.84027777777777779</v>
      </c>
      <c r="T21" s="74">
        <v>0.20625000000000002</v>
      </c>
      <c r="U21" s="74">
        <v>0.81180555555555556</v>
      </c>
      <c r="V21" s="74">
        <v>0.23333333333333331</v>
      </c>
      <c r="W21" s="74">
        <v>0.78402777777777777</v>
      </c>
      <c r="X21" t="s">
        <v>153</v>
      </c>
      <c r="Y21">
        <v>148.94399999999999</v>
      </c>
    </row>
    <row r="22" spans="1:25">
      <c r="A22" s="72">
        <f t="shared" si="2"/>
        <v>43179</v>
      </c>
      <c r="B22" s="86">
        <f t="shared" si="0"/>
        <v>0.25555555555555554</v>
      </c>
      <c r="C22" s="74">
        <f t="shared" si="1"/>
        <v>0.76180555555555551</v>
      </c>
      <c r="D22">
        <f t="shared" si="7"/>
        <v>89</v>
      </c>
      <c r="E22" s="7">
        <f t="shared" si="8"/>
        <v>271</v>
      </c>
      <c r="F22" s="86"/>
      <c r="G22" s="74"/>
      <c r="H22" s="91">
        <f t="shared" si="3"/>
        <v>-22080</v>
      </c>
      <c r="I22" s="91">
        <f t="shared" si="4"/>
        <v>-65820</v>
      </c>
      <c r="M22">
        <v>20</v>
      </c>
      <c r="N22" t="s">
        <v>154</v>
      </c>
      <c r="O22" t="s">
        <v>155</v>
      </c>
      <c r="P22" s="75">
        <v>0.50688657407407411</v>
      </c>
      <c r="Q22" t="s">
        <v>117</v>
      </c>
      <c r="R22" s="74">
        <v>0.17569444444444446</v>
      </c>
      <c r="S22" s="74">
        <v>0.84166666666666667</v>
      </c>
      <c r="T22" s="74">
        <v>0.20486111111111113</v>
      </c>
      <c r="U22" s="74">
        <v>0.81319444444444444</v>
      </c>
      <c r="V22" s="74">
        <v>0.23194444444444443</v>
      </c>
      <c r="W22" s="74">
        <v>0.78541666666666676</v>
      </c>
      <c r="X22" t="s">
        <v>156</v>
      </c>
      <c r="Y22">
        <v>148.98599999999999</v>
      </c>
    </row>
    <row r="23" spans="1:25">
      <c r="A23" s="72">
        <f t="shared" si="2"/>
        <v>43180</v>
      </c>
      <c r="B23" s="86">
        <f t="shared" si="0"/>
        <v>0.25347222222222221</v>
      </c>
      <c r="C23" s="74">
        <f t="shared" si="1"/>
        <v>0.7631944444444444</v>
      </c>
      <c r="D23">
        <f t="shared" si="7"/>
        <v>89</v>
      </c>
      <c r="E23" s="7">
        <f t="shared" si="8"/>
        <v>272</v>
      </c>
      <c r="F23" s="86"/>
      <c r="G23" s="74"/>
      <c r="H23" s="91">
        <f t="shared" si="3"/>
        <v>-21900</v>
      </c>
      <c r="I23" s="91">
        <f t="shared" si="4"/>
        <v>-65940</v>
      </c>
      <c r="M23">
        <v>21</v>
      </c>
      <c r="N23" t="s">
        <v>157</v>
      </c>
      <c r="O23" t="s">
        <v>158</v>
      </c>
      <c r="P23" s="75">
        <v>0.50966435185185188</v>
      </c>
      <c r="Q23" t="s">
        <v>117</v>
      </c>
      <c r="R23" s="74">
        <v>0.17430555555555557</v>
      </c>
      <c r="S23" s="74">
        <v>0.84305555555555556</v>
      </c>
      <c r="T23" s="74">
        <v>0.20277777777777781</v>
      </c>
      <c r="U23" s="74">
        <v>0.81458333333333333</v>
      </c>
      <c r="V23" s="74">
        <v>0.23055555555555554</v>
      </c>
      <c r="W23" s="74">
        <v>0.78680555555555554</v>
      </c>
      <c r="X23" t="s">
        <v>159</v>
      </c>
      <c r="Y23">
        <v>149.02699999999999</v>
      </c>
    </row>
    <row r="24" spans="1:25">
      <c r="A24" s="72">
        <f t="shared" si="2"/>
        <v>43181</v>
      </c>
      <c r="B24" s="86">
        <f t="shared" si="0"/>
        <v>0.25208333333333333</v>
      </c>
      <c r="C24" s="74">
        <f t="shared" si="1"/>
        <v>0.76458333333333328</v>
      </c>
      <c r="D24">
        <f t="shared" si="7"/>
        <v>88</v>
      </c>
      <c r="E24" s="7">
        <f t="shared" si="8"/>
        <v>272</v>
      </c>
      <c r="F24" s="86"/>
      <c r="G24" s="74"/>
      <c r="H24" s="91">
        <f t="shared" si="3"/>
        <v>-21780</v>
      </c>
      <c r="I24" s="91">
        <f t="shared" si="4"/>
        <v>-66059.999999999985</v>
      </c>
      <c r="M24">
        <v>22</v>
      </c>
      <c r="N24" t="s">
        <v>160</v>
      </c>
      <c r="O24" t="s">
        <v>161</v>
      </c>
      <c r="P24" s="75">
        <v>0.51245370370370369</v>
      </c>
      <c r="Q24" t="s">
        <v>136</v>
      </c>
      <c r="R24" s="74">
        <v>0.17222222222222225</v>
      </c>
      <c r="S24" s="74">
        <v>0.84444444444444444</v>
      </c>
      <c r="T24" s="74">
        <v>0.20138888888888887</v>
      </c>
      <c r="U24" s="74">
        <v>0.81527777777777777</v>
      </c>
      <c r="V24" s="74">
        <v>0.22847222222222222</v>
      </c>
      <c r="W24" s="74">
        <v>0.78749999999999998</v>
      </c>
      <c r="X24" t="s">
        <v>162</v>
      </c>
      <c r="Y24">
        <v>149.06800000000001</v>
      </c>
    </row>
    <row r="25" spans="1:25">
      <c r="A25" s="72">
        <f t="shared" si="2"/>
        <v>43182</v>
      </c>
      <c r="B25" s="86">
        <f t="shared" si="0"/>
        <v>0.25069444444444444</v>
      </c>
      <c r="C25" s="74">
        <f t="shared" si="1"/>
        <v>0.76597222222222228</v>
      </c>
      <c r="D25">
        <f t="shared" si="7"/>
        <v>87</v>
      </c>
      <c r="E25" s="7">
        <f t="shared" si="8"/>
        <v>273</v>
      </c>
      <c r="F25" s="86"/>
      <c r="G25" s="74"/>
      <c r="H25" s="91">
        <f t="shared" si="3"/>
        <v>-21660</v>
      </c>
      <c r="I25" s="91">
        <f t="shared" si="4"/>
        <v>-66180</v>
      </c>
      <c r="M25">
        <v>23</v>
      </c>
      <c r="N25" t="s">
        <v>163</v>
      </c>
      <c r="O25" t="s">
        <v>164</v>
      </c>
      <c r="P25" s="75">
        <v>0.51523148148148146</v>
      </c>
      <c r="Q25" t="s">
        <v>117</v>
      </c>
      <c r="R25" s="74">
        <v>0.17083333333333331</v>
      </c>
      <c r="S25" s="74">
        <v>0.84583333333333333</v>
      </c>
      <c r="T25" s="74">
        <v>0.19930555555555554</v>
      </c>
      <c r="U25" s="74">
        <v>0.81666666666666676</v>
      </c>
      <c r="V25" s="74">
        <v>0.22708333333333333</v>
      </c>
      <c r="W25" s="74">
        <v>0.78888888888888886</v>
      </c>
      <c r="X25" t="s">
        <v>165</v>
      </c>
      <c r="Y25">
        <v>149.10900000000001</v>
      </c>
    </row>
    <row r="26" spans="1:25">
      <c r="A26" s="72">
        <f t="shared" si="2"/>
        <v>43183</v>
      </c>
      <c r="B26" s="86">
        <f t="shared" si="0"/>
        <v>0.24861111111111112</v>
      </c>
      <c r="C26" s="74">
        <f t="shared" si="1"/>
        <v>0.76666666666666672</v>
      </c>
      <c r="D26">
        <f t="shared" si="7"/>
        <v>87</v>
      </c>
      <c r="E26" s="7">
        <f t="shared" si="8"/>
        <v>274</v>
      </c>
      <c r="F26" s="86"/>
      <c r="G26" s="74"/>
      <c r="H26" s="91">
        <f t="shared" si="3"/>
        <v>-21480</v>
      </c>
      <c r="I26" s="91">
        <f t="shared" si="4"/>
        <v>-66240.000000000015</v>
      </c>
      <c r="M26">
        <v>24</v>
      </c>
      <c r="N26" t="s">
        <v>166</v>
      </c>
      <c r="O26" t="s">
        <v>167</v>
      </c>
      <c r="P26" s="75">
        <v>0.51802083333333326</v>
      </c>
      <c r="Q26" t="s">
        <v>136</v>
      </c>
      <c r="R26" s="74">
        <v>0.16874999999999998</v>
      </c>
      <c r="S26" s="74">
        <v>0.84722222222222221</v>
      </c>
      <c r="T26" s="74">
        <v>0.19791666666666666</v>
      </c>
      <c r="U26" s="74">
        <v>0.81805555555555554</v>
      </c>
      <c r="V26" s="74">
        <v>0.22569444444444445</v>
      </c>
      <c r="W26" s="74">
        <v>0.79027777777777775</v>
      </c>
      <c r="X26" t="s">
        <v>168</v>
      </c>
      <c r="Y26">
        <v>149.15</v>
      </c>
    </row>
    <row r="27" spans="1:25">
      <c r="A27" s="72">
        <f t="shared" si="2"/>
        <v>43184</v>
      </c>
      <c r="B27" s="86">
        <f>LEFT(N27,5)*1-1/24</f>
        <v>0.2472222222222222</v>
      </c>
      <c r="C27" s="74">
        <f t="shared" ref="C27:C33" si="9">LEFT(O27,5)*1-1/24</f>
        <v>0.7680555555555556</v>
      </c>
      <c r="D27">
        <f t="shared" si="7"/>
        <v>86</v>
      </c>
      <c r="E27" s="7">
        <f t="shared" si="8"/>
        <v>274</v>
      </c>
      <c r="F27" s="86"/>
      <c r="G27" s="74"/>
      <c r="H27" s="91">
        <f t="shared" si="3"/>
        <v>-21359.999999999996</v>
      </c>
      <c r="I27" s="91">
        <f t="shared" si="4"/>
        <v>-66360</v>
      </c>
      <c r="M27">
        <v>25</v>
      </c>
      <c r="N27" t="s">
        <v>169</v>
      </c>
      <c r="O27" t="s">
        <v>170</v>
      </c>
      <c r="P27" s="75">
        <v>0.52079861111111114</v>
      </c>
      <c r="Q27" t="s">
        <v>117</v>
      </c>
      <c r="R27" s="74">
        <v>0.20833333333333334</v>
      </c>
      <c r="S27" s="74">
        <v>0.89027777777777783</v>
      </c>
      <c r="T27" s="74">
        <v>0.23750000000000002</v>
      </c>
      <c r="U27" s="74">
        <v>0.86111111111111116</v>
      </c>
      <c r="V27" s="74">
        <v>0.26527777777777778</v>
      </c>
      <c r="W27" s="74">
        <v>0.83333333333333337</v>
      </c>
      <c r="X27" t="s">
        <v>171</v>
      </c>
      <c r="Y27">
        <v>149.19200000000001</v>
      </c>
    </row>
    <row r="28" spans="1:25">
      <c r="A28" s="72">
        <f t="shared" si="2"/>
        <v>43185</v>
      </c>
      <c r="B28" s="86">
        <f t="shared" ref="B28:B33" si="10">LEFT(N28,5)*1-1/24</f>
        <v>0.24583333333333332</v>
      </c>
      <c r="C28" s="74">
        <f t="shared" si="9"/>
        <v>0.76944444444444449</v>
      </c>
      <c r="D28">
        <f t="shared" si="7"/>
        <v>85</v>
      </c>
      <c r="E28" s="7">
        <f t="shared" si="8"/>
        <v>275</v>
      </c>
      <c r="F28" s="86"/>
      <c r="G28" s="74"/>
      <c r="H28" s="91">
        <f t="shared" si="3"/>
        <v>-21239.999999999996</v>
      </c>
      <c r="I28" s="91">
        <f t="shared" si="4"/>
        <v>-66480</v>
      </c>
      <c r="M28">
        <v>26</v>
      </c>
      <c r="N28" t="s">
        <v>172</v>
      </c>
      <c r="O28" t="s">
        <v>173</v>
      </c>
      <c r="P28" s="75">
        <v>0.52357638888888891</v>
      </c>
      <c r="Q28" t="s">
        <v>117</v>
      </c>
      <c r="R28" s="74">
        <v>0.20694444444444446</v>
      </c>
      <c r="S28" s="74">
        <v>0.89236111111111116</v>
      </c>
      <c r="T28" s="74">
        <v>0.23611111111111113</v>
      </c>
      <c r="U28" s="74">
        <v>0.86249999999999993</v>
      </c>
      <c r="V28" s="74">
        <v>0.2638888888888889</v>
      </c>
      <c r="W28" s="74">
        <v>0.8340277777777777</v>
      </c>
      <c r="X28" t="s">
        <v>174</v>
      </c>
      <c r="Y28">
        <v>149.233</v>
      </c>
    </row>
    <row r="29" spans="1:25">
      <c r="A29" s="72">
        <f t="shared" si="2"/>
        <v>43186</v>
      </c>
      <c r="B29" s="86">
        <f t="shared" si="10"/>
        <v>0.24374999999999999</v>
      </c>
      <c r="C29" s="74">
        <f t="shared" si="9"/>
        <v>0.77013888888888893</v>
      </c>
      <c r="D29">
        <f t="shared" si="7"/>
        <v>85</v>
      </c>
      <c r="E29" s="7">
        <f t="shared" si="8"/>
        <v>276</v>
      </c>
      <c r="F29" s="86"/>
      <c r="G29" s="74"/>
      <c r="H29" s="91">
        <f t="shared" si="3"/>
        <v>-21060</v>
      </c>
      <c r="I29" s="91">
        <f t="shared" si="4"/>
        <v>-66540</v>
      </c>
      <c r="M29">
        <v>27</v>
      </c>
      <c r="N29" t="s">
        <v>175</v>
      </c>
      <c r="O29" t="s">
        <v>176</v>
      </c>
      <c r="P29" s="75">
        <v>0.52634259259259253</v>
      </c>
      <c r="Q29" t="s">
        <v>107</v>
      </c>
      <c r="R29" s="74">
        <v>0.20486111111111113</v>
      </c>
      <c r="S29" s="74">
        <v>0.89374999999999993</v>
      </c>
      <c r="T29" s="74">
        <v>0.23402777777777781</v>
      </c>
      <c r="U29" s="74">
        <v>0.86388888888888893</v>
      </c>
      <c r="V29" s="74">
        <v>0.26250000000000001</v>
      </c>
      <c r="W29" s="74">
        <v>0.8354166666666667</v>
      </c>
      <c r="X29" t="s">
        <v>177</v>
      </c>
      <c r="Y29">
        <v>149.27500000000001</v>
      </c>
    </row>
    <row r="30" spans="1:25">
      <c r="A30" s="72">
        <f t="shared" si="2"/>
        <v>43187</v>
      </c>
      <c r="B30" s="86">
        <f t="shared" si="10"/>
        <v>0.24236111111111111</v>
      </c>
      <c r="C30" s="74">
        <f t="shared" si="9"/>
        <v>0.77152777777777781</v>
      </c>
      <c r="D30">
        <f t="shared" si="7"/>
        <v>84</v>
      </c>
      <c r="E30" s="7">
        <f t="shared" si="8"/>
        <v>276</v>
      </c>
      <c r="F30" s="86"/>
      <c r="G30" s="74"/>
      <c r="H30" s="91">
        <f t="shared" si="3"/>
        <v>-20940</v>
      </c>
      <c r="I30" s="91">
        <f t="shared" si="4"/>
        <v>-66660</v>
      </c>
      <c r="M30">
        <v>28</v>
      </c>
      <c r="N30" t="s">
        <v>178</v>
      </c>
      <c r="O30" t="s">
        <v>179</v>
      </c>
      <c r="P30" s="75">
        <v>0.5291203703703703</v>
      </c>
      <c r="Q30" t="s">
        <v>117</v>
      </c>
      <c r="R30" s="74">
        <v>0.20277777777777781</v>
      </c>
      <c r="S30" s="74">
        <v>0.89513888888888893</v>
      </c>
      <c r="T30" s="74">
        <v>0.23263888888888887</v>
      </c>
      <c r="U30" s="74">
        <v>0.8652777777777777</v>
      </c>
      <c r="V30" s="74">
        <v>0.26041666666666669</v>
      </c>
      <c r="W30" s="74">
        <v>0.83680555555555547</v>
      </c>
      <c r="X30" t="s">
        <v>180</v>
      </c>
      <c r="Y30">
        <v>149.31700000000001</v>
      </c>
    </row>
    <row r="31" spans="1:25">
      <c r="A31" s="72">
        <f t="shared" si="2"/>
        <v>43188</v>
      </c>
      <c r="B31" s="86">
        <f t="shared" si="10"/>
        <v>0.24097222222222223</v>
      </c>
      <c r="C31" s="74">
        <f t="shared" si="9"/>
        <v>0.7729166666666667</v>
      </c>
      <c r="D31">
        <f t="shared" si="7"/>
        <v>83</v>
      </c>
      <c r="E31" s="7">
        <f t="shared" si="8"/>
        <v>277</v>
      </c>
      <c r="F31" s="86"/>
      <c r="G31" s="74"/>
      <c r="H31" s="91">
        <f t="shared" si="3"/>
        <v>-20820</v>
      </c>
      <c r="I31" s="91">
        <f t="shared" si="4"/>
        <v>-66780</v>
      </c>
      <c r="M31">
        <v>29</v>
      </c>
      <c r="N31" t="s">
        <v>181</v>
      </c>
      <c r="O31" t="s">
        <v>182</v>
      </c>
      <c r="P31" s="75">
        <v>0.53188657407407403</v>
      </c>
      <c r="Q31" t="s">
        <v>107</v>
      </c>
      <c r="R31" s="74">
        <v>0.20069444444444443</v>
      </c>
      <c r="S31" s="74">
        <v>0.8965277777777777</v>
      </c>
      <c r="T31" s="74">
        <v>0.23055555555555554</v>
      </c>
      <c r="U31" s="74">
        <v>0.8666666666666667</v>
      </c>
      <c r="V31" s="74">
        <v>0.2590277777777778</v>
      </c>
      <c r="W31" s="74">
        <v>0.83819444444444446</v>
      </c>
      <c r="X31" t="s">
        <v>183</v>
      </c>
      <c r="Y31">
        <v>149.35900000000001</v>
      </c>
    </row>
    <row r="32" spans="1:25">
      <c r="A32" s="72">
        <f t="shared" si="2"/>
        <v>43189</v>
      </c>
      <c r="B32" s="86">
        <f t="shared" si="10"/>
        <v>0.23958333333333334</v>
      </c>
      <c r="C32" s="74">
        <f t="shared" si="9"/>
        <v>0.77361111111111114</v>
      </c>
      <c r="D32">
        <f t="shared" si="7"/>
        <v>83</v>
      </c>
      <c r="E32" s="7">
        <f t="shared" si="8"/>
        <v>277</v>
      </c>
      <c r="F32" s="86"/>
      <c r="G32" s="74"/>
      <c r="H32" s="91">
        <f t="shared" si="3"/>
        <v>-20700</v>
      </c>
      <c r="I32" s="91">
        <f t="shared" si="4"/>
        <v>-66840</v>
      </c>
      <c r="M32">
        <v>30</v>
      </c>
      <c r="N32" t="s">
        <v>184</v>
      </c>
      <c r="O32" t="s">
        <v>185</v>
      </c>
      <c r="P32" s="75">
        <v>0.53465277777777775</v>
      </c>
      <c r="Q32" t="s">
        <v>107</v>
      </c>
      <c r="R32" s="74">
        <v>0.19930555555555554</v>
      </c>
      <c r="S32" s="74">
        <v>0.8979166666666667</v>
      </c>
      <c r="T32" s="74">
        <v>0.22916666666666666</v>
      </c>
      <c r="U32" s="74">
        <v>0.86736111111111114</v>
      </c>
      <c r="V32" s="74">
        <v>0.25763888888888892</v>
      </c>
      <c r="W32" s="74">
        <v>0.83958333333333324</v>
      </c>
      <c r="X32" t="s">
        <v>186</v>
      </c>
      <c r="Y32">
        <v>149.40100000000001</v>
      </c>
    </row>
    <row r="33" spans="1:25" ht="15.75" thickBot="1">
      <c r="A33" s="72">
        <f t="shared" si="2"/>
        <v>43190</v>
      </c>
      <c r="B33" s="87">
        <f t="shared" si="10"/>
        <v>0.23750000000000002</v>
      </c>
      <c r="C33" s="88">
        <f t="shared" si="9"/>
        <v>0.77500000000000002</v>
      </c>
      <c r="D33" s="33">
        <f t="shared" si="7"/>
        <v>82</v>
      </c>
      <c r="E33" s="11">
        <f t="shared" si="8"/>
        <v>278</v>
      </c>
      <c r="F33" s="87"/>
      <c r="G33" s="88"/>
      <c r="H33" s="93">
        <f t="shared" si="3"/>
        <v>-20520</v>
      </c>
      <c r="I33" s="93">
        <f t="shared" si="4"/>
        <v>-66960</v>
      </c>
      <c r="M33">
        <v>31</v>
      </c>
      <c r="N33" t="s">
        <v>187</v>
      </c>
      <c r="O33" t="s">
        <v>188</v>
      </c>
      <c r="P33" s="75">
        <v>0.53741898148148148</v>
      </c>
      <c r="Q33" t="s">
        <v>107</v>
      </c>
      <c r="R33" s="74">
        <v>0.19722222222222222</v>
      </c>
      <c r="S33" s="74">
        <v>0.89930555555555547</v>
      </c>
      <c r="T33" s="74">
        <v>0.22708333333333333</v>
      </c>
      <c r="U33" s="74">
        <v>0.86875000000000002</v>
      </c>
      <c r="V33" s="74">
        <v>0.25555555555555559</v>
      </c>
      <c r="W33" s="74">
        <v>0.84027777777777779</v>
      </c>
      <c r="X33" t="s">
        <v>189</v>
      </c>
      <c r="Y33">
        <v>149.44399999999999</v>
      </c>
    </row>
    <row r="35" spans="1:25" ht="15.75" thickBot="1">
      <c r="H35" s="94">
        <f>AVERAGE(H37:H67)</f>
        <v>-26706.206896551725</v>
      </c>
      <c r="I35" s="94">
        <f>AVERAGE(I37:I67)</f>
        <v>-58437.931034482761</v>
      </c>
      <c r="M35" t="s">
        <v>198</v>
      </c>
      <c r="N35" t="s">
        <v>82</v>
      </c>
      <c r="O35" t="s">
        <v>83</v>
      </c>
      <c r="P35" t="s">
        <v>85</v>
      </c>
      <c r="Q35" t="s">
        <v>86</v>
      </c>
      <c r="R35" t="s">
        <v>87</v>
      </c>
      <c r="S35" t="s">
        <v>88</v>
      </c>
      <c r="T35" t="s">
        <v>87</v>
      </c>
      <c r="U35" t="s">
        <v>88</v>
      </c>
      <c r="V35" t="s">
        <v>87</v>
      </c>
      <c r="W35" t="s">
        <v>88</v>
      </c>
      <c r="X35" t="s">
        <v>89</v>
      </c>
      <c r="Y35" t="s">
        <v>90</v>
      </c>
    </row>
    <row r="36" spans="1:25">
      <c r="A36" s="72">
        <f>DATE(2025,11,M36)</f>
        <v>45962</v>
      </c>
      <c r="B36" s="84">
        <f t="shared" ref="B36:C39" si="11">LEFT(N36,5)*1</f>
        <v>0.29097222222222224</v>
      </c>
      <c r="C36" s="85">
        <f t="shared" si="11"/>
        <v>0.69166666666666665</v>
      </c>
      <c r="D36" s="31">
        <f>MID(N36,10,3)*1</f>
        <v>113</v>
      </c>
      <c r="E36" s="10">
        <f>MID(O36,10,3)*1</f>
        <v>247</v>
      </c>
      <c r="F36" s="84"/>
      <c r="G36" s="85"/>
      <c r="H36" s="89">
        <f>(F36-B36)*24*3600</f>
        <v>-25140.000000000004</v>
      </c>
      <c r="I36" s="90">
        <f>(G36-C36)*24*3600</f>
        <v>-59760.000000000007</v>
      </c>
      <c r="M36">
        <v>1</v>
      </c>
      <c r="N36" t="s">
        <v>199</v>
      </c>
      <c r="O36" t="s">
        <v>200</v>
      </c>
      <c r="P36" s="75">
        <v>0.40096064814814819</v>
      </c>
      <c r="Q36" s="72" t="s">
        <v>290</v>
      </c>
      <c r="R36" s="74">
        <v>0.21180555555555555</v>
      </c>
      <c r="S36" s="74">
        <v>0.77083333333333337</v>
      </c>
      <c r="T36" s="74">
        <v>0.2388888888888889</v>
      </c>
      <c r="U36" s="74">
        <v>0.74444444444444446</v>
      </c>
      <c r="V36" s="74">
        <v>0.26666666666666666</v>
      </c>
      <c r="W36" s="74">
        <v>0.71666666666666667</v>
      </c>
      <c r="X36" t="s">
        <v>201</v>
      </c>
      <c r="Y36">
        <v>148.47200000000001</v>
      </c>
    </row>
    <row r="37" spans="1:25">
      <c r="A37" s="72">
        <f t="shared" ref="A37:A39" si="12">DATE(2025,11,M37)</f>
        <v>45963</v>
      </c>
      <c r="B37" s="86">
        <f t="shared" si="11"/>
        <v>0.29236111111111113</v>
      </c>
      <c r="C37" s="74">
        <f t="shared" si="11"/>
        <v>0.69097222222222221</v>
      </c>
      <c r="D37">
        <f>MID(N37,10,3)*1</f>
        <v>113</v>
      </c>
      <c r="E37" s="7">
        <f>MID(O37,10,3)*1</f>
        <v>246</v>
      </c>
      <c r="F37" s="86"/>
      <c r="G37" s="74"/>
      <c r="H37" s="91">
        <f t="shared" ref="H37:H39" si="13">(F37-B37)*24*3600</f>
        <v>-25260.000000000004</v>
      </c>
      <c r="I37" s="92">
        <f t="shared" ref="I37:I39" si="14">(G37-C37)*24*3600</f>
        <v>-59699.999999999993</v>
      </c>
      <c r="M37">
        <v>2</v>
      </c>
      <c r="N37" t="s">
        <v>202</v>
      </c>
      <c r="O37" t="s">
        <v>203</v>
      </c>
      <c r="P37" s="75">
        <v>0.39847222222222217</v>
      </c>
      <c r="Q37" s="72" t="s">
        <v>291</v>
      </c>
      <c r="R37" s="74">
        <v>0.21249999999999999</v>
      </c>
      <c r="S37" s="74">
        <v>0.77013888888888893</v>
      </c>
      <c r="T37" s="74">
        <v>0.23958333333333334</v>
      </c>
      <c r="U37" s="74">
        <v>0.74305555555555547</v>
      </c>
      <c r="V37" s="74">
        <v>0.2673611111111111</v>
      </c>
      <c r="W37" s="74">
        <v>0.71527777777777779</v>
      </c>
      <c r="X37" t="s">
        <v>204</v>
      </c>
      <c r="Y37">
        <v>148.43299999999999</v>
      </c>
    </row>
    <row r="38" spans="1:25">
      <c r="A38" s="72">
        <f t="shared" si="12"/>
        <v>45964</v>
      </c>
      <c r="B38" s="86">
        <f t="shared" si="11"/>
        <v>0.29375000000000001</v>
      </c>
      <c r="C38" s="74">
        <f t="shared" si="11"/>
        <v>0.68958333333333333</v>
      </c>
      <c r="D38">
        <f t="shared" ref="D38" si="15">MID(N38,10,IF(MID(N38,10,1)="1",3,2))*1</f>
        <v>114</v>
      </c>
      <c r="E38" s="7">
        <f>MID(O38,10,3)*1</f>
        <v>246</v>
      </c>
      <c r="F38" s="86"/>
      <c r="G38" s="74"/>
      <c r="H38" s="91">
        <f t="shared" si="13"/>
        <v>-25380.000000000004</v>
      </c>
      <c r="I38" s="92">
        <f t="shared" si="14"/>
        <v>-59580</v>
      </c>
      <c r="M38">
        <v>3</v>
      </c>
      <c r="N38" t="s">
        <v>205</v>
      </c>
      <c r="O38" t="s">
        <v>206</v>
      </c>
      <c r="P38" s="75">
        <v>0.39600694444444445</v>
      </c>
      <c r="Q38" s="72" t="s">
        <v>292</v>
      </c>
      <c r="R38" s="74">
        <v>0.21388888888888891</v>
      </c>
      <c r="S38" s="74">
        <v>0.76874999999999993</v>
      </c>
      <c r="T38" s="74">
        <v>0.24097222222222223</v>
      </c>
      <c r="U38" s="74">
        <v>0.7416666666666667</v>
      </c>
      <c r="V38" s="74">
        <v>0.26874999999999999</v>
      </c>
      <c r="W38" s="74">
        <v>0.71388888888888891</v>
      </c>
      <c r="X38" t="s">
        <v>207</v>
      </c>
      <c r="Y38">
        <v>148.39500000000001</v>
      </c>
    </row>
    <row r="39" spans="1:25">
      <c r="A39" s="72">
        <f t="shared" si="12"/>
        <v>45965</v>
      </c>
      <c r="B39" s="86">
        <f t="shared" si="11"/>
        <v>0.29444444444444445</v>
      </c>
      <c r="C39" s="74">
        <f t="shared" si="11"/>
        <v>0.68819444444444444</v>
      </c>
      <c r="D39">
        <f>MID(N39,10,IF(MID(N39,10,1)="1",3,2))*1</f>
        <v>114</v>
      </c>
      <c r="E39" s="7">
        <f>MID(O39,10,3)*1</f>
        <v>245</v>
      </c>
      <c r="F39" s="86"/>
      <c r="G39" s="74"/>
      <c r="H39" s="91">
        <f t="shared" si="13"/>
        <v>-25440</v>
      </c>
      <c r="I39" s="92">
        <f t="shared" si="14"/>
        <v>-59460</v>
      </c>
      <c r="M39">
        <v>4</v>
      </c>
      <c r="N39" t="s">
        <v>208</v>
      </c>
      <c r="O39" t="s">
        <v>209</v>
      </c>
      <c r="P39" s="75">
        <v>0.39355324074074072</v>
      </c>
      <c r="Q39" s="72" t="s">
        <v>293</v>
      </c>
      <c r="R39" s="74">
        <v>0.21527777777777779</v>
      </c>
      <c r="S39" s="74">
        <v>0.7680555555555556</v>
      </c>
      <c r="T39" s="74">
        <v>0.24236111111111111</v>
      </c>
      <c r="U39" s="74">
        <v>0.74097222222222225</v>
      </c>
      <c r="V39" s="74">
        <v>0.27013888888888887</v>
      </c>
      <c r="W39" s="74">
        <v>0.71319444444444446</v>
      </c>
      <c r="X39" t="s">
        <v>210</v>
      </c>
      <c r="Y39">
        <v>148.357</v>
      </c>
    </row>
    <row r="40" spans="1:25">
      <c r="A40" s="72">
        <f t="shared" ref="A40:A65" si="16">DATE(2025,11,M40)</f>
        <v>45966</v>
      </c>
      <c r="B40" s="86">
        <f t="shared" ref="B40:B65" si="17">LEFT(N40,5)*1</f>
        <v>0.29583333333333334</v>
      </c>
      <c r="C40" s="74">
        <f t="shared" ref="C40:C65" si="18">LEFT(O40,5)*1</f>
        <v>0.68680555555555556</v>
      </c>
      <c r="D40">
        <f t="shared" ref="D40:D65" si="19">MID(N40,10,IF(MID(N40,10,1)="1",3,2))*1</f>
        <v>115</v>
      </c>
      <c r="E40" s="7">
        <f t="shared" ref="E40:E65" si="20">MID(O40,10,3)*1</f>
        <v>245</v>
      </c>
      <c r="F40" s="86"/>
      <c r="G40" s="74"/>
      <c r="H40" s="91">
        <f t="shared" ref="H40:H65" si="21">(F40-B40)*24*3600</f>
        <v>-25560</v>
      </c>
      <c r="I40" s="92">
        <f t="shared" ref="I40:I65" si="22">(G40-C40)*24*3600</f>
        <v>-59340</v>
      </c>
      <c r="M40">
        <v>5</v>
      </c>
      <c r="N40" t="s">
        <v>211</v>
      </c>
      <c r="O40" t="s">
        <v>212</v>
      </c>
      <c r="P40" s="75">
        <v>0.39112268518518517</v>
      </c>
      <c r="Q40" s="72" t="s">
        <v>294</v>
      </c>
      <c r="R40" s="74">
        <v>0.21597222222222223</v>
      </c>
      <c r="S40" s="74">
        <v>0.76666666666666661</v>
      </c>
      <c r="T40" s="74">
        <v>0.24305555555555555</v>
      </c>
      <c r="U40" s="74">
        <v>0.73958333333333337</v>
      </c>
      <c r="V40" s="74">
        <v>0.27083333333333331</v>
      </c>
      <c r="W40" s="74">
        <v>0.71180555555555547</v>
      </c>
      <c r="X40" t="s">
        <v>213</v>
      </c>
      <c r="Y40">
        <v>148.31899999999999</v>
      </c>
    </row>
    <row r="41" spans="1:25">
      <c r="A41" s="72">
        <f t="shared" si="16"/>
        <v>45967</v>
      </c>
      <c r="B41" s="86">
        <f t="shared" si="17"/>
        <v>0.29722222222222222</v>
      </c>
      <c r="C41" s="74">
        <f t="shared" si="18"/>
        <v>0.68611111111111112</v>
      </c>
      <c r="D41">
        <f t="shared" si="19"/>
        <v>115</v>
      </c>
      <c r="E41" s="7">
        <f t="shared" si="20"/>
        <v>244</v>
      </c>
      <c r="F41" s="86"/>
      <c r="G41" s="74"/>
      <c r="H41" s="91">
        <f t="shared" si="21"/>
        <v>-25680</v>
      </c>
      <c r="I41" s="92">
        <f t="shared" si="22"/>
        <v>-59280.000000000007</v>
      </c>
      <c r="M41">
        <v>6</v>
      </c>
      <c r="N41" t="s">
        <v>214</v>
      </c>
      <c r="O41" t="s">
        <v>215</v>
      </c>
      <c r="P41" s="75">
        <v>0.38871527777777781</v>
      </c>
      <c r="Q41" s="72" t="s">
        <v>295</v>
      </c>
      <c r="R41" s="74">
        <v>0.21736111111111112</v>
      </c>
      <c r="S41" s="74">
        <v>0.76597222222222217</v>
      </c>
      <c r="T41" s="74">
        <v>0.24444444444444446</v>
      </c>
      <c r="U41" s="74">
        <v>0.73888888888888893</v>
      </c>
      <c r="V41" s="74">
        <v>0.2722222222222222</v>
      </c>
      <c r="W41" s="74">
        <v>0.71111111111111114</v>
      </c>
      <c r="X41" t="s">
        <v>216</v>
      </c>
      <c r="Y41">
        <v>148.28200000000001</v>
      </c>
    </row>
    <row r="42" spans="1:25">
      <c r="A42" s="72">
        <f t="shared" si="16"/>
        <v>45968</v>
      </c>
      <c r="B42" s="86">
        <f t="shared" si="17"/>
        <v>0.2986111111111111</v>
      </c>
      <c r="C42" s="74">
        <f t="shared" si="18"/>
        <v>0.68472222222222223</v>
      </c>
      <c r="D42">
        <f t="shared" si="19"/>
        <v>116</v>
      </c>
      <c r="E42" s="7">
        <f t="shared" si="20"/>
        <v>244</v>
      </c>
      <c r="F42" s="86"/>
      <c r="G42" s="74"/>
      <c r="H42" s="91">
        <f t="shared" si="21"/>
        <v>-25799.999999999996</v>
      </c>
      <c r="I42" s="92">
        <f t="shared" si="22"/>
        <v>-59160</v>
      </c>
      <c r="M42">
        <v>7</v>
      </c>
      <c r="N42" t="s">
        <v>217</v>
      </c>
      <c r="O42" t="s">
        <v>218</v>
      </c>
      <c r="P42" s="75">
        <v>0.38633101851851853</v>
      </c>
      <c r="Q42" s="72" t="s">
        <v>296</v>
      </c>
      <c r="R42" s="74">
        <v>0.21805555555555556</v>
      </c>
      <c r="S42" s="74">
        <v>0.76458333333333339</v>
      </c>
      <c r="T42" s="74">
        <v>0.24513888888888888</v>
      </c>
      <c r="U42" s="74">
        <v>0.73749999999999993</v>
      </c>
      <c r="V42" s="74">
        <v>0.27361111111111108</v>
      </c>
      <c r="W42" s="74">
        <v>0.70972222222222225</v>
      </c>
      <c r="X42" t="s">
        <v>219</v>
      </c>
      <c r="Y42">
        <v>148.24600000000001</v>
      </c>
    </row>
    <row r="43" spans="1:25">
      <c r="A43" s="72">
        <f t="shared" si="16"/>
        <v>45969</v>
      </c>
      <c r="B43" s="86">
        <f t="shared" si="17"/>
        <v>0.3</v>
      </c>
      <c r="C43" s="74">
        <f t="shared" si="18"/>
        <v>0.68333333333333335</v>
      </c>
      <c r="D43">
        <f t="shared" si="19"/>
        <v>116</v>
      </c>
      <c r="E43" s="7">
        <f t="shared" si="20"/>
        <v>243</v>
      </c>
      <c r="F43" s="86"/>
      <c r="G43" s="74"/>
      <c r="H43" s="91">
        <f t="shared" si="21"/>
        <v>-25919.999999999996</v>
      </c>
      <c r="I43" s="92">
        <f t="shared" si="22"/>
        <v>-59039.999999999993</v>
      </c>
      <c r="M43">
        <v>8</v>
      </c>
      <c r="N43" t="s">
        <v>220</v>
      </c>
      <c r="O43" t="s">
        <v>221</v>
      </c>
      <c r="P43" s="75">
        <v>0.38395833333333335</v>
      </c>
      <c r="Q43" s="72" t="s">
        <v>297</v>
      </c>
      <c r="R43" s="74">
        <v>0.21944444444444444</v>
      </c>
      <c r="S43" s="74">
        <v>0.76388888888888884</v>
      </c>
      <c r="T43" s="74">
        <v>0.24652777777777779</v>
      </c>
      <c r="U43" s="74">
        <v>0.7368055555555556</v>
      </c>
      <c r="V43" s="74">
        <v>0.27430555555555552</v>
      </c>
      <c r="W43" s="74">
        <v>0.7090277777777777</v>
      </c>
      <c r="X43" t="s">
        <v>222</v>
      </c>
      <c r="Y43">
        <v>148.21</v>
      </c>
    </row>
    <row r="44" spans="1:25">
      <c r="A44" s="72">
        <f t="shared" si="16"/>
        <v>45970</v>
      </c>
      <c r="B44" s="86">
        <f t="shared" si="17"/>
        <v>0.30069444444444443</v>
      </c>
      <c r="C44" s="74">
        <f t="shared" si="18"/>
        <v>0.68263888888888891</v>
      </c>
      <c r="D44">
        <f t="shared" si="19"/>
        <v>117</v>
      </c>
      <c r="E44" s="7">
        <f t="shared" si="20"/>
        <v>243</v>
      </c>
      <c r="F44" s="86"/>
      <c r="G44" s="74"/>
      <c r="H44" s="91">
        <f t="shared" si="21"/>
        <v>-25980</v>
      </c>
      <c r="I44" s="92">
        <f t="shared" si="22"/>
        <v>-58980</v>
      </c>
      <c r="M44">
        <v>9</v>
      </c>
      <c r="N44" t="s">
        <v>223</v>
      </c>
      <c r="O44" t="s">
        <v>224</v>
      </c>
      <c r="P44" s="75">
        <v>0.38163194444444448</v>
      </c>
      <c r="Q44" s="72" t="s">
        <v>298</v>
      </c>
      <c r="R44" s="74">
        <v>0.22013888888888888</v>
      </c>
      <c r="S44" s="74">
        <v>0.7631944444444444</v>
      </c>
      <c r="T44" s="74">
        <v>0.24722222222222223</v>
      </c>
      <c r="U44" s="74">
        <v>0.73611111111111116</v>
      </c>
      <c r="V44" s="74">
        <v>0.27569444444444446</v>
      </c>
      <c r="W44" s="74">
        <v>0.70763888888888893</v>
      </c>
      <c r="X44" t="s">
        <v>225</v>
      </c>
      <c r="Y44">
        <v>148.17500000000001</v>
      </c>
    </row>
    <row r="45" spans="1:25">
      <c r="A45" s="72">
        <f t="shared" si="16"/>
        <v>45971</v>
      </c>
      <c r="B45" s="86">
        <f t="shared" si="17"/>
        <v>0.30208333333333331</v>
      </c>
      <c r="C45" s="74">
        <f t="shared" si="18"/>
        <v>0.68125000000000002</v>
      </c>
      <c r="D45">
        <f t="shared" si="19"/>
        <v>117</v>
      </c>
      <c r="E45" s="7">
        <f t="shared" si="20"/>
        <v>242</v>
      </c>
      <c r="F45" s="86"/>
      <c r="G45" s="74"/>
      <c r="H45" s="91">
        <f t="shared" si="21"/>
        <v>-26100</v>
      </c>
      <c r="I45" s="92">
        <f t="shared" si="22"/>
        <v>-58860.000000000007</v>
      </c>
      <c r="M45">
        <v>10</v>
      </c>
      <c r="N45" t="s">
        <v>226</v>
      </c>
      <c r="O45" t="s">
        <v>227</v>
      </c>
      <c r="P45" s="75">
        <v>0.3793171296296296</v>
      </c>
      <c r="Q45" s="72" t="s">
        <v>299</v>
      </c>
      <c r="R45" s="74">
        <v>0.22152777777777777</v>
      </c>
      <c r="S45" s="74">
        <v>0.76250000000000007</v>
      </c>
      <c r="T45" s="74">
        <v>0.24861111111111112</v>
      </c>
      <c r="U45" s="74">
        <v>0.73472222222222217</v>
      </c>
      <c r="V45" s="74">
        <v>0.27638888888888885</v>
      </c>
      <c r="W45" s="74">
        <v>0.70694444444444438</v>
      </c>
      <c r="X45" t="s">
        <v>228</v>
      </c>
      <c r="Y45">
        <v>148.14099999999999</v>
      </c>
    </row>
    <row r="46" spans="1:25">
      <c r="A46" s="72">
        <f t="shared" si="16"/>
        <v>45972</v>
      </c>
      <c r="B46" s="86">
        <f t="shared" si="17"/>
        <v>0.3034722222222222</v>
      </c>
      <c r="C46" s="74">
        <f t="shared" si="18"/>
        <v>0.68055555555555558</v>
      </c>
      <c r="D46">
        <f t="shared" si="19"/>
        <v>118</v>
      </c>
      <c r="E46" s="7">
        <f t="shared" si="20"/>
        <v>242</v>
      </c>
      <c r="F46" s="86"/>
      <c r="G46" s="74"/>
      <c r="H46" s="91">
        <f t="shared" si="21"/>
        <v>-26220</v>
      </c>
      <c r="I46" s="92">
        <f t="shared" si="22"/>
        <v>-58800.000000000007</v>
      </c>
      <c r="M46">
        <v>11</v>
      </c>
      <c r="N46" t="s">
        <v>229</v>
      </c>
      <c r="O46" t="s">
        <v>230</v>
      </c>
      <c r="P46" s="75">
        <v>0.37703703703703706</v>
      </c>
      <c r="Q46" s="72" t="s">
        <v>300</v>
      </c>
      <c r="R46" s="74">
        <v>0.22222222222222221</v>
      </c>
      <c r="S46" s="74">
        <v>0.76111111111111107</v>
      </c>
      <c r="T46" s="74">
        <v>0.25</v>
      </c>
      <c r="U46" s="74">
        <v>0.73402777777777783</v>
      </c>
      <c r="V46" s="74">
        <v>0.27777777777777779</v>
      </c>
      <c r="W46" s="74">
        <v>0.7055555555555556</v>
      </c>
      <c r="X46" t="s">
        <v>231</v>
      </c>
      <c r="Y46">
        <v>148.107</v>
      </c>
    </row>
    <row r="47" spans="1:25">
      <c r="A47" s="72">
        <f t="shared" si="16"/>
        <v>45973</v>
      </c>
      <c r="B47" s="86">
        <f t="shared" si="17"/>
        <v>0.30486111111111114</v>
      </c>
      <c r="C47" s="74">
        <f t="shared" si="18"/>
        <v>0.6791666666666667</v>
      </c>
      <c r="D47">
        <f t="shared" si="19"/>
        <v>118</v>
      </c>
      <c r="E47" s="7">
        <f t="shared" si="20"/>
        <v>241</v>
      </c>
      <c r="F47" s="86"/>
      <c r="G47" s="74"/>
      <c r="H47" s="91">
        <f t="shared" si="21"/>
        <v>-26340.000000000004</v>
      </c>
      <c r="I47" s="92">
        <f t="shared" si="22"/>
        <v>-58680</v>
      </c>
      <c r="M47">
        <v>12</v>
      </c>
      <c r="N47" t="s">
        <v>232</v>
      </c>
      <c r="O47" t="s">
        <v>233</v>
      </c>
      <c r="P47" s="75">
        <v>0.3747800925925926</v>
      </c>
      <c r="Q47" s="72" t="s">
        <v>301</v>
      </c>
      <c r="R47" s="74">
        <v>0.22361111111111109</v>
      </c>
      <c r="S47" s="74">
        <v>0.76041666666666663</v>
      </c>
      <c r="T47" s="74">
        <v>0.25069444444444444</v>
      </c>
      <c r="U47" s="74">
        <v>0.73333333333333339</v>
      </c>
      <c r="V47" s="74">
        <v>0.27916666666666667</v>
      </c>
      <c r="W47" s="74">
        <v>0.70486111111111116</v>
      </c>
      <c r="X47" t="s">
        <v>234</v>
      </c>
      <c r="Y47">
        <v>148.07300000000001</v>
      </c>
    </row>
    <row r="48" spans="1:25">
      <c r="A48" s="72">
        <f t="shared" si="16"/>
        <v>45974</v>
      </c>
      <c r="B48" s="86">
        <f t="shared" si="17"/>
        <v>0.30555555555555558</v>
      </c>
      <c r="C48" s="74">
        <f t="shared" si="18"/>
        <v>0.67847222222222225</v>
      </c>
      <c r="D48">
        <f t="shared" si="19"/>
        <v>119</v>
      </c>
      <c r="E48" s="7">
        <f t="shared" si="20"/>
        <v>241</v>
      </c>
      <c r="F48" s="86"/>
      <c r="G48" s="74"/>
      <c r="H48" s="91">
        <f t="shared" si="21"/>
        <v>-26400.000000000004</v>
      </c>
      <c r="I48" s="92">
        <f t="shared" si="22"/>
        <v>-58620.000000000007</v>
      </c>
      <c r="M48">
        <v>13</v>
      </c>
      <c r="N48" t="s">
        <v>235</v>
      </c>
      <c r="O48" t="s">
        <v>236</v>
      </c>
      <c r="P48" s="75">
        <v>0.37255787037037041</v>
      </c>
      <c r="Q48" s="72" t="s">
        <v>302</v>
      </c>
      <c r="R48" s="74">
        <v>0.22430555555555556</v>
      </c>
      <c r="S48" s="74">
        <v>0.7597222222222223</v>
      </c>
      <c r="T48" s="74">
        <v>0.25208333333333333</v>
      </c>
      <c r="U48" s="74">
        <v>0.7319444444444444</v>
      </c>
      <c r="V48" s="74">
        <v>0.27986111111111112</v>
      </c>
      <c r="W48" s="74">
        <v>0.70416666666666661</v>
      </c>
      <c r="X48" t="s">
        <v>237</v>
      </c>
      <c r="Y48">
        <v>148.04</v>
      </c>
    </row>
    <row r="49" spans="1:25">
      <c r="A49" s="72">
        <f t="shared" si="16"/>
        <v>45975</v>
      </c>
      <c r="B49" s="86">
        <f t="shared" si="17"/>
        <v>0.30694444444444446</v>
      </c>
      <c r="C49" s="74">
        <f t="shared" si="18"/>
        <v>0.67708333333333337</v>
      </c>
      <c r="D49">
        <f t="shared" si="19"/>
        <v>119</v>
      </c>
      <c r="E49" s="7">
        <f t="shared" si="20"/>
        <v>241</v>
      </c>
      <c r="F49" s="86"/>
      <c r="G49" s="74"/>
      <c r="H49" s="91">
        <f t="shared" si="21"/>
        <v>-26520</v>
      </c>
      <c r="I49" s="92">
        <f t="shared" si="22"/>
        <v>-58500</v>
      </c>
      <c r="M49">
        <v>14</v>
      </c>
      <c r="N49" t="s">
        <v>238</v>
      </c>
      <c r="O49" t="s">
        <v>239</v>
      </c>
      <c r="P49" s="75">
        <v>0.37034722222222222</v>
      </c>
      <c r="Q49" s="72" t="s">
        <v>303</v>
      </c>
      <c r="R49" s="74">
        <v>0.22569444444444445</v>
      </c>
      <c r="S49" s="74">
        <v>0.75902777777777775</v>
      </c>
      <c r="T49" s="74">
        <v>0.25277777777777777</v>
      </c>
      <c r="U49" s="74">
        <v>0.73125000000000007</v>
      </c>
      <c r="V49" s="74">
        <v>0.28125</v>
      </c>
      <c r="W49" s="74">
        <v>0.70277777777777783</v>
      </c>
      <c r="X49" t="s">
        <v>240</v>
      </c>
      <c r="Y49">
        <v>148.00700000000001</v>
      </c>
    </row>
    <row r="50" spans="1:25">
      <c r="A50" s="72">
        <f t="shared" si="16"/>
        <v>45976</v>
      </c>
      <c r="B50" s="86">
        <f t="shared" si="17"/>
        <v>0.30833333333333335</v>
      </c>
      <c r="C50" s="74">
        <f t="shared" si="18"/>
        <v>0.67638888888888893</v>
      </c>
      <c r="D50">
        <f t="shared" si="19"/>
        <v>120</v>
      </c>
      <c r="E50" s="7">
        <f t="shared" si="20"/>
        <v>240</v>
      </c>
      <c r="F50" s="86"/>
      <c r="G50" s="74"/>
      <c r="H50" s="91">
        <f t="shared" si="21"/>
        <v>-26640</v>
      </c>
      <c r="I50" s="92">
        <f t="shared" si="22"/>
        <v>-58440</v>
      </c>
      <c r="M50">
        <v>15</v>
      </c>
      <c r="N50" t="s">
        <v>241</v>
      </c>
      <c r="O50" t="s">
        <v>242</v>
      </c>
      <c r="P50" s="75">
        <v>0.3681828703703704</v>
      </c>
      <c r="Q50" s="72" t="s">
        <v>304</v>
      </c>
      <c r="R50" s="74">
        <v>0.22638888888888889</v>
      </c>
      <c r="S50" s="74">
        <v>0.7583333333333333</v>
      </c>
      <c r="T50" s="74">
        <v>0.25416666666666665</v>
      </c>
      <c r="U50" s="74">
        <v>0.73055555555555562</v>
      </c>
      <c r="V50" s="74">
        <v>0.28263888888888888</v>
      </c>
      <c r="W50" s="74">
        <v>0.70208333333333339</v>
      </c>
      <c r="X50" t="s">
        <v>243</v>
      </c>
      <c r="Y50">
        <v>147.97499999999999</v>
      </c>
    </row>
    <row r="51" spans="1:25">
      <c r="A51" s="72">
        <f t="shared" si="16"/>
        <v>45977</v>
      </c>
      <c r="B51" s="86">
        <f t="shared" si="17"/>
        <v>0.30902777777777779</v>
      </c>
      <c r="C51" s="74">
        <f t="shared" si="18"/>
        <v>0.67569444444444449</v>
      </c>
      <c r="D51">
        <f t="shared" si="19"/>
        <v>120</v>
      </c>
      <c r="E51" s="7">
        <f t="shared" si="20"/>
        <v>240</v>
      </c>
      <c r="F51" s="86"/>
      <c r="G51" s="74"/>
      <c r="H51" s="91">
        <f t="shared" si="21"/>
        <v>-26700</v>
      </c>
      <c r="I51" s="92">
        <f t="shared" si="22"/>
        <v>-58380.000000000007</v>
      </c>
      <c r="M51">
        <v>16</v>
      </c>
      <c r="N51" t="s">
        <v>244</v>
      </c>
      <c r="O51" t="s">
        <v>245</v>
      </c>
      <c r="P51" s="75">
        <v>0.36605324074074069</v>
      </c>
      <c r="Q51" s="72" t="s">
        <v>305</v>
      </c>
      <c r="R51" s="74">
        <v>0.22708333333333333</v>
      </c>
      <c r="S51" s="74">
        <v>0.75763888888888886</v>
      </c>
      <c r="T51" s="74">
        <v>0.25486111111111109</v>
      </c>
      <c r="U51" s="74">
        <v>0.72986111111111107</v>
      </c>
      <c r="V51" s="74">
        <v>0.28333333333333333</v>
      </c>
      <c r="W51" s="74">
        <v>0.70138888888888884</v>
      </c>
      <c r="X51" t="s">
        <v>246</v>
      </c>
      <c r="Y51">
        <v>147.94300000000001</v>
      </c>
    </row>
    <row r="52" spans="1:25">
      <c r="A52" s="72">
        <f t="shared" si="16"/>
        <v>45978</v>
      </c>
      <c r="B52" s="86">
        <f t="shared" si="17"/>
        <v>0.31041666666666667</v>
      </c>
      <c r="C52" s="74">
        <f t="shared" si="18"/>
        <v>0.6743055555555556</v>
      </c>
      <c r="D52">
        <f t="shared" si="19"/>
        <v>121</v>
      </c>
      <c r="E52" s="7">
        <f t="shared" si="20"/>
        <v>239</v>
      </c>
      <c r="F52" s="86"/>
      <c r="G52" s="74"/>
      <c r="H52" s="91">
        <f t="shared" si="21"/>
        <v>-26820</v>
      </c>
      <c r="I52" s="92">
        <f t="shared" si="22"/>
        <v>-58260</v>
      </c>
      <c r="M52">
        <v>17</v>
      </c>
      <c r="N52" t="s">
        <v>247</v>
      </c>
      <c r="O52" t="s">
        <v>248</v>
      </c>
      <c r="P52" s="75">
        <v>0.36396990740740742</v>
      </c>
      <c r="Q52" t="s">
        <v>249</v>
      </c>
      <c r="R52" s="74">
        <v>0.22847222222222222</v>
      </c>
      <c r="S52" s="74">
        <v>0.75694444444444453</v>
      </c>
      <c r="T52" s="74">
        <v>0.25555555555555559</v>
      </c>
      <c r="U52" s="74">
        <v>0.72916666666666663</v>
      </c>
      <c r="V52" s="74">
        <v>0.28472222222222221</v>
      </c>
      <c r="W52" s="74">
        <v>0.7006944444444444</v>
      </c>
      <c r="X52" t="s">
        <v>250</v>
      </c>
      <c r="Y52">
        <v>147.91200000000001</v>
      </c>
    </row>
    <row r="53" spans="1:25">
      <c r="A53" s="72">
        <f t="shared" si="16"/>
        <v>45979</v>
      </c>
      <c r="B53" s="86">
        <f t="shared" si="17"/>
        <v>0.31180555555555556</v>
      </c>
      <c r="C53" s="74">
        <f t="shared" si="18"/>
        <v>0.67361111111111116</v>
      </c>
      <c r="D53">
        <f t="shared" si="19"/>
        <v>121</v>
      </c>
      <c r="E53" s="7">
        <f t="shared" si="20"/>
        <v>239</v>
      </c>
      <c r="F53" s="86"/>
      <c r="G53" s="74"/>
      <c r="H53" s="91">
        <f t="shared" si="21"/>
        <v>-26940</v>
      </c>
      <c r="I53" s="92">
        <f t="shared" si="22"/>
        <v>-58200.000000000007</v>
      </c>
      <c r="M53">
        <v>18</v>
      </c>
      <c r="N53" t="s">
        <v>251</v>
      </c>
      <c r="O53" t="s">
        <v>252</v>
      </c>
      <c r="P53" s="75">
        <v>0.36190972222222223</v>
      </c>
      <c r="Q53" t="s">
        <v>306</v>
      </c>
      <c r="R53" s="74">
        <v>0.22916666666666666</v>
      </c>
      <c r="S53" s="74">
        <v>0.75624999999999998</v>
      </c>
      <c r="T53" s="74">
        <v>0.25694444444444448</v>
      </c>
      <c r="U53" s="74">
        <v>0.7284722222222223</v>
      </c>
      <c r="V53" s="74">
        <v>0.28541666666666665</v>
      </c>
      <c r="W53" s="74">
        <v>0.70000000000000007</v>
      </c>
      <c r="X53" t="s">
        <v>253</v>
      </c>
      <c r="Y53">
        <v>147.88</v>
      </c>
    </row>
    <row r="54" spans="1:25">
      <c r="A54" s="72">
        <f t="shared" si="16"/>
        <v>45980</v>
      </c>
      <c r="B54" s="86">
        <f t="shared" si="17"/>
        <v>0.31319444444444444</v>
      </c>
      <c r="C54" s="74">
        <f t="shared" si="18"/>
        <v>0.67291666666666672</v>
      </c>
      <c r="D54">
        <f t="shared" si="19"/>
        <v>121</v>
      </c>
      <c r="E54" s="7">
        <f t="shared" si="20"/>
        <v>238</v>
      </c>
      <c r="F54" s="86"/>
      <c r="G54" s="74"/>
      <c r="H54" s="91">
        <f t="shared" si="21"/>
        <v>-27060</v>
      </c>
      <c r="I54" s="92">
        <f t="shared" si="22"/>
        <v>-58140.000000000007</v>
      </c>
      <c r="M54">
        <v>19</v>
      </c>
      <c r="N54" t="s">
        <v>254</v>
      </c>
      <c r="O54" t="s">
        <v>255</v>
      </c>
      <c r="P54" s="75">
        <v>0.3598958333333333</v>
      </c>
      <c r="Q54" t="s">
        <v>307</v>
      </c>
      <c r="R54" s="74">
        <v>0.23055555555555554</v>
      </c>
      <c r="S54" s="74">
        <v>0.75555555555555554</v>
      </c>
      <c r="T54" s="74">
        <v>0.25763888888888892</v>
      </c>
      <c r="U54" s="74">
        <v>0.72777777777777775</v>
      </c>
      <c r="V54" s="74">
        <v>0.28680555555555554</v>
      </c>
      <c r="W54" s="74">
        <v>0.69930555555555562</v>
      </c>
      <c r="X54" t="s">
        <v>256</v>
      </c>
      <c r="Y54">
        <v>147.84899999999999</v>
      </c>
    </row>
    <row r="55" spans="1:25">
      <c r="A55" s="72">
        <f t="shared" si="16"/>
        <v>45981</v>
      </c>
      <c r="B55" s="86">
        <f t="shared" si="17"/>
        <v>0.31388888888888888</v>
      </c>
      <c r="C55" s="74">
        <f t="shared" si="18"/>
        <v>0.67222222222222228</v>
      </c>
      <c r="D55">
        <f t="shared" si="19"/>
        <v>122</v>
      </c>
      <c r="E55" s="7">
        <f t="shared" si="20"/>
        <v>238</v>
      </c>
      <c r="F55" s="86"/>
      <c r="G55" s="74"/>
      <c r="H55" s="91">
        <f t="shared" si="21"/>
        <v>-27120</v>
      </c>
      <c r="I55" s="92">
        <f t="shared" si="22"/>
        <v>-58080</v>
      </c>
      <c r="M55">
        <v>20</v>
      </c>
      <c r="N55" t="s">
        <v>257</v>
      </c>
      <c r="O55" t="s">
        <v>258</v>
      </c>
      <c r="P55" s="75">
        <v>0.35791666666666666</v>
      </c>
      <c r="Q55" t="s">
        <v>308</v>
      </c>
      <c r="R55" s="74">
        <v>0.23124999999999998</v>
      </c>
      <c r="S55" s="74">
        <v>0.75486111111111109</v>
      </c>
      <c r="T55" s="74">
        <v>0.2590277777777778</v>
      </c>
      <c r="U55" s="74">
        <v>0.7270833333333333</v>
      </c>
      <c r="V55" s="74">
        <v>0.28750000000000003</v>
      </c>
      <c r="W55" s="74">
        <v>0.69861111111111107</v>
      </c>
      <c r="X55" t="s">
        <v>259</v>
      </c>
      <c r="Y55">
        <v>147.81899999999999</v>
      </c>
    </row>
    <row r="56" spans="1:25">
      <c r="A56" s="72">
        <f t="shared" si="16"/>
        <v>45982</v>
      </c>
      <c r="B56" s="86">
        <f t="shared" si="17"/>
        <v>0.31527777777777777</v>
      </c>
      <c r="C56" s="74">
        <f t="shared" si="18"/>
        <v>0.67152777777777772</v>
      </c>
      <c r="D56">
        <f t="shared" si="19"/>
        <v>122</v>
      </c>
      <c r="E56" s="7">
        <f t="shared" si="20"/>
        <v>238</v>
      </c>
      <c r="F56" s="86"/>
      <c r="G56" s="74"/>
      <c r="H56" s="91">
        <f t="shared" si="21"/>
        <v>-27240</v>
      </c>
      <c r="I56" s="92">
        <f t="shared" si="22"/>
        <v>-58020</v>
      </c>
      <c r="M56">
        <v>21</v>
      </c>
      <c r="N56" t="s">
        <v>260</v>
      </c>
      <c r="O56" t="s">
        <v>261</v>
      </c>
      <c r="P56" s="75">
        <v>0.35598379629629634</v>
      </c>
      <c r="Q56" t="s">
        <v>309</v>
      </c>
      <c r="R56" s="74">
        <v>0.23194444444444443</v>
      </c>
      <c r="S56" s="74">
        <v>0.75416666666666676</v>
      </c>
      <c r="T56" s="74">
        <v>0.25972222222222224</v>
      </c>
      <c r="U56" s="74">
        <v>0.72638888888888886</v>
      </c>
      <c r="V56" s="74">
        <v>0.28888888888888892</v>
      </c>
      <c r="W56" s="74">
        <v>0.69791666666666663</v>
      </c>
      <c r="X56" t="s">
        <v>262</v>
      </c>
      <c r="Y56">
        <v>147.78899999999999</v>
      </c>
    </row>
    <row r="57" spans="1:25">
      <c r="A57" s="72">
        <f t="shared" si="16"/>
        <v>45983</v>
      </c>
      <c r="B57" s="86">
        <f t="shared" si="17"/>
        <v>0.31666666666666665</v>
      </c>
      <c r="C57" s="74">
        <f t="shared" si="18"/>
        <v>0.67013888888888884</v>
      </c>
      <c r="D57">
        <f t="shared" si="19"/>
        <v>123</v>
      </c>
      <c r="E57" s="7">
        <f t="shared" si="20"/>
        <v>237</v>
      </c>
      <c r="F57" s="86"/>
      <c r="G57" s="74"/>
      <c r="H57" s="91">
        <f t="shared" si="21"/>
        <v>-27360</v>
      </c>
      <c r="I57" s="92">
        <f t="shared" si="22"/>
        <v>-57899.999999999993</v>
      </c>
      <c r="M57">
        <v>22</v>
      </c>
      <c r="N57" t="s">
        <v>263</v>
      </c>
      <c r="O57" t="s">
        <v>264</v>
      </c>
      <c r="P57" s="75">
        <v>0.35408564814814819</v>
      </c>
      <c r="Q57" t="s">
        <v>310</v>
      </c>
      <c r="R57" s="74">
        <v>0.23333333333333331</v>
      </c>
      <c r="S57" s="74">
        <v>0.75347222222222221</v>
      </c>
      <c r="T57" s="74">
        <v>0.26111111111111113</v>
      </c>
      <c r="U57" s="74">
        <v>0.72569444444444453</v>
      </c>
      <c r="V57" s="74">
        <v>0.28958333333333336</v>
      </c>
      <c r="W57" s="74">
        <v>0.6972222222222223</v>
      </c>
      <c r="X57" t="s">
        <v>265</v>
      </c>
      <c r="Y57">
        <v>147.75899999999999</v>
      </c>
    </row>
    <row r="58" spans="1:25">
      <c r="A58" s="72">
        <f t="shared" si="16"/>
        <v>45984</v>
      </c>
      <c r="B58" s="86">
        <f t="shared" si="17"/>
        <v>0.31736111111111109</v>
      </c>
      <c r="C58" s="74">
        <f t="shared" si="18"/>
        <v>0.6694444444444444</v>
      </c>
      <c r="D58">
        <f t="shared" si="19"/>
        <v>123</v>
      </c>
      <c r="E58" s="7">
        <f t="shared" si="20"/>
        <v>237</v>
      </c>
      <c r="F58" s="86"/>
      <c r="G58" s="74"/>
      <c r="H58" s="91">
        <f t="shared" si="21"/>
        <v>-27420</v>
      </c>
      <c r="I58" s="92">
        <f t="shared" si="22"/>
        <v>-57840</v>
      </c>
      <c r="M58">
        <v>23</v>
      </c>
      <c r="N58" t="s">
        <v>266</v>
      </c>
      <c r="O58" t="s">
        <v>267</v>
      </c>
      <c r="P58" s="75">
        <v>0.35223379629629631</v>
      </c>
      <c r="Q58" t="s">
        <v>311</v>
      </c>
      <c r="R58" s="74">
        <v>0.23402777777777781</v>
      </c>
      <c r="S58" s="74">
        <v>0.75277777777777777</v>
      </c>
      <c r="T58" s="74">
        <v>0.26180555555555557</v>
      </c>
      <c r="U58" s="74">
        <v>0.72499999999999998</v>
      </c>
      <c r="V58" s="74">
        <v>0.29097222222222224</v>
      </c>
      <c r="W58" s="74">
        <v>0.69652777777777775</v>
      </c>
      <c r="X58" t="s">
        <v>268</v>
      </c>
      <c r="Y58">
        <v>147.72900000000001</v>
      </c>
    </row>
    <row r="59" spans="1:25">
      <c r="A59" s="72">
        <f t="shared" si="16"/>
        <v>45985</v>
      </c>
      <c r="B59" s="86">
        <f t="shared" si="17"/>
        <v>0.31874999999999998</v>
      </c>
      <c r="C59" s="74">
        <f t="shared" si="18"/>
        <v>0.66874999999999996</v>
      </c>
      <c r="D59">
        <f t="shared" si="19"/>
        <v>123</v>
      </c>
      <c r="E59" s="7">
        <f t="shared" si="20"/>
        <v>236</v>
      </c>
      <c r="F59" s="86"/>
      <c r="G59" s="74"/>
      <c r="H59" s="91">
        <f t="shared" si="21"/>
        <v>-27539.999999999996</v>
      </c>
      <c r="I59" s="92">
        <f t="shared" si="22"/>
        <v>-57779.999999999993</v>
      </c>
      <c r="M59">
        <v>24</v>
      </c>
      <c r="N59" t="s">
        <v>269</v>
      </c>
      <c r="O59" t="s">
        <v>270</v>
      </c>
      <c r="P59" s="75">
        <v>0.35042824074074069</v>
      </c>
      <c r="Q59" t="s">
        <v>312</v>
      </c>
      <c r="R59" s="74">
        <v>0.23472222222222219</v>
      </c>
      <c r="S59" s="74">
        <v>0.75277777777777777</v>
      </c>
      <c r="T59" s="74">
        <v>0.26250000000000001</v>
      </c>
      <c r="U59" s="74">
        <v>0.72499999999999998</v>
      </c>
      <c r="V59" s="74">
        <v>0.29166666666666669</v>
      </c>
      <c r="W59" s="74">
        <v>0.6958333333333333</v>
      </c>
      <c r="X59" t="s">
        <v>271</v>
      </c>
      <c r="Y59">
        <v>147.69999999999999</v>
      </c>
    </row>
    <row r="60" spans="1:25">
      <c r="A60" s="72">
        <f t="shared" si="16"/>
        <v>45986</v>
      </c>
      <c r="B60" s="86">
        <f t="shared" si="17"/>
        <v>0.31944444444444442</v>
      </c>
      <c r="C60" s="74">
        <f t="shared" si="18"/>
        <v>0.66805555555555551</v>
      </c>
      <c r="D60">
        <f t="shared" si="19"/>
        <v>124</v>
      </c>
      <c r="E60" s="7">
        <f t="shared" si="20"/>
        <v>236</v>
      </c>
      <c r="F60" s="86"/>
      <c r="G60" s="74"/>
      <c r="H60" s="91">
        <f t="shared" si="21"/>
        <v>-27599.999999999996</v>
      </c>
      <c r="I60" s="92">
        <f t="shared" si="22"/>
        <v>-57719.999999999993</v>
      </c>
      <c r="M60">
        <v>25</v>
      </c>
      <c r="N60" t="s">
        <v>272</v>
      </c>
      <c r="O60" t="s">
        <v>273</v>
      </c>
      <c r="P60" s="75">
        <v>0.34866898148148145</v>
      </c>
      <c r="Q60" t="s">
        <v>313</v>
      </c>
      <c r="R60" s="74">
        <v>0.23611111111111113</v>
      </c>
      <c r="S60" s="74">
        <v>0.75208333333333333</v>
      </c>
      <c r="T60" s="74">
        <v>0.2638888888888889</v>
      </c>
      <c r="U60" s="74">
        <v>0.72430555555555554</v>
      </c>
      <c r="V60" s="74">
        <v>0.29305555555555557</v>
      </c>
      <c r="W60" s="74">
        <v>0.69513888888888886</v>
      </c>
      <c r="X60" t="s">
        <v>274</v>
      </c>
      <c r="Y60">
        <v>147.672</v>
      </c>
    </row>
    <row r="61" spans="1:25">
      <c r="A61" s="72">
        <f t="shared" si="16"/>
        <v>45987</v>
      </c>
      <c r="B61" s="86">
        <f t="shared" si="17"/>
        <v>0.32083333333333336</v>
      </c>
      <c r="C61" s="74">
        <f t="shared" si="18"/>
        <v>0.66736111111111107</v>
      </c>
      <c r="D61">
        <f t="shared" si="19"/>
        <v>124</v>
      </c>
      <c r="E61" s="7">
        <f t="shared" si="20"/>
        <v>236</v>
      </c>
      <c r="F61" s="86"/>
      <c r="G61" s="74"/>
      <c r="H61" s="91">
        <f t="shared" si="21"/>
        <v>-27720.000000000004</v>
      </c>
      <c r="I61" s="92">
        <f t="shared" si="22"/>
        <v>-57660</v>
      </c>
      <c r="M61">
        <v>26</v>
      </c>
      <c r="N61" t="s">
        <v>275</v>
      </c>
      <c r="O61" t="s">
        <v>276</v>
      </c>
      <c r="P61" s="75">
        <v>0.34695601851851854</v>
      </c>
      <c r="Q61" t="s">
        <v>314</v>
      </c>
      <c r="R61" s="74">
        <v>0.23680555555555557</v>
      </c>
      <c r="S61" s="74">
        <v>0.75138888888888899</v>
      </c>
      <c r="T61" s="74">
        <v>0.26458333333333334</v>
      </c>
      <c r="U61" s="74">
        <v>0.72361111111111109</v>
      </c>
      <c r="V61" s="74">
        <v>0.29375000000000001</v>
      </c>
      <c r="W61" s="74">
        <v>0.69444444444444453</v>
      </c>
      <c r="X61" t="s">
        <v>277</v>
      </c>
      <c r="Y61">
        <v>147.64400000000001</v>
      </c>
    </row>
    <row r="62" spans="1:25">
      <c r="A62" s="72">
        <f t="shared" si="16"/>
        <v>45988</v>
      </c>
      <c r="B62" s="86">
        <f t="shared" si="17"/>
        <v>0.3215277777777778</v>
      </c>
      <c r="C62" s="74">
        <f t="shared" si="18"/>
        <v>0.66736111111111107</v>
      </c>
      <c r="D62">
        <f t="shared" si="19"/>
        <v>124</v>
      </c>
      <c r="E62" s="7">
        <f t="shared" si="20"/>
        <v>235</v>
      </c>
      <c r="F62" s="86"/>
      <c r="G62" s="74"/>
      <c r="H62" s="91">
        <f t="shared" si="21"/>
        <v>-27780</v>
      </c>
      <c r="I62" s="92">
        <f t="shared" si="22"/>
        <v>-57660</v>
      </c>
      <c r="M62">
        <v>27</v>
      </c>
      <c r="N62" t="s">
        <v>278</v>
      </c>
      <c r="O62" t="s">
        <v>279</v>
      </c>
      <c r="P62" s="75">
        <v>0.34531249999999997</v>
      </c>
      <c r="Q62" t="s">
        <v>315</v>
      </c>
      <c r="R62" s="74">
        <v>0.23750000000000002</v>
      </c>
      <c r="S62" s="74">
        <v>0.75138888888888899</v>
      </c>
      <c r="T62" s="74">
        <v>0.26527777777777778</v>
      </c>
      <c r="U62" s="74">
        <v>0.72361111111111109</v>
      </c>
      <c r="V62" s="74">
        <v>0.2951388888888889</v>
      </c>
      <c r="W62" s="74">
        <v>0.69374999999999998</v>
      </c>
      <c r="X62" t="s">
        <v>280</v>
      </c>
      <c r="Y62">
        <v>147.61600000000001</v>
      </c>
    </row>
    <row r="63" spans="1:25">
      <c r="A63" s="72">
        <f t="shared" si="16"/>
        <v>45989</v>
      </c>
      <c r="B63" s="86">
        <f t="shared" si="17"/>
        <v>0.32291666666666669</v>
      </c>
      <c r="C63" s="74">
        <f t="shared" si="18"/>
        <v>0.66666666666666663</v>
      </c>
      <c r="D63">
        <f t="shared" si="19"/>
        <v>125</v>
      </c>
      <c r="E63" s="7">
        <f t="shared" si="20"/>
        <v>235</v>
      </c>
      <c r="F63" s="86"/>
      <c r="G63" s="74"/>
      <c r="H63" s="91">
        <f t="shared" si="21"/>
        <v>-27900</v>
      </c>
      <c r="I63" s="92">
        <f t="shared" si="22"/>
        <v>-57600</v>
      </c>
      <c r="M63">
        <v>28</v>
      </c>
      <c r="N63" t="s">
        <v>281</v>
      </c>
      <c r="O63" t="s">
        <v>282</v>
      </c>
      <c r="P63" s="75">
        <v>0.34370370370370368</v>
      </c>
      <c r="Q63" t="s">
        <v>316</v>
      </c>
      <c r="R63" s="74">
        <v>0.23819444444444446</v>
      </c>
      <c r="S63" s="74">
        <v>0.75069444444444444</v>
      </c>
      <c r="T63" s="74">
        <v>0.26666666666666666</v>
      </c>
      <c r="U63" s="74">
        <v>0.72291666666666676</v>
      </c>
      <c r="V63" s="74">
        <v>0.29583333333333334</v>
      </c>
      <c r="W63" s="74">
        <v>0.69374999999999998</v>
      </c>
      <c r="X63" t="s">
        <v>283</v>
      </c>
      <c r="Y63">
        <v>147.589</v>
      </c>
    </row>
    <row r="64" spans="1:25">
      <c r="A64" s="72">
        <f t="shared" si="16"/>
        <v>45990</v>
      </c>
      <c r="B64" s="86">
        <f t="shared" si="17"/>
        <v>0.32361111111111113</v>
      </c>
      <c r="C64" s="74">
        <f t="shared" si="18"/>
        <v>0.66597222222222219</v>
      </c>
      <c r="D64">
        <f t="shared" si="19"/>
        <v>125</v>
      </c>
      <c r="E64" s="7">
        <f t="shared" si="20"/>
        <v>235</v>
      </c>
      <c r="F64" s="86"/>
      <c r="G64" s="74"/>
      <c r="H64" s="91">
        <f t="shared" si="21"/>
        <v>-27960.000000000004</v>
      </c>
      <c r="I64" s="92">
        <f t="shared" si="22"/>
        <v>-57540</v>
      </c>
      <c r="M64">
        <v>29</v>
      </c>
      <c r="N64" t="s">
        <v>284</v>
      </c>
      <c r="O64" t="s">
        <v>285</v>
      </c>
      <c r="P64" s="75">
        <v>0.34215277777777775</v>
      </c>
      <c r="Q64" t="s">
        <v>317</v>
      </c>
      <c r="R64" s="74">
        <v>0.23958333333333334</v>
      </c>
      <c r="S64" s="74">
        <v>0.75069444444444444</v>
      </c>
      <c r="T64" s="74">
        <v>0.2673611111111111</v>
      </c>
      <c r="U64" s="74">
        <v>0.72291666666666676</v>
      </c>
      <c r="V64" s="74">
        <v>0.29652777777777778</v>
      </c>
      <c r="W64" s="74">
        <v>0.69305555555555554</v>
      </c>
      <c r="X64" t="s">
        <v>286</v>
      </c>
      <c r="Y64">
        <v>147.56200000000001</v>
      </c>
    </row>
    <row r="65" spans="1:25">
      <c r="A65" s="72">
        <f t="shared" si="16"/>
        <v>45991</v>
      </c>
      <c r="B65" s="86">
        <f t="shared" si="17"/>
        <v>0.32500000000000001</v>
      </c>
      <c r="C65" s="74">
        <f t="shared" si="18"/>
        <v>0.66527777777777775</v>
      </c>
      <c r="D65">
        <f t="shared" si="19"/>
        <v>125</v>
      </c>
      <c r="E65" s="7">
        <f t="shared" si="20"/>
        <v>235</v>
      </c>
      <c r="F65" s="86"/>
      <c r="G65" s="74"/>
      <c r="H65" s="91">
        <f t="shared" si="21"/>
        <v>-28080.000000000004</v>
      </c>
      <c r="I65" s="92">
        <f t="shared" si="22"/>
        <v>-57479.999999999993</v>
      </c>
      <c r="M65">
        <v>30</v>
      </c>
      <c r="N65" t="s">
        <v>287</v>
      </c>
      <c r="O65" t="s">
        <v>288</v>
      </c>
      <c r="P65" s="75">
        <v>0.34065972222222224</v>
      </c>
      <c r="Q65" t="s">
        <v>318</v>
      </c>
      <c r="R65" s="74">
        <v>0.24027777777777778</v>
      </c>
      <c r="S65" s="74">
        <v>0.75</v>
      </c>
      <c r="T65" s="74">
        <v>0.26805555555555555</v>
      </c>
      <c r="U65" s="74">
        <v>0.72222222222222221</v>
      </c>
      <c r="V65" s="74">
        <v>0.29791666666666666</v>
      </c>
      <c r="W65" s="74">
        <v>0.69305555555555554</v>
      </c>
      <c r="X65" t="s">
        <v>289</v>
      </c>
      <c r="Y65">
        <v>147.53700000000001</v>
      </c>
    </row>
  </sheetData>
  <mergeCells count="4">
    <mergeCell ref="R1:S1"/>
    <mergeCell ref="T1:U1"/>
    <mergeCell ref="V1:W1"/>
    <mergeCell ref="X1:Y1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ED3A-553D-4BE8-AB63-499DD8F07B93}">
  <sheetPr codeName="Sheet5"/>
  <dimension ref="A1:I28"/>
  <sheetViews>
    <sheetView tabSelected="1" workbookViewId="0">
      <selection activeCell="F1" sqref="F1"/>
    </sheetView>
  </sheetViews>
  <sheetFormatPr defaultRowHeight="15"/>
  <cols>
    <col min="1" max="1" width="10.7109375" bestFit="1" customWidth="1"/>
    <col min="2" max="3" width="11.7109375" bestFit="1" customWidth="1"/>
    <col min="4" max="4" width="13.28515625" customWidth="1"/>
  </cols>
  <sheetData>
    <row r="1" spans="1:9">
      <c r="A1" t="s">
        <v>355</v>
      </c>
      <c r="B1">
        <v>51.88</v>
      </c>
      <c r="C1">
        <v>-1.3088</v>
      </c>
      <c r="E1" t="s">
        <v>356</v>
      </c>
      <c r="F1">
        <v>0</v>
      </c>
      <c r="H1" t="s">
        <v>357</v>
      </c>
      <c r="I1">
        <v>-0.83330000000000004</v>
      </c>
    </row>
    <row r="3" spans="1:9">
      <c r="B3" t="s">
        <v>354</v>
      </c>
      <c r="C3" t="s">
        <v>27</v>
      </c>
      <c r="D3" t="s">
        <v>29</v>
      </c>
      <c r="E3" t="s">
        <v>30</v>
      </c>
      <c r="F3" t="s">
        <v>31</v>
      </c>
      <c r="G3" t="s">
        <v>33</v>
      </c>
      <c r="H3" t="s">
        <v>32</v>
      </c>
      <c r="I3" t="s">
        <v>6</v>
      </c>
    </row>
    <row r="4" spans="1:9">
      <c r="A4" t="s">
        <v>80</v>
      </c>
      <c r="B4">
        <v>1</v>
      </c>
      <c r="C4">
        <v>2</v>
      </c>
      <c r="D4">
        <v>4</v>
      </c>
      <c r="E4">
        <v>5</v>
      </c>
      <c r="F4">
        <v>6</v>
      </c>
      <c r="G4">
        <v>7</v>
      </c>
      <c r="H4">
        <v>9</v>
      </c>
    </row>
    <row r="5" spans="1:9">
      <c r="A5" s="72">
        <v>45460</v>
      </c>
      <c r="B5" s="74">
        <f>vbriseset(B$4,$A5,lati, longi,1,hori)/24</f>
        <v>0.3061411500816118</v>
      </c>
      <c r="C5" s="74">
        <f>vbriseset(C$4,$A5,lati, longi,1,hori)/24</f>
        <v>0.16391943007654741</v>
      </c>
      <c r="D5" s="74">
        <f>vbriseset(D$4,$A5,lati, longi,1,hori)/24</f>
        <v>6.4443954200312861E-2</v>
      </c>
      <c r="E5" s="74">
        <f>vbriseset(E$4,$A5,lati, longi,1,hori)/24</f>
        <v>0.11279502047047785</v>
      </c>
      <c r="F5" s="74">
        <f>vbriseset(F$4,$A5,lati, longi,1,hori)/24</f>
        <v>1.3011507602229985E-2</v>
      </c>
      <c r="G5" s="74">
        <f>vbriseset(G$4,$A5,lati, longi,1,hori)/24</f>
        <v>9.156858580878395E-2</v>
      </c>
      <c r="H5" s="74">
        <f>vbriseset(H$4,$A5,lati, longi,1,hori)/24</f>
        <v>0.50223618839984074</v>
      </c>
      <c r="I5" s="74">
        <f>vbsunriseset(A5,lati,longi,1,sunalti)/24</f>
        <v>0.15741421520178789</v>
      </c>
    </row>
    <row r="6" spans="1:9">
      <c r="A6" s="72">
        <f>A5+7</f>
        <v>45467</v>
      </c>
      <c r="B6" s="74">
        <f>vbriseset(B$4,$A6,lati, longi,1,hori)/24</f>
        <v>0.35013833402489708</v>
      </c>
      <c r="C6" s="74">
        <f>vbriseset(C$4,$A6,lati, longi,1,hori)/24</f>
        <v>0.19162955487515668</v>
      </c>
      <c r="D6" s="74">
        <f>vbriseset(D$4,$A6,lati, longi,1,hori)/24</f>
        <v>5.2468923687670976E-2</v>
      </c>
      <c r="E6" s="74">
        <f>vbriseset(E$4,$A6,lati, longi,1,hori)/24</f>
        <v>9.695777180668734E-2</v>
      </c>
      <c r="F6" s="74">
        <f>vbriseset(F$4,$A6,lati, longi,1,hori)/24</f>
        <v>0.99405541433379252</v>
      </c>
      <c r="G6" s="74">
        <f>vbriseset(G$4,$A6,lati, longi,1,hori)/24</f>
        <v>7.3037633420114309E-2</v>
      </c>
      <c r="H6" s="74">
        <f>vbriseset(H$4,$A6,lati, longi,1,hori)/24</f>
        <v>0.50947800275631216</v>
      </c>
      <c r="I6" s="74">
        <f>vbsunriseset(A6,lati,longi,1,sunalti)/24</f>
        <v>0.15850276061361379</v>
      </c>
    </row>
    <row r="7" spans="1:9">
      <c r="A7" s="72">
        <f>A6+7</f>
        <v>45474</v>
      </c>
      <c r="B7" s="74">
        <f>vbriseset(B$4,$A7,lati, longi,1,hori)/24</f>
        <v>0.18121329744467443</v>
      </c>
      <c r="C7" s="74">
        <f>vbriseset(C$4,$A7,lati, longi,1,hori)/24</f>
        <v>0.22316663698493797</v>
      </c>
      <c r="D7" s="74">
        <f>vbriseset(D$4,$A7,lati, longi,1,hori)/24</f>
        <v>4.0841699977787305E-2</v>
      </c>
      <c r="E7" s="74">
        <f>vbriseset(E$4,$A7,lati, longi,1,hori)/24</f>
        <v>8.113247896919433E-2</v>
      </c>
      <c r="F7" s="74">
        <f>vbriseset(F$4,$A7,lati, longi,1,hori)/24</f>
        <v>0.974998944469744</v>
      </c>
      <c r="G7" s="74">
        <f>vbriseset(G$4,$A7,lati, longi,1,hori)/24</f>
        <v>5.4471619508147828E-2</v>
      </c>
      <c r="H7" s="74">
        <f>vbriseset(H$4,$A7,lati, longi,1,hori)/24</f>
        <v>0.5167158406334883</v>
      </c>
      <c r="I7" s="74">
        <f>vbsunriseset(A7,lati,longi,1,sunalti)/24</f>
        <v>0.16124813854402933</v>
      </c>
    </row>
    <row r="8" spans="1:9">
      <c r="A8" s="72">
        <f>A7+7</f>
        <v>45481</v>
      </c>
      <c r="B8" s="74">
        <f>vbriseset(B$4,$A8,lati, longi,1,hori)/24</f>
        <v>0.18386059911436456</v>
      </c>
      <c r="C8" s="74">
        <f>vbriseset(C$4,$A8,lati, longi,1,hori)/24</f>
        <v>0.25227150020764716</v>
      </c>
      <c r="D8" s="74">
        <f>vbriseset(D$4,$A8,lati, longi,1,hori)/24</f>
        <v>2.9611506698468942E-2</v>
      </c>
      <c r="E8" s="74">
        <f>vbriseset(E$4,$A8,lati, longi,1,hori)/24</f>
        <v>6.52996546707965E-2</v>
      </c>
      <c r="F8" s="74">
        <f>vbriseset(F$4,$A8,lati, longi,1,hori)/24</f>
        <v>0.95584051206508125</v>
      </c>
      <c r="G8" s="74">
        <f>vbriseset(G$4,$A8,lati, longi,1,hori)/24</f>
        <v>3.5864009640477978E-2</v>
      </c>
      <c r="H8" s="74">
        <f>vbriseset(H$4,$A8,lati, longi,1,hori)/24</f>
        <v>0.52399565721566599</v>
      </c>
      <c r="I8" s="74">
        <f>vbsunriseset(A8,lati,longi,1,sunalti)/24</f>
        <v>0.1654601964253084</v>
      </c>
    </row>
    <row r="9" spans="1:9">
      <c r="A9" s="72">
        <f>A8+7</f>
        <v>45488</v>
      </c>
      <c r="B9" s="74">
        <f>vbriseset(B$4,$A9,lati, longi,1,hori)/24</f>
        <v>0.32552909430932458</v>
      </c>
      <c r="C9" s="74">
        <f>vbriseset(C$4,$A9,lati, longi,1,hori)/24</f>
        <v>0.27555245270575396</v>
      </c>
      <c r="D9" s="74">
        <f>vbriseset(D$4,$A9,lati, longi,1,hori)/24</f>
        <v>1.8824727253354712E-2</v>
      </c>
      <c r="E9" s="74">
        <f>vbriseset(E$4,$A9,lati, longi,1,hori)/24</f>
        <v>4.9437381084902109E-2</v>
      </c>
      <c r="F9" s="74">
        <f>vbriseset(F$4,$A9,lati, longi,1,hori)/24</f>
        <v>0.93657993709056298</v>
      </c>
      <c r="G9" s="74">
        <f>vbriseset(G$4,$A9,lati, longi,1,hori)/24</f>
        <v>1.7208512739933957E-2</v>
      </c>
      <c r="H9" s="74">
        <f>vbriseset(H$4,$A9,lati, longi,1,hori)/24</f>
        <v>0.53135138125993853</v>
      </c>
      <c r="I9" s="74">
        <f>vbsunriseset(A9,lati,longi,1,sunalti)/24</f>
        <v>0.17088605792916609</v>
      </c>
    </row>
    <row r="11" spans="1:9">
      <c r="A11" s="72">
        <f>A12-1</f>
        <v>45454</v>
      </c>
      <c r="B11" s="107">
        <f>vbsunriseset(A11,lati,longi,1,sunalti)/24</f>
        <v>0.15787826396462737</v>
      </c>
      <c r="C11" s="107">
        <f>vbsunriseset(A11,lati,longi,0,sunalti)/24</f>
        <v>0.8490903548395895</v>
      </c>
      <c r="D11" s="107">
        <f>C11-B11</f>
        <v>0.69121209087496216</v>
      </c>
    </row>
    <row r="12" spans="1:9">
      <c r="A12" s="72">
        <f>A13-1</f>
        <v>45455</v>
      </c>
      <c r="B12" s="107">
        <f>vbsunriseset(A12,lati,longi,1,sunalti)/24</f>
        <v>0.15771034175556334</v>
      </c>
      <c r="C12" s="107">
        <f>vbsunriseset(A12,lati,longi,0,sunalti)/24</f>
        <v>0.84954597776574292</v>
      </c>
      <c r="D12" s="107">
        <f t="shared" ref="D12:D25" si="0">C12-B12</f>
        <v>0.69183563601017961</v>
      </c>
    </row>
    <row r="13" spans="1:9">
      <c r="A13" s="72">
        <f>A14-1</f>
        <v>45456</v>
      </c>
      <c r="B13" s="107">
        <f>vbsunriseset(A13,lati,longi,1,sunalti)/24</f>
        <v>0.15757863339073386</v>
      </c>
      <c r="C13" s="107">
        <f>vbsunriseset(A13,lati,longi,0,sunalti)/24</f>
        <v>0.84996915211620683</v>
      </c>
      <c r="D13" s="107">
        <f t="shared" si="0"/>
        <v>0.69239051872547297</v>
      </c>
    </row>
    <row r="14" spans="1:9">
      <c r="A14" s="72">
        <f>A15-1</f>
        <v>45457</v>
      </c>
      <c r="B14" s="107">
        <f>vbsunriseset(A14,lati,longi,1,sunalti)/24</f>
        <v>0.15748318376265921</v>
      </c>
      <c r="C14" s="107">
        <f>vbsunriseset(A14,lati,longi,0,sunalti)/24</f>
        <v>0.85035930863910936</v>
      </c>
      <c r="D14" s="107">
        <f t="shared" si="0"/>
        <v>0.69287612487645012</v>
      </c>
    </row>
    <row r="15" spans="1:9">
      <c r="A15" s="72">
        <f>A16-1</f>
        <v>45458</v>
      </c>
      <c r="B15" s="107">
        <f>vbsunriseset(A15,lati,longi,1,sunalti)/24</f>
        <v>0.15742399664149889</v>
      </c>
      <c r="C15" s="107">
        <f>vbsunriseset(A15,lati,longi,0,sunalti)/24</f>
        <v>0.85071591279636838</v>
      </c>
      <c r="D15" s="107">
        <f t="shared" si="0"/>
        <v>0.69329191615486951</v>
      </c>
    </row>
    <row r="16" spans="1:9">
      <c r="A16" s="72">
        <f>A17-1</f>
        <v>45459</v>
      </c>
      <c r="B16" s="108">
        <f>vbsunriseset(A16,lati,longi,1,sunalti)/24</f>
        <v>0.15740103394895363</v>
      </c>
      <c r="C16" s="107">
        <f>vbsunriseset(A16,lati,longi,0,sunalti)/24</f>
        <v>0.85103846641124381</v>
      </c>
      <c r="D16" s="107">
        <f t="shared" si="0"/>
        <v>0.69363743246229015</v>
      </c>
    </row>
    <row r="17" spans="1:4">
      <c r="A17" s="72">
        <f>A5</f>
        <v>45460</v>
      </c>
      <c r="B17" s="107">
        <f>vbsunriseset(A17,lati,longi,1,sunalti)/24</f>
        <v>0.15741421520178789</v>
      </c>
      <c r="C17" s="107">
        <f>vbsunriseset(A17,lati,longi,0,sunalti)/24</f>
        <v>0.8513265091629254</v>
      </c>
      <c r="D17" s="107">
        <f t="shared" si="0"/>
        <v>0.69391229396113752</v>
      </c>
    </row>
    <row r="18" spans="1:4">
      <c r="A18" s="72">
        <f>A17+1</f>
        <v>45461</v>
      </c>
      <c r="B18" s="107">
        <f>vbsunriseset(A18,lati,longi,1,sunalti)/24</f>
        <v>0.15746341713326908</v>
      </c>
      <c r="C18" s="107">
        <f>vbsunriseset(A18,lati,longi,0,sunalti)/24</f>
        <v>0.85157961991704312</v>
      </c>
      <c r="D18" s="107">
        <f t="shared" si="0"/>
        <v>0.69411620278377406</v>
      </c>
    </row>
    <row r="19" spans="1:4">
      <c r="A19" s="72">
        <f t="shared" ref="A19:A25" si="1">A18+1</f>
        <v>45462</v>
      </c>
      <c r="B19" s="107">
        <f>vbsunriseset(A19,lati,longi,1,sunalti)/24</f>
        <v>0.15754847349928247</v>
      </c>
      <c r="C19" s="107">
        <f>vbsunriseset(A19,lati,longi,0,sunalti)/24</f>
        <v>0.8517974178824318</v>
      </c>
      <c r="D19" s="107">
        <f t="shared" si="0"/>
        <v>0.69424894438314932</v>
      </c>
    </row>
    <row r="20" spans="1:4">
      <c r="A20" s="72">
        <f t="shared" si="1"/>
        <v>45463</v>
      </c>
      <c r="B20" s="107">
        <f>vbsunriseset(A20,lati,longi,1,sunalti)/24</f>
        <v>0.15766917507419018</v>
      </c>
      <c r="C20" s="107">
        <f>vbsunriseset(A20,lati,longi,0,sunalti)/24</f>
        <v>0.85197956358612303</v>
      </c>
      <c r="D20" s="108">
        <f t="shared" si="0"/>
        <v>0.69431038851193283</v>
      </c>
    </row>
    <row r="21" spans="1:4">
      <c r="A21" s="72">
        <f t="shared" si="1"/>
        <v>45464</v>
      </c>
      <c r="B21" s="107">
        <f>vbsunriseset(A21,lati,longi,1,sunalti)/24</f>
        <v>0.1578252698397189</v>
      </c>
      <c r="C21" s="107">
        <f>vbsunriseset(A21,lati,longi,0,sunalti)/24</f>
        <v>0.85212575966024107</v>
      </c>
      <c r="D21" s="107">
        <f t="shared" si="0"/>
        <v>0.69430048982052217</v>
      </c>
    </row>
    <row r="22" spans="1:4">
      <c r="A22" s="72">
        <f t="shared" si="1"/>
        <v>45465</v>
      </c>
      <c r="B22" s="107">
        <f>vbsunriseset(A22,lati,longi,1,sunalti)/24</f>
        <v>0.15801646336830735</v>
      </c>
      <c r="C22" s="107">
        <f>vbsunriseset(A22,lati,longi,0,sunalti)/24</f>
        <v>0.85223575143634367</v>
      </c>
      <c r="D22" s="107">
        <f t="shared" si="0"/>
        <v>0.69421928806803634</v>
      </c>
    </row>
    <row r="23" spans="1:4">
      <c r="A23" s="72">
        <f t="shared" si="1"/>
        <v>45466</v>
      </c>
      <c r="B23" s="107">
        <f>vbsunriseset(A23,lati,longi,1,sunalti)/24</f>
        <v>0.15824241940044495</v>
      </c>
      <c r="C23" s="107">
        <f>vbsunriseset(A23,lati,longi,0,sunalti)/24</f>
        <v>0.85230932734460652</v>
      </c>
      <c r="D23" s="107">
        <f t="shared" si="0"/>
        <v>0.69406690794416159</v>
      </c>
    </row>
    <row r="24" spans="1:4">
      <c r="A24" s="72">
        <f t="shared" si="1"/>
        <v>45467</v>
      </c>
      <c r="B24" s="107">
        <f>vbsunriseset(A24,lati,longi,1,sunalti)/24</f>
        <v>0.15850276061361379</v>
      </c>
      <c r="C24" s="107">
        <f>vbsunriseset(A24,lati,longi,0,sunalti)/24</f>
        <v>0.85234631911718661</v>
      </c>
      <c r="D24" s="107">
        <f t="shared" si="0"/>
        <v>0.69384355850357282</v>
      </c>
    </row>
    <row r="25" spans="1:4">
      <c r="A25" s="72">
        <f t="shared" si="1"/>
        <v>45468</v>
      </c>
      <c r="B25" s="107">
        <f>vbsunriseset(A25,lati,longi,1,sunalti)/24</f>
        <v>0.15879706957857639</v>
      </c>
      <c r="C25" s="108">
        <f>vbsunriseset(A25,lati,longi,0,sunalti)/24</f>
        <v>0.85234660179699961</v>
      </c>
      <c r="D25" s="107">
        <f t="shared" si="0"/>
        <v>0.69354953221842319</v>
      </c>
    </row>
    <row r="26" spans="1:4">
      <c r="A26" s="72">
        <f t="shared" ref="A26:A28" si="2">A25+1</f>
        <v>45469</v>
      </c>
      <c r="B26" s="107">
        <f>vbsunriseset(A26,lati,longi,1,sunalti)/24</f>
        <v>0.15912488989690168</v>
      </c>
      <c r="C26" s="107">
        <f>vbsunriseset(A26,lati,longi,0,sunalti)/24</f>
        <v>0.85231009355503051</v>
      </c>
      <c r="D26" s="107">
        <f t="shared" ref="D26:D28" si="3">C26-B26</f>
        <v>0.69318520365812886</v>
      </c>
    </row>
    <row r="27" spans="1:4">
      <c r="A27" s="72">
        <f t="shared" si="2"/>
        <v>45470</v>
      </c>
      <c r="B27" s="107">
        <f>vbsunriseset(A27,lati,longi,1,sunalti)/24</f>
        <v>0.15948572751190362</v>
      </c>
      <c r="C27" s="107">
        <f>vbsunriseset(A27,lati,longi,0,sunalti)/24</f>
        <v>0.85223675532108845</v>
      </c>
      <c r="D27" s="107">
        <f t="shared" si="3"/>
        <v>0.69275102780918485</v>
      </c>
    </row>
    <row r="28" spans="1:4">
      <c r="A28" s="72">
        <f t="shared" si="2"/>
        <v>45471</v>
      </c>
      <c r="B28" s="107">
        <f>vbsunriseset(A28,lati,longi,1,sunalti)/24</f>
        <v>0.15987905218351606</v>
      </c>
      <c r="C28" s="107">
        <f>vbsunriseset(A28,lati,longi,0,sunalti)/24</f>
        <v>0.85212659023462722</v>
      </c>
      <c r="D28" s="107">
        <f t="shared" si="3"/>
        <v>0.69224753805111117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Sheet1</vt:lpstr>
      <vt:lpstr>Orbital Elements</vt:lpstr>
      <vt:lpstr>BestVisibility</vt:lpstr>
      <vt:lpstr>Sheet3</vt:lpstr>
      <vt:lpstr>Sheet2</vt:lpstr>
      <vt:lpstr>au</vt:lpstr>
      <vt:lpstr>dayval</vt:lpstr>
      <vt:lpstr>dd</vt:lpstr>
      <vt:lpstr>erad</vt:lpstr>
      <vt:lpstr>hori</vt:lpstr>
      <vt:lpstr>hval</vt:lpstr>
      <vt:lpstr>intvl</vt:lpstr>
      <vt:lpstr>lat</vt:lpstr>
      <vt:lpstr>lati</vt:lpstr>
      <vt:lpstr>long</vt:lpstr>
      <vt:lpstr>longi</vt:lpstr>
      <vt:lpstr>lst</vt:lpstr>
      <vt:lpstr>monval</vt:lpstr>
      <vt:lpstr>mval</vt:lpstr>
      <vt:lpstr>planetlookup</vt:lpstr>
      <vt:lpstr>planetnames</vt:lpstr>
      <vt:lpstr>planetno</vt:lpstr>
      <vt:lpstr>pres</vt:lpstr>
      <vt:lpstr>BestVisibility!Print_Area</vt:lpstr>
      <vt:lpstr>sunalti</vt:lpstr>
      <vt:lpstr>sval</vt:lpstr>
      <vt:lpstr>temp</vt:lpstr>
      <vt:lpstr>unt</vt:lpstr>
      <vt:lpstr>visorimg</vt:lpstr>
      <vt:lpstr>yval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2024-05-30T22:52:01Z</dcterms:modified>
</cp:coreProperties>
</file>