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328" codeName="{316AF4FF-6532-DD95-964C-923D217D005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dev\planetgraphs\Excel\"/>
    </mc:Choice>
  </mc:AlternateContent>
  <xr:revisionPtr revIDLastSave="0" documentId="13_ncr:1_{8E404E4D-CE08-4BA8-BB99-7F857B22A8A7}" xr6:coauthVersionLast="45" xr6:coauthVersionMax="45" xr10:uidLastSave="{00000000-0000-0000-0000-000000000000}"/>
  <bookViews>
    <workbookView xWindow="-120" yWindow="-120" windowWidth="19440" windowHeight="15000" xr2:uid="{00000000-000D-0000-FFFF-FFFF00000000}"/>
  </bookViews>
  <sheets>
    <sheet name="BestVisibility" sheetId="4" r:id="rId1"/>
    <sheet name="Sheet1" sheetId="6" r:id="rId2"/>
    <sheet name="Comets" sheetId="7" r:id="rId3"/>
  </sheets>
  <functionGroups builtInGroupCount="19"/>
  <definedNames>
    <definedName name="ddval">BestVisibility!$AH$6</definedName>
    <definedName name="intvl">BestVisibility!$F$1</definedName>
    <definedName name="lati">BestVisibility!$B$1</definedName>
    <definedName name="longi">BestVisibility!$C$1</definedName>
    <definedName name="lst">BestVisibility!$AH$8</definedName>
    <definedName name="planetno">BestVisibility!$B$2</definedName>
    <definedName name="planlookup">BestVisibility!$X$4:$Y$19</definedName>
    <definedName name="pres">BestVisibility!$AB$12</definedName>
    <definedName name="_xlnm.Print_Area" localSheetId="0">BestVisibility!$A$1:$V$57</definedName>
    <definedName name="pval">BestVisibility!$AH$4</definedName>
    <definedName name="temp">BestVisibility!$AB$11</definedName>
    <definedName name="unt">BestVisibility!$G$1</definedName>
  </definedNames>
  <calcPr calcId="181029"/>
  <fileRecoveryPr repairLoad="1"/>
</workbook>
</file>

<file path=xl/calcChain.xml><?xml version="1.0" encoding="utf-8"?>
<calcChain xmlns="http://schemas.openxmlformats.org/spreadsheetml/2006/main">
  <c r="A49" i="6" l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62" i="6" s="1"/>
  <c r="A63" i="6" s="1"/>
  <c r="A64" i="6" s="1"/>
  <c r="A65" i="6" s="1"/>
  <c r="A66" i="6" s="1"/>
  <c r="A67" i="6" s="1"/>
  <c r="A68" i="6" s="1"/>
  <c r="A69" i="6" s="1"/>
  <c r="A70" i="6" s="1"/>
  <c r="A71" i="6" s="1"/>
  <c r="A72" i="6" s="1"/>
  <c r="A73" i="6" s="1"/>
  <c r="A74" i="6" s="1"/>
  <c r="A75" i="6" s="1"/>
  <c r="A76" i="6" s="1"/>
  <c r="A77" i="6" s="1"/>
  <c r="A78" i="6" s="1"/>
  <c r="A79" i="6" s="1"/>
  <c r="A80" i="6" s="1"/>
  <c r="A81" i="6" s="1"/>
  <c r="A82" i="6" s="1"/>
  <c r="A83" i="6" s="1"/>
  <c r="A84" i="6" s="1"/>
  <c r="A85" i="6" s="1"/>
  <c r="A86" i="6" s="1"/>
  <c r="A87" i="6" s="1"/>
  <c r="A88" i="6" s="1"/>
  <c r="A89" i="6" s="1"/>
  <c r="A90" i="6" s="1"/>
  <c r="A91" i="6" s="1"/>
  <c r="A92" i="6" s="1"/>
  <c r="A93" i="6" s="1"/>
  <c r="A94" i="6" s="1"/>
  <c r="A95" i="6" s="1"/>
  <c r="A96" i="6" s="1"/>
  <c r="A97" i="6" s="1"/>
  <c r="A98" i="6" s="1"/>
  <c r="A99" i="6" s="1"/>
  <c r="A100" i="6" s="1"/>
  <c r="A101" i="6" s="1"/>
  <c r="A102" i="6" s="1"/>
  <c r="A103" i="6" s="1"/>
  <c r="A104" i="6" s="1"/>
  <c r="A105" i="6" s="1"/>
  <c r="A106" i="6" s="1"/>
  <c r="A107" i="6" s="1"/>
  <c r="A108" i="6" s="1"/>
  <c r="A109" i="6" s="1"/>
  <c r="A110" i="6" s="1"/>
  <c r="A111" i="6" s="1"/>
  <c r="A112" i="6" s="1"/>
  <c r="A113" i="6" s="1"/>
  <c r="A114" i="6" s="1"/>
  <c r="A47" i="6"/>
  <c r="A48" i="6" s="1"/>
  <c r="A15" i="6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7" i="6"/>
  <c r="A8" i="6" s="1"/>
  <c r="A9" i="6" s="1"/>
  <c r="A10" i="6" s="1"/>
  <c r="A11" i="6" s="1"/>
  <c r="A12" i="6" s="1"/>
  <c r="A13" i="6" s="1"/>
  <c r="A14" i="6" s="1"/>
  <c r="A6" i="6"/>
  <c r="A5" i="6"/>
  <c r="E4" i="6"/>
  <c r="D4" i="6"/>
  <c r="C114" i="6"/>
  <c r="C110" i="6"/>
  <c r="C106" i="6"/>
  <c r="C102" i="6"/>
  <c r="C98" i="6"/>
  <c r="C94" i="6"/>
  <c r="C90" i="6"/>
  <c r="C86" i="6"/>
  <c r="C82" i="6"/>
  <c r="C78" i="6"/>
  <c r="C74" i="6"/>
  <c r="C70" i="6"/>
  <c r="C66" i="6"/>
  <c r="C62" i="6"/>
  <c r="C58" i="6"/>
  <c r="C54" i="6"/>
  <c r="C50" i="6"/>
  <c r="C46" i="6"/>
  <c r="C42" i="6"/>
  <c r="C38" i="6"/>
  <c r="C34" i="6"/>
  <c r="C30" i="6"/>
  <c r="C26" i="6"/>
  <c r="C22" i="6"/>
  <c r="C18" i="6"/>
  <c r="C14" i="6"/>
  <c r="C10" i="6"/>
  <c r="C6" i="6"/>
  <c r="C25" i="6"/>
  <c r="C13" i="6"/>
  <c r="C5" i="6"/>
  <c r="C112" i="6"/>
  <c r="C96" i="6"/>
  <c r="C88" i="6"/>
  <c r="C80" i="6"/>
  <c r="C72" i="6"/>
  <c r="C64" i="6"/>
  <c r="C56" i="6"/>
  <c r="C48" i="6"/>
  <c r="C40" i="6"/>
  <c r="C32" i="6"/>
  <c r="C24" i="6"/>
  <c r="C113" i="6"/>
  <c r="C109" i="6"/>
  <c r="C105" i="6"/>
  <c r="C101" i="6"/>
  <c r="C97" i="6"/>
  <c r="C93" i="6"/>
  <c r="C89" i="6"/>
  <c r="C85" i="6"/>
  <c r="C81" i="6"/>
  <c r="C77" i="6"/>
  <c r="C73" i="6"/>
  <c r="C69" i="6"/>
  <c r="C65" i="6"/>
  <c r="C61" i="6"/>
  <c r="C57" i="6"/>
  <c r="C53" i="6"/>
  <c r="C49" i="6"/>
  <c r="C45" i="6"/>
  <c r="C41" i="6"/>
  <c r="C37" i="6"/>
  <c r="C33" i="6"/>
  <c r="C29" i="6"/>
  <c r="C21" i="6"/>
  <c r="C17" i="6"/>
  <c r="C9" i="6"/>
  <c r="C108" i="6"/>
  <c r="C104" i="6"/>
  <c r="C100" i="6"/>
  <c r="C92" i="6"/>
  <c r="C84" i="6"/>
  <c r="C76" i="6"/>
  <c r="C68" i="6"/>
  <c r="C60" i="6"/>
  <c r="C52" i="6"/>
  <c r="C44" i="6"/>
  <c r="C36" i="6"/>
  <c r="C28" i="6"/>
  <c r="C20" i="6"/>
  <c r="C16" i="6"/>
  <c r="C12" i="6"/>
  <c r="C8" i="6"/>
  <c r="C111" i="6"/>
  <c r="C107" i="6"/>
  <c r="C103" i="6"/>
  <c r="C99" i="6"/>
  <c r="C95" i="6"/>
  <c r="C91" i="6"/>
  <c r="C87" i="6"/>
  <c r="C83" i="6"/>
  <c r="C79" i="6"/>
  <c r="C75" i="6"/>
  <c r="C71" i="6"/>
  <c r="C67" i="6"/>
  <c r="C63" i="6"/>
  <c r="C59" i="6"/>
  <c r="C55" i="6"/>
  <c r="C51" i="6"/>
  <c r="C47" i="6"/>
  <c r="C43" i="6"/>
  <c r="C39" i="6"/>
  <c r="C35" i="6"/>
  <c r="C31" i="6"/>
  <c r="C27" i="6"/>
  <c r="C23" i="6"/>
  <c r="C19" i="6"/>
  <c r="C15" i="6"/>
  <c r="C11" i="6"/>
  <c r="C7" i="6"/>
  <c r="C4" i="6"/>
  <c r="B4" i="6"/>
  <c r="B114" i="6"/>
  <c r="B110" i="6"/>
  <c r="B106" i="6"/>
  <c r="B102" i="6"/>
  <c r="B98" i="6"/>
  <c r="B94" i="6"/>
  <c r="B90" i="6"/>
  <c r="B86" i="6"/>
  <c r="B82" i="6"/>
  <c r="B78" i="6"/>
  <c r="B74" i="6"/>
  <c r="B70" i="6"/>
  <c r="B66" i="6"/>
  <c r="B62" i="6"/>
  <c r="B58" i="6"/>
  <c r="B54" i="6"/>
  <c r="B50" i="6"/>
  <c r="B46" i="6"/>
  <c r="B42" i="6"/>
  <c r="B38" i="6"/>
  <c r="B34" i="6"/>
  <c r="B30" i="6"/>
  <c r="B26" i="6"/>
  <c r="B22" i="6"/>
  <c r="B18" i="6"/>
  <c r="B14" i="6"/>
  <c r="B10" i="6"/>
  <c r="B6" i="6"/>
  <c r="B107" i="6"/>
  <c r="B95" i="6"/>
  <c r="B83" i="6"/>
  <c r="B71" i="6"/>
  <c r="B59" i="6"/>
  <c r="B47" i="6"/>
  <c r="B35" i="6"/>
  <c r="B23" i="6"/>
  <c r="B15" i="6"/>
  <c r="B113" i="6"/>
  <c r="B109" i="6"/>
  <c r="B105" i="6"/>
  <c r="B101" i="6"/>
  <c r="B97" i="6"/>
  <c r="B93" i="6"/>
  <c r="B89" i="6"/>
  <c r="B85" i="6"/>
  <c r="B81" i="6"/>
  <c r="B77" i="6"/>
  <c r="B73" i="6"/>
  <c r="B69" i="6"/>
  <c r="B65" i="6"/>
  <c r="B61" i="6"/>
  <c r="B57" i="6"/>
  <c r="B53" i="6"/>
  <c r="B49" i="6"/>
  <c r="B45" i="6"/>
  <c r="B41" i="6"/>
  <c r="B37" i="6"/>
  <c r="B33" i="6"/>
  <c r="B29" i="6"/>
  <c r="B25" i="6"/>
  <c r="B21" i="6"/>
  <c r="B17" i="6"/>
  <c r="B13" i="6"/>
  <c r="B9" i="6"/>
  <c r="B5" i="6"/>
  <c r="B103" i="6"/>
  <c r="B87" i="6"/>
  <c r="B75" i="6"/>
  <c r="B63" i="6"/>
  <c r="B51" i="6"/>
  <c r="B39" i="6"/>
  <c r="B31" i="6"/>
  <c r="B19" i="6"/>
  <c r="B7" i="6"/>
  <c r="B112" i="6"/>
  <c r="B108" i="6"/>
  <c r="B104" i="6"/>
  <c r="B100" i="6"/>
  <c r="B96" i="6"/>
  <c r="B92" i="6"/>
  <c r="B88" i="6"/>
  <c r="B84" i="6"/>
  <c r="B80" i="6"/>
  <c r="B76" i="6"/>
  <c r="B72" i="6"/>
  <c r="B68" i="6"/>
  <c r="B64" i="6"/>
  <c r="B60" i="6"/>
  <c r="B56" i="6"/>
  <c r="B52" i="6"/>
  <c r="B48" i="6"/>
  <c r="B44" i="6"/>
  <c r="B40" i="6"/>
  <c r="B36" i="6"/>
  <c r="B32" i="6"/>
  <c r="B28" i="6"/>
  <c r="B24" i="6"/>
  <c r="B20" i="6"/>
  <c r="B16" i="6"/>
  <c r="B12" i="6"/>
  <c r="B8" i="6"/>
  <c r="B111" i="6"/>
  <c r="B99" i="6"/>
  <c r="B91" i="6"/>
  <c r="B79" i="6"/>
  <c r="B67" i="6"/>
  <c r="B55" i="6"/>
  <c r="B43" i="6"/>
  <c r="B27" i="6"/>
  <c r="B11" i="6"/>
  <c r="E114" i="6"/>
  <c r="E110" i="6"/>
  <c r="E106" i="6"/>
  <c r="E102" i="6"/>
  <c r="E98" i="6"/>
  <c r="E94" i="6"/>
  <c r="E90" i="6"/>
  <c r="E86" i="6"/>
  <c r="E82" i="6"/>
  <c r="E78" i="6"/>
  <c r="E74" i="6"/>
  <c r="E70" i="6"/>
  <c r="E66" i="6"/>
  <c r="E62" i="6"/>
  <c r="E58" i="6"/>
  <c r="E54" i="6"/>
  <c r="E50" i="6"/>
  <c r="E46" i="6"/>
  <c r="E42" i="6"/>
  <c r="E38" i="6"/>
  <c r="E34" i="6"/>
  <c r="E30" i="6"/>
  <c r="E26" i="6"/>
  <c r="E22" i="6"/>
  <c r="E18" i="6"/>
  <c r="E14" i="6"/>
  <c r="E10" i="6"/>
  <c r="E6" i="6"/>
  <c r="E84" i="6"/>
  <c r="E68" i="6"/>
  <c r="E56" i="6"/>
  <c r="E44" i="6"/>
  <c r="E32" i="6"/>
  <c r="E20" i="6"/>
  <c r="E111" i="6"/>
  <c r="E99" i="6"/>
  <c r="E87" i="6"/>
  <c r="E75" i="6"/>
  <c r="E63" i="6"/>
  <c r="E51" i="6"/>
  <c r="E39" i="6"/>
  <c r="E31" i="6"/>
  <c r="E15" i="6"/>
  <c r="E113" i="6"/>
  <c r="E109" i="6"/>
  <c r="E105" i="6"/>
  <c r="E101" i="6"/>
  <c r="E97" i="6"/>
  <c r="E93" i="6"/>
  <c r="E89" i="6"/>
  <c r="E85" i="6"/>
  <c r="E81" i="6"/>
  <c r="E77" i="6"/>
  <c r="E73" i="6"/>
  <c r="E69" i="6"/>
  <c r="E65" i="6"/>
  <c r="E61" i="6"/>
  <c r="E57" i="6"/>
  <c r="E53" i="6"/>
  <c r="E49" i="6"/>
  <c r="E45" i="6"/>
  <c r="E41" i="6"/>
  <c r="E37" i="6"/>
  <c r="E33" i="6"/>
  <c r="E29" i="6"/>
  <c r="E25" i="6"/>
  <c r="E21" i="6"/>
  <c r="E17" i="6"/>
  <c r="E13" i="6"/>
  <c r="E9" i="6"/>
  <c r="E5" i="6"/>
  <c r="E92" i="6"/>
  <c r="E72" i="6"/>
  <c r="E60" i="6"/>
  <c r="E52" i="6"/>
  <c r="E40" i="6"/>
  <c r="E28" i="6"/>
  <c r="E16" i="6"/>
  <c r="E8" i="6"/>
  <c r="E107" i="6"/>
  <c r="E95" i="6"/>
  <c r="E83" i="6"/>
  <c r="E71" i="6"/>
  <c r="E59" i="6"/>
  <c r="E47" i="6"/>
  <c r="E35" i="6"/>
  <c r="E23" i="6"/>
  <c r="E11" i="6"/>
  <c r="E112" i="6"/>
  <c r="E108" i="6"/>
  <c r="E104" i="6"/>
  <c r="E100" i="6"/>
  <c r="E96" i="6"/>
  <c r="E88" i="6"/>
  <c r="E80" i="6"/>
  <c r="E76" i="6"/>
  <c r="E64" i="6"/>
  <c r="E48" i="6"/>
  <c r="E36" i="6"/>
  <c r="E24" i="6"/>
  <c r="E12" i="6"/>
  <c r="E103" i="6"/>
  <c r="E91" i="6"/>
  <c r="E79" i="6"/>
  <c r="E67" i="6"/>
  <c r="E55" i="6"/>
  <c r="E43" i="6"/>
  <c r="E27" i="6"/>
  <c r="E19" i="6"/>
  <c r="E7" i="6"/>
  <c r="D114" i="6"/>
  <c r="D110" i="6"/>
  <c r="D102" i="6"/>
  <c r="D98" i="6"/>
  <c r="D90" i="6"/>
  <c r="D78" i="6"/>
  <c r="D70" i="6"/>
  <c r="D58" i="6"/>
  <c r="D46" i="6"/>
  <c r="D34" i="6"/>
  <c r="D22" i="6"/>
  <c r="D10" i="6"/>
  <c r="D105" i="6"/>
  <c r="D89" i="6"/>
  <c r="D73" i="6"/>
  <c r="D61" i="6"/>
  <c r="D45" i="6"/>
  <c r="D29" i="6"/>
  <c r="D13" i="6"/>
  <c r="D109" i="6"/>
  <c r="D93" i="6"/>
  <c r="D77" i="6"/>
  <c r="D57" i="6"/>
  <c r="D41" i="6"/>
  <c r="D21" i="6"/>
  <c r="D112" i="6"/>
  <c r="D108" i="6"/>
  <c r="D104" i="6"/>
  <c r="D100" i="6"/>
  <c r="D96" i="6"/>
  <c r="D92" i="6"/>
  <c r="D88" i="6"/>
  <c r="D84" i="6"/>
  <c r="D80" i="6"/>
  <c r="D76" i="6"/>
  <c r="D72" i="6"/>
  <c r="D68" i="6"/>
  <c r="D64" i="6"/>
  <c r="D60" i="6"/>
  <c r="D56" i="6"/>
  <c r="D52" i="6"/>
  <c r="D48" i="6"/>
  <c r="D44" i="6"/>
  <c r="D40" i="6"/>
  <c r="D36" i="6"/>
  <c r="D32" i="6"/>
  <c r="D28" i="6"/>
  <c r="D24" i="6"/>
  <c r="D20" i="6"/>
  <c r="D16" i="6"/>
  <c r="D12" i="6"/>
  <c r="D8" i="6"/>
  <c r="D86" i="6"/>
  <c r="D66" i="6"/>
  <c r="D54" i="6"/>
  <c r="D42" i="6"/>
  <c r="D30" i="6"/>
  <c r="D18" i="6"/>
  <c r="D6" i="6"/>
  <c r="D113" i="6"/>
  <c r="D97" i="6"/>
  <c r="D81" i="6"/>
  <c r="D65" i="6"/>
  <c r="D49" i="6"/>
  <c r="D33" i="6"/>
  <c r="D17" i="6"/>
  <c r="D5" i="6"/>
  <c r="D111" i="6"/>
  <c r="D107" i="6"/>
  <c r="D103" i="6"/>
  <c r="D99" i="6"/>
  <c r="D95" i="6"/>
  <c r="D91" i="6"/>
  <c r="D87" i="6"/>
  <c r="D83" i="6"/>
  <c r="D79" i="6"/>
  <c r="D75" i="6"/>
  <c r="D71" i="6"/>
  <c r="D67" i="6"/>
  <c r="D63" i="6"/>
  <c r="D59" i="6"/>
  <c r="D55" i="6"/>
  <c r="D51" i="6"/>
  <c r="D47" i="6"/>
  <c r="D43" i="6"/>
  <c r="D39" i="6"/>
  <c r="D35" i="6"/>
  <c r="D31" i="6"/>
  <c r="D27" i="6"/>
  <c r="D23" i="6"/>
  <c r="D19" i="6"/>
  <c r="D15" i="6"/>
  <c r="D11" i="6"/>
  <c r="D7" i="6"/>
  <c r="D106" i="6"/>
  <c r="D94" i="6"/>
  <c r="D82" i="6"/>
  <c r="D74" i="6"/>
  <c r="D62" i="6"/>
  <c r="D50" i="6"/>
  <c r="D38" i="6"/>
  <c r="D26" i="6"/>
  <c r="D14" i="6"/>
  <c r="D101" i="6"/>
  <c r="D85" i="6"/>
  <c r="D69" i="6"/>
  <c r="D53" i="6"/>
  <c r="D37" i="6"/>
  <c r="D25" i="6"/>
  <c r="D9" i="6"/>
  <c r="D148" i="4"/>
  <c r="C147" i="4"/>
  <c r="B146" i="4"/>
  <c r="D144" i="4"/>
  <c r="C143" i="4"/>
  <c r="B142" i="4"/>
  <c r="D140" i="4"/>
  <c r="C139" i="4"/>
  <c r="B138" i="4"/>
  <c r="D136" i="4"/>
  <c r="C135" i="4"/>
  <c r="B134" i="4"/>
  <c r="D132" i="4"/>
  <c r="C131" i="4"/>
  <c r="B130" i="4"/>
  <c r="D128" i="4"/>
  <c r="C127" i="4"/>
  <c r="B126" i="4"/>
  <c r="D124" i="4"/>
  <c r="C123" i="4"/>
  <c r="B122" i="4"/>
  <c r="D120" i="4"/>
  <c r="C119" i="4"/>
  <c r="B118" i="4"/>
  <c r="D116" i="4"/>
  <c r="C115" i="4"/>
  <c r="B114" i="4"/>
  <c r="D112" i="4"/>
  <c r="C111" i="4"/>
  <c r="B110" i="4"/>
  <c r="D108" i="4"/>
  <c r="C107" i="4"/>
  <c r="B106" i="4"/>
  <c r="D104" i="4"/>
  <c r="C103" i="4"/>
  <c r="B102" i="4"/>
  <c r="D100" i="4"/>
  <c r="C99" i="4"/>
  <c r="B98" i="4"/>
  <c r="D96" i="4"/>
  <c r="C95" i="4"/>
  <c r="B94" i="4"/>
  <c r="D92" i="4"/>
  <c r="C91" i="4"/>
  <c r="B90" i="4"/>
  <c r="D88" i="4"/>
  <c r="C87" i="4"/>
  <c r="B86" i="4"/>
  <c r="D84" i="4"/>
  <c r="C83" i="4"/>
  <c r="B82" i="4"/>
  <c r="D80" i="4"/>
  <c r="C79" i="4"/>
  <c r="B78" i="4"/>
  <c r="D76" i="4"/>
  <c r="C75" i="4"/>
  <c r="B74" i="4"/>
  <c r="D72" i="4"/>
  <c r="C71" i="4"/>
  <c r="B70" i="4"/>
  <c r="D68" i="4"/>
  <c r="C67" i="4"/>
  <c r="B66" i="4"/>
  <c r="D64" i="4"/>
  <c r="C63" i="4"/>
  <c r="B62" i="4"/>
  <c r="D60" i="4"/>
  <c r="C59" i="4"/>
  <c r="B58" i="4"/>
  <c r="D56" i="4"/>
  <c r="C55" i="4"/>
  <c r="B54" i="4"/>
  <c r="D52" i="4"/>
  <c r="D48" i="4"/>
  <c r="C47" i="4"/>
  <c r="D44" i="4"/>
  <c r="B42" i="4"/>
  <c r="B38" i="4"/>
  <c r="C35" i="4"/>
  <c r="B30" i="4"/>
  <c r="B26" i="4"/>
  <c r="B22" i="4"/>
  <c r="B18" i="4"/>
  <c r="B14" i="4"/>
  <c r="C11" i="4"/>
  <c r="B6" i="4"/>
  <c r="C60" i="4"/>
  <c r="C52" i="4"/>
  <c r="D45" i="4"/>
  <c r="C40" i="4"/>
  <c r="B35" i="4"/>
  <c r="D29" i="4"/>
  <c r="C24" i="4"/>
  <c r="D17" i="4"/>
  <c r="C148" i="4"/>
  <c r="B147" i="4"/>
  <c r="D145" i="4"/>
  <c r="C144" i="4"/>
  <c r="B143" i="4"/>
  <c r="D141" i="4"/>
  <c r="C140" i="4"/>
  <c r="B139" i="4"/>
  <c r="D137" i="4"/>
  <c r="C136" i="4"/>
  <c r="B135" i="4"/>
  <c r="D133" i="4"/>
  <c r="C132" i="4"/>
  <c r="B131" i="4"/>
  <c r="D129" i="4"/>
  <c r="C128" i="4"/>
  <c r="B127" i="4"/>
  <c r="D125" i="4"/>
  <c r="C124" i="4"/>
  <c r="B123" i="4"/>
  <c r="D121" i="4"/>
  <c r="C120" i="4"/>
  <c r="B119" i="4"/>
  <c r="D117" i="4"/>
  <c r="C116" i="4"/>
  <c r="B115" i="4"/>
  <c r="D113" i="4"/>
  <c r="C112" i="4"/>
  <c r="B111" i="4"/>
  <c r="D109" i="4"/>
  <c r="C108" i="4"/>
  <c r="B107" i="4"/>
  <c r="D105" i="4"/>
  <c r="C104" i="4"/>
  <c r="B103" i="4"/>
  <c r="D101" i="4"/>
  <c r="C100" i="4"/>
  <c r="B99" i="4"/>
  <c r="D97" i="4"/>
  <c r="C96" i="4"/>
  <c r="B95" i="4"/>
  <c r="D93" i="4"/>
  <c r="C92" i="4"/>
  <c r="B91" i="4"/>
  <c r="D89" i="4"/>
  <c r="C88" i="4"/>
  <c r="B87" i="4"/>
  <c r="D85" i="4"/>
  <c r="C84" i="4"/>
  <c r="B83" i="4"/>
  <c r="D81" i="4"/>
  <c r="C80" i="4"/>
  <c r="B79" i="4"/>
  <c r="D77" i="4"/>
  <c r="C76" i="4"/>
  <c r="B75" i="4"/>
  <c r="D73" i="4"/>
  <c r="C72" i="4"/>
  <c r="B71" i="4"/>
  <c r="D69" i="4"/>
  <c r="C68" i="4"/>
  <c r="B67" i="4"/>
  <c r="D65" i="4"/>
  <c r="D61" i="4"/>
  <c r="B59" i="4"/>
  <c r="D57" i="4"/>
  <c r="C56" i="4"/>
  <c r="B55" i="4"/>
  <c r="D53" i="4"/>
  <c r="B51" i="4"/>
  <c r="B47" i="4"/>
  <c r="C44" i="4"/>
  <c r="B39" i="4"/>
  <c r="D33" i="4"/>
  <c r="C28" i="4"/>
  <c r="D21" i="4"/>
  <c r="B15" i="4"/>
  <c r="B148" i="4"/>
  <c r="D146" i="4"/>
  <c r="C145" i="4"/>
  <c r="B144" i="4"/>
  <c r="D142" i="4"/>
  <c r="C141" i="4"/>
  <c r="B140" i="4"/>
  <c r="D138" i="4"/>
  <c r="C137" i="4"/>
  <c r="B136" i="4"/>
  <c r="D134" i="4"/>
  <c r="C133" i="4"/>
  <c r="B132" i="4"/>
  <c r="D130" i="4"/>
  <c r="C129" i="4"/>
  <c r="B128" i="4"/>
  <c r="D126" i="4"/>
  <c r="C125" i="4"/>
  <c r="B124" i="4"/>
  <c r="D122" i="4"/>
  <c r="C121" i="4"/>
  <c r="B120" i="4"/>
  <c r="D118" i="4"/>
  <c r="C117" i="4"/>
  <c r="B116" i="4"/>
  <c r="D114" i="4"/>
  <c r="C113" i="4"/>
  <c r="B112" i="4"/>
  <c r="D110" i="4"/>
  <c r="C109" i="4"/>
  <c r="B108" i="4"/>
  <c r="D106" i="4"/>
  <c r="C105" i="4"/>
  <c r="B104" i="4"/>
  <c r="D102" i="4"/>
  <c r="C101" i="4"/>
  <c r="B100" i="4"/>
  <c r="D98" i="4"/>
  <c r="C97" i="4"/>
  <c r="B96" i="4"/>
  <c r="D94" i="4"/>
  <c r="C93" i="4"/>
  <c r="B92" i="4"/>
  <c r="D90" i="4"/>
  <c r="C89" i="4"/>
  <c r="B88" i="4"/>
  <c r="D86" i="4"/>
  <c r="C85" i="4"/>
  <c r="B84" i="4"/>
  <c r="D82" i="4"/>
  <c r="C81" i="4"/>
  <c r="B80" i="4"/>
  <c r="D78" i="4"/>
  <c r="C77" i="4"/>
  <c r="B76" i="4"/>
  <c r="D74" i="4"/>
  <c r="C73" i="4"/>
  <c r="B72" i="4"/>
  <c r="D70" i="4"/>
  <c r="C69" i="4"/>
  <c r="B68" i="4"/>
  <c r="D66" i="4"/>
  <c r="C65" i="4"/>
  <c r="B64" i="4"/>
  <c r="D62" i="4"/>
  <c r="C61" i="4"/>
  <c r="B60" i="4"/>
  <c r="D58" i="4"/>
  <c r="C57" i="4"/>
  <c r="B56" i="4"/>
  <c r="D54" i="4"/>
  <c r="C53" i="4"/>
  <c r="B52" i="4"/>
  <c r="D50" i="4"/>
  <c r="C49" i="4"/>
  <c r="B48" i="4"/>
  <c r="D46" i="4"/>
  <c r="C45" i="4"/>
  <c r="B44" i="4"/>
  <c r="D42" i="4"/>
  <c r="C41" i="4"/>
  <c r="B40" i="4"/>
  <c r="D38" i="4"/>
  <c r="C37" i="4"/>
  <c r="B36" i="4"/>
  <c r="D34" i="4"/>
  <c r="C33" i="4"/>
  <c r="B32" i="4"/>
  <c r="D30" i="4"/>
  <c r="C29" i="4"/>
  <c r="B28" i="4"/>
  <c r="D26" i="4"/>
  <c r="C25" i="4"/>
  <c r="B24" i="4"/>
  <c r="D22" i="4"/>
  <c r="C21" i="4"/>
  <c r="B20" i="4"/>
  <c r="D18" i="4"/>
  <c r="C17" i="4"/>
  <c r="B16" i="4"/>
  <c r="D14" i="4"/>
  <c r="C13" i="4"/>
  <c r="B12" i="4"/>
  <c r="D10" i="4"/>
  <c r="C9" i="4"/>
  <c r="B8" i="4"/>
  <c r="D6" i="4"/>
  <c r="B50" i="4"/>
  <c r="B46" i="4"/>
  <c r="C43" i="4"/>
  <c r="D40" i="4"/>
  <c r="D36" i="4"/>
  <c r="B34" i="4"/>
  <c r="C31" i="4"/>
  <c r="C27" i="4"/>
  <c r="C23" i="4"/>
  <c r="C19" i="4"/>
  <c r="C15" i="4"/>
  <c r="B10" i="4"/>
  <c r="C7" i="4"/>
  <c r="B63" i="4"/>
  <c r="C48" i="4"/>
  <c r="B43" i="4"/>
  <c r="D37" i="4"/>
  <c r="C32" i="4"/>
  <c r="D25" i="4"/>
  <c r="C20" i="4"/>
  <c r="D147" i="4"/>
  <c r="C146" i="4"/>
  <c r="B145" i="4"/>
  <c r="D143" i="4"/>
  <c r="C142" i="4"/>
  <c r="B141" i="4"/>
  <c r="D139" i="4"/>
  <c r="C138" i="4"/>
  <c r="B137" i="4"/>
  <c r="D135" i="4"/>
  <c r="C134" i="4"/>
  <c r="B133" i="4"/>
  <c r="D131" i="4"/>
  <c r="C130" i="4"/>
  <c r="B129" i="4"/>
  <c r="D127" i="4"/>
  <c r="C126" i="4"/>
  <c r="B125" i="4"/>
  <c r="D123" i="4"/>
  <c r="C122" i="4"/>
  <c r="B121" i="4"/>
  <c r="D119" i="4"/>
  <c r="C118" i="4"/>
  <c r="B117" i="4"/>
  <c r="D115" i="4"/>
  <c r="C114" i="4"/>
  <c r="B113" i="4"/>
  <c r="D111" i="4"/>
  <c r="C110" i="4"/>
  <c r="B109" i="4"/>
  <c r="D107" i="4"/>
  <c r="C106" i="4"/>
  <c r="B105" i="4"/>
  <c r="D103" i="4"/>
  <c r="C102" i="4"/>
  <c r="B101" i="4"/>
  <c r="D99" i="4"/>
  <c r="C98" i="4"/>
  <c r="B97" i="4"/>
  <c r="D95" i="4"/>
  <c r="C94" i="4"/>
  <c r="B93" i="4"/>
  <c r="D91" i="4"/>
  <c r="C90" i="4"/>
  <c r="B89" i="4"/>
  <c r="D87" i="4"/>
  <c r="C86" i="4"/>
  <c r="B85" i="4"/>
  <c r="D83" i="4"/>
  <c r="C82" i="4"/>
  <c r="B81" i="4"/>
  <c r="D79" i="4"/>
  <c r="C78" i="4"/>
  <c r="B77" i="4"/>
  <c r="D75" i="4"/>
  <c r="C74" i="4"/>
  <c r="B73" i="4"/>
  <c r="D71" i="4"/>
  <c r="C70" i="4"/>
  <c r="B69" i="4"/>
  <c r="D67" i="4"/>
  <c r="C66" i="4"/>
  <c r="B65" i="4"/>
  <c r="D63" i="4"/>
  <c r="C62" i="4"/>
  <c r="B61" i="4"/>
  <c r="D59" i="4"/>
  <c r="C58" i="4"/>
  <c r="B57" i="4"/>
  <c r="D55" i="4"/>
  <c r="C54" i="4"/>
  <c r="B53" i="4"/>
  <c r="D51" i="4"/>
  <c r="C50" i="4"/>
  <c r="B49" i="4"/>
  <c r="D47" i="4"/>
  <c r="C46" i="4"/>
  <c r="B45" i="4"/>
  <c r="D43" i="4"/>
  <c r="C42" i="4"/>
  <c r="B41" i="4"/>
  <c r="D39" i="4"/>
  <c r="C38" i="4"/>
  <c r="B37" i="4"/>
  <c r="D35" i="4"/>
  <c r="C34" i="4"/>
  <c r="B33" i="4"/>
  <c r="D31" i="4"/>
  <c r="C30" i="4"/>
  <c r="B29" i="4"/>
  <c r="D27" i="4"/>
  <c r="C26" i="4"/>
  <c r="B25" i="4"/>
  <c r="D23" i="4"/>
  <c r="C22" i="4"/>
  <c r="B21" i="4"/>
  <c r="D19" i="4"/>
  <c r="C18" i="4"/>
  <c r="B17" i="4"/>
  <c r="D15" i="4"/>
  <c r="C14" i="4"/>
  <c r="B13" i="4"/>
  <c r="D11" i="4"/>
  <c r="C10" i="4"/>
  <c r="B9" i="4"/>
  <c r="D7" i="4"/>
  <c r="C6" i="4"/>
  <c r="C51" i="4"/>
  <c r="C39" i="4"/>
  <c r="D32" i="4"/>
  <c r="D28" i="4"/>
  <c r="D24" i="4"/>
  <c r="D20" i="4"/>
  <c r="D16" i="4"/>
  <c r="D12" i="4"/>
  <c r="D8" i="4"/>
  <c r="C64" i="4"/>
  <c r="D49" i="4"/>
  <c r="D41" i="4"/>
  <c r="C36" i="4"/>
  <c r="B31" i="4"/>
  <c r="B27" i="4"/>
  <c r="B23" i="4"/>
  <c r="B19" i="4"/>
  <c r="C16" i="4"/>
  <c r="B11" i="4"/>
  <c r="D9" i="4"/>
  <c r="C8" i="4"/>
  <c r="C12" i="4"/>
  <c r="B7" i="4"/>
  <c r="D13" i="4"/>
  <c r="D5" i="4"/>
  <c r="C5" i="4"/>
  <c r="B5" i="4"/>
  <c r="F4" i="6" l="1"/>
  <c r="F8" i="6"/>
  <c r="F12" i="6"/>
  <c r="F16" i="6"/>
  <c r="F7" i="6"/>
  <c r="F11" i="6"/>
  <c r="F15" i="6"/>
  <c r="F6" i="6"/>
  <c r="F10" i="6"/>
  <c r="F14" i="6"/>
  <c r="F5" i="6"/>
  <c r="F9" i="6"/>
  <c r="F13" i="6"/>
  <c r="AB24" i="4"/>
  <c r="Y27" i="4"/>
  <c r="Y26" i="4"/>
  <c r="Y25" i="4"/>
  <c r="Y24" i="4"/>
  <c r="Y28" i="4"/>
  <c r="J13" i="7"/>
  <c r="J12" i="7"/>
  <c r="J11" i="7"/>
  <c r="J10" i="7"/>
  <c r="C15" i="7"/>
  <c r="C13" i="7"/>
  <c r="AH16" i="4"/>
  <c r="AH8" i="4"/>
  <c r="AH10" i="4"/>
  <c r="AH7" i="4"/>
  <c r="AH6" i="4"/>
  <c r="F17" i="6" l="1"/>
  <c r="X26" i="4"/>
  <c r="X27" i="4" s="1"/>
  <c r="X25" i="4"/>
  <c r="AH26" i="4"/>
  <c r="AH11" i="4"/>
  <c r="AH12" i="4"/>
  <c r="AH13" i="4"/>
  <c r="F18" i="6" l="1"/>
  <c r="AI30" i="4"/>
  <c r="AI29" i="4"/>
  <c r="AH5" i="4"/>
  <c r="AI28" i="4"/>
  <c r="AK9" i="4"/>
  <c r="AK10" i="4"/>
  <c r="F19" i="6" l="1"/>
  <c r="AI16" i="4"/>
  <c r="F20" i="6" l="1"/>
  <c r="AI17" i="4"/>
  <c r="AI19" i="4"/>
  <c r="AI18" i="4"/>
  <c r="AI20" i="4"/>
  <c r="AH24" i="4"/>
  <c r="AH19" i="4"/>
  <c r="AH21" i="4"/>
  <c r="AH20" i="4"/>
  <c r="AH17" i="4"/>
  <c r="AH25" i="4"/>
  <c r="AH23" i="4"/>
  <c r="AH22" i="4"/>
  <c r="AH18" i="4"/>
  <c r="F21" i="6" l="1"/>
  <c r="AH28" i="4"/>
  <c r="AJ17" i="4"/>
  <c r="AJ18" i="4"/>
  <c r="AJ22" i="4"/>
  <c r="AJ20" i="4"/>
  <c r="AJ19" i="4"/>
  <c r="AJ16" i="4"/>
  <c r="AK7" i="4"/>
  <c r="F22" i="6" l="1"/>
  <c r="C16" i="7"/>
  <c r="L13" i="7"/>
  <c r="L11" i="7"/>
  <c r="L12" i="7"/>
  <c r="S2" i="7"/>
  <c r="T2" i="7"/>
  <c r="F23" i="6" l="1"/>
  <c r="K10" i="7"/>
  <c r="C9" i="7"/>
  <c r="C14" i="7"/>
  <c r="C12" i="7"/>
  <c r="D12" i="7" s="1"/>
  <c r="C11" i="7"/>
  <c r="D11" i="7" s="1"/>
  <c r="C10" i="7"/>
  <c r="D10" i="7" s="1"/>
  <c r="F24" i="6" l="1"/>
  <c r="M13" i="7"/>
  <c r="M12" i="7"/>
  <c r="F1" i="6"/>
  <c r="C1" i="6"/>
  <c r="C2" i="4"/>
  <c r="B2" i="4"/>
  <c r="AB9" i="4"/>
  <c r="F25" i="6" l="1"/>
  <c r="R1" i="6"/>
  <c r="S4" i="4"/>
  <c r="S3" i="4"/>
  <c r="S5" i="4"/>
  <c r="S2" i="4"/>
  <c r="A6" i="4"/>
  <c r="A7" i="4" s="1"/>
  <c r="A8" i="4" s="1"/>
  <c r="A9" i="4" s="1"/>
  <c r="A10" i="4" s="1"/>
  <c r="F26" i="6" l="1"/>
  <c r="M11" i="7"/>
  <c r="A11" i="4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64" i="4" s="1"/>
  <c r="A65" i="4" s="1"/>
  <c r="A66" i="4" s="1"/>
  <c r="A67" i="4" s="1"/>
  <c r="A68" i="4" s="1"/>
  <c r="A69" i="4" s="1"/>
  <c r="A70" i="4" s="1"/>
  <c r="A71" i="4" s="1"/>
  <c r="A72" i="4" s="1"/>
  <c r="A73" i="4" s="1"/>
  <c r="A74" i="4" s="1"/>
  <c r="A75" i="4" s="1"/>
  <c r="A76" i="4" s="1"/>
  <c r="A77" i="4" s="1"/>
  <c r="A78" i="4" s="1"/>
  <c r="A79" i="4" s="1"/>
  <c r="A80" i="4" s="1"/>
  <c r="A81" i="4" s="1"/>
  <c r="A82" i="4" s="1"/>
  <c r="A83" i="4" s="1"/>
  <c r="A84" i="4" s="1"/>
  <c r="A85" i="4" s="1"/>
  <c r="A86" i="4" s="1"/>
  <c r="A87" i="4" s="1"/>
  <c r="A88" i="4" s="1"/>
  <c r="A89" i="4" s="1"/>
  <c r="A90" i="4" s="1"/>
  <c r="A91" i="4" s="1"/>
  <c r="A92" i="4" s="1"/>
  <c r="A93" i="4" s="1"/>
  <c r="A94" i="4" s="1"/>
  <c r="A95" i="4" s="1"/>
  <c r="A96" i="4" s="1"/>
  <c r="A97" i="4" s="1"/>
  <c r="A98" i="4" s="1"/>
  <c r="A99" i="4" s="1"/>
  <c r="A100" i="4" s="1"/>
  <c r="A101" i="4" s="1"/>
  <c r="A102" i="4" s="1"/>
  <c r="A103" i="4" s="1"/>
  <c r="A104" i="4" s="1"/>
  <c r="A105" i="4" s="1"/>
  <c r="A106" i="4" s="1"/>
  <c r="A107" i="4" s="1"/>
  <c r="A108" i="4" s="1"/>
  <c r="A109" i="4" s="1"/>
  <c r="A110" i="4" s="1"/>
  <c r="A111" i="4" s="1"/>
  <c r="A112" i="4" s="1"/>
  <c r="A113" i="4" s="1"/>
  <c r="A114" i="4" s="1"/>
  <c r="A115" i="4" s="1"/>
  <c r="A116" i="4" s="1"/>
  <c r="A117" i="4" s="1"/>
  <c r="A118" i="4" s="1"/>
  <c r="A119" i="4" s="1"/>
  <c r="A120" i="4" s="1"/>
  <c r="A121" i="4" s="1"/>
  <c r="A122" i="4" s="1"/>
  <c r="A123" i="4" s="1"/>
  <c r="A124" i="4" s="1"/>
  <c r="A125" i="4" s="1"/>
  <c r="A126" i="4" s="1"/>
  <c r="A127" i="4" s="1"/>
  <c r="A128" i="4" s="1"/>
  <c r="A129" i="4" s="1"/>
  <c r="A130" i="4" s="1"/>
  <c r="A131" i="4" s="1"/>
  <c r="A132" i="4" s="1"/>
  <c r="A133" i="4" s="1"/>
  <c r="A134" i="4" s="1"/>
  <c r="A135" i="4" s="1"/>
  <c r="A136" i="4" s="1"/>
  <c r="A137" i="4" s="1"/>
  <c r="A138" i="4" s="1"/>
  <c r="A139" i="4" s="1"/>
  <c r="A140" i="4" s="1"/>
  <c r="A141" i="4" s="1"/>
  <c r="A142" i="4" s="1"/>
  <c r="A143" i="4" s="1"/>
  <c r="A144" i="4" s="1"/>
  <c r="A145" i="4" s="1"/>
  <c r="A146" i="4" s="1"/>
  <c r="A147" i="4" s="1"/>
  <c r="A148" i="4" s="1"/>
  <c r="F27" i="6" l="1"/>
  <c r="I1" i="4"/>
  <c r="F28" i="6" l="1"/>
  <c r="E34" i="4"/>
  <c r="E79" i="4"/>
  <c r="F67" i="4"/>
  <c r="F77" i="4"/>
  <c r="E78" i="4"/>
  <c r="E107" i="4"/>
  <c r="E28" i="4"/>
  <c r="E60" i="4"/>
  <c r="F81" i="4"/>
  <c r="E12" i="4"/>
  <c r="E140" i="4"/>
  <c r="F19" i="4"/>
  <c r="F139" i="4"/>
  <c r="E89" i="4"/>
  <c r="F104" i="4"/>
  <c r="E67" i="4"/>
  <c r="F44" i="4"/>
  <c r="F90" i="4"/>
  <c r="F13" i="4"/>
  <c r="F140" i="4"/>
  <c r="F9" i="4"/>
  <c r="F58" i="4"/>
  <c r="E83" i="4"/>
  <c r="E11" i="4"/>
  <c r="F83" i="4"/>
  <c r="E70" i="4"/>
  <c r="F85" i="4"/>
  <c r="E111" i="4"/>
  <c r="F79" i="4"/>
  <c r="F10" i="4"/>
  <c r="E58" i="4"/>
  <c r="F5" i="4"/>
  <c r="E121" i="4"/>
  <c r="E85" i="4"/>
  <c r="E21" i="4"/>
  <c r="F69" i="4"/>
  <c r="E122" i="4"/>
  <c r="E100" i="4"/>
  <c r="F86" i="4"/>
  <c r="E133" i="4"/>
  <c r="E56" i="4"/>
  <c r="E54" i="4"/>
  <c r="F54" i="4"/>
  <c r="E6" i="4"/>
  <c r="F120" i="4"/>
  <c r="E98" i="4"/>
  <c r="F29" i="4"/>
  <c r="E57" i="4"/>
  <c r="F60" i="4"/>
  <c r="E99" i="4"/>
  <c r="E35" i="4"/>
  <c r="F31" i="4"/>
  <c r="F130" i="4"/>
  <c r="F134" i="4"/>
  <c r="F57" i="4"/>
  <c r="F21" i="4"/>
  <c r="F125" i="4"/>
  <c r="E5" i="4"/>
  <c r="F61" i="4"/>
  <c r="E15" i="4"/>
  <c r="F89" i="4"/>
  <c r="E123" i="4"/>
  <c r="E86" i="4"/>
  <c r="E124" i="4"/>
  <c r="F14" i="4"/>
  <c r="F143" i="4"/>
  <c r="F6" i="4"/>
  <c r="F8" i="4"/>
  <c r="E147" i="4"/>
  <c r="F82" i="4"/>
  <c r="E9" i="4"/>
  <c r="E44" i="4"/>
  <c r="E62" i="4"/>
  <c r="E102" i="4"/>
  <c r="E95" i="4"/>
  <c r="E13" i="4"/>
  <c r="E82" i="4"/>
  <c r="F76" i="4"/>
  <c r="E125" i="4"/>
  <c r="E128" i="4"/>
  <c r="F122" i="4"/>
  <c r="F71" i="4"/>
  <c r="E31" i="4"/>
  <c r="E115" i="4"/>
  <c r="F63" i="4"/>
  <c r="E38" i="4"/>
  <c r="F88" i="4"/>
  <c r="E27" i="4"/>
  <c r="F15" i="4"/>
  <c r="F23" i="4"/>
  <c r="E87" i="4"/>
  <c r="F116" i="4"/>
  <c r="F117" i="4"/>
  <c r="F103" i="4"/>
  <c r="F68" i="4"/>
  <c r="E75" i="4"/>
  <c r="F131" i="4"/>
  <c r="E127" i="4"/>
  <c r="E143" i="4"/>
  <c r="F132" i="4"/>
  <c r="F27" i="4"/>
  <c r="F112" i="4"/>
  <c r="F97" i="4"/>
  <c r="E59" i="4"/>
  <c r="E47" i="4"/>
  <c r="E29" i="4"/>
  <c r="F142" i="4"/>
  <c r="F111" i="4"/>
  <c r="F40" i="4"/>
  <c r="E43" i="4"/>
  <c r="F99" i="4"/>
  <c r="E108" i="4"/>
  <c r="E120" i="4"/>
  <c r="E55" i="4"/>
  <c r="F62" i="4"/>
  <c r="F121" i="4"/>
  <c r="F124" i="4"/>
  <c r="F106" i="4"/>
  <c r="F98" i="4"/>
  <c r="F55" i="4"/>
  <c r="E40" i="4"/>
  <c r="E101" i="4"/>
  <c r="F33" i="4"/>
  <c r="E94" i="4"/>
  <c r="F46" i="4"/>
  <c r="E53" i="4"/>
  <c r="F39" i="4"/>
  <c r="E135" i="4"/>
  <c r="F35" i="4"/>
  <c r="F133" i="4"/>
  <c r="F141" i="4"/>
  <c r="F16" i="4"/>
  <c r="F45" i="4"/>
  <c r="F94" i="4"/>
  <c r="F49" i="4"/>
  <c r="E148" i="4"/>
  <c r="F17" i="4"/>
  <c r="E130" i="4"/>
  <c r="F70" i="4"/>
  <c r="E25" i="4"/>
  <c r="E116" i="4"/>
  <c r="F113" i="4"/>
  <c r="E52" i="4"/>
  <c r="F105" i="4"/>
  <c r="E109" i="4"/>
  <c r="E71" i="4"/>
  <c r="E49" i="4"/>
  <c r="E118" i="4"/>
  <c r="E24" i="4"/>
  <c r="F25" i="4"/>
  <c r="F36" i="4"/>
  <c r="E39" i="4"/>
  <c r="E17" i="4"/>
  <c r="E81" i="4"/>
  <c r="F38" i="4"/>
  <c r="E131" i="4"/>
  <c r="F34" i="4"/>
  <c r="F107" i="4"/>
  <c r="E68" i="4"/>
  <c r="E91" i="4"/>
  <c r="E69" i="4"/>
  <c r="E23" i="4"/>
  <c r="E14" i="4"/>
  <c r="F12" i="4"/>
  <c r="E146" i="4"/>
  <c r="E19" i="4"/>
  <c r="E139" i="4"/>
  <c r="F119" i="4"/>
  <c r="E93" i="4"/>
  <c r="F101" i="4"/>
  <c r="F66" i="4"/>
  <c r="E65" i="4"/>
  <c r="F148" i="4"/>
  <c r="F73" i="4"/>
  <c r="E74" i="4"/>
  <c r="F41" i="4"/>
  <c r="F72" i="4"/>
  <c r="F96" i="4"/>
  <c r="E113" i="4"/>
  <c r="E73" i="4"/>
  <c r="E92" i="4"/>
  <c r="F75" i="4"/>
  <c r="F52" i="4"/>
  <c r="F137" i="4"/>
  <c r="F53" i="4"/>
  <c r="E112" i="4"/>
  <c r="F65" i="4"/>
  <c r="E22" i="4"/>
  <c r="F145" i="4"/>
  <c r="F43" i="4"/>
  <c r="F91" i="4"/>
  <c r="E132" i="4"/>
  <c r="F92" i="4"/>
  <c r="F147" i="4"/>
  <c r="F37" i="4"/>
  <c r="E104" i="4"/>
  <c r="F126" i="4"/>
  <c r="E72" i="4"/>
  <c r="F32" i="4"/>
  <c r="F11" i="4"/>
  <c r="E37" i="4"/>
  <c r="E145" i="4"/>
  <c r="E18" i="4"/>
  <c r="E36" i="4"/>
  <c r="F22" i="4"/>
  <c r="F138" i="4"/>
  <c r="E20" i="4"/>
  <c r="E32" i="4"/>
  <c r="E26" i="4"/>
  <c r="F80" i="4"/>
  <c r="F146" i="4"/>
  <c r="F74" i="4"/>
  <c r="F135" i="4"/>
  <c r="E16" i="4"/>
  <c r="E103" i="4"/>
  <c r="E41" i="4"/>
  <c r="E46" i="4"/>
  <c r="F118" i="4"/>
  <c r="F93" i="4"/>
  <c r="E106" i="4"/>
  <c r="E30" i="4"/>
  <c r="E141" i="4"/>
  <c r="F128" i="4"/>
  <c r="E7" i="4"/>
  <c r="E119" i="4"/>
  <c r="E51" i="4"/>
  <c r="E129" i="4"/>
  <c r="F28" i="4"/>
  <c r="F64" i="4"/>
  <c r="E8" i="4"/>
  <c r="F144" i="4"/>
  <c r="F20" i="4"/>
  <c r="F18" i="4"/>
  <c r="F95" i="4"/>
  <c r="E42" i="4"/>
  <c r="E117" i="4"/>
  <c r="E77" i="4"/>
  <c r="F47" i="4"/>
  <c r="E64" i="4"/>
  <c r="E80" i="4"/>
  <c r="E50" i="4"/>
  <c r="E97" i="4"/>
  <c r="E126" i="4"/>
  <c r="E96" i="4"/>
  <c r="F127" i="4"/>
  <c r="E114" i="4"/>
  <c r="E10" i="4"/>
  <c r="F59" i="4"/>
  <c r="E134" i="4"/>
  <c r="F48" i="4"/>
  <c r="F102" i="4"/>
  <c r="E138" i="4"/>
  <c r="F114" i="4"/>
  <c r="E45" i="4"/>
  <c r="F78" i="4"/>
  <c r="E63" i="4"/>
  <c r="F24" i="4"/>
  <c r="F136" i="4"/>
  <c r="E105" i="4"/>
  <c r="E76" i="4"/>
  <c r="E48" i="4"/>
  <c r="F87" i="4"/>
  <c r="F50" i="4"/>
  <c r="E144" i="4"/>
  <c r="F30" i="4"/>
  <c r="F56" i="4"/>
  <c r="E110" i="4"/>
  <c r="F129" i="4"/>
  <c r="F108" i="4"/>
  <c r="E66" i="4"/>
  <c r="E88" i="4"/>
  <c r="F42" i="4"/>
  <c r="E136" i="4"/>
  <c r="F26" i="4"/>
  <c r="F123" i="4"/>
  <c r="E33" i="4"/>
  <c r="E61" i="4"/>
  <c r="F109" i="4"/>
  <c r="F115" i="4"/>
  <c r="E90" i="4"/>
  <c r="F84" i="4"/>
  <c r="F110" i="4"/>
  <c r="E137" i="4"/>
  <c r="E142" i="4"/>
  <c r="F51" i="4"/>
  <c r="E84" i="4"/>
  <c r="F7" i="4"/>
  <c r="F100" i="4"/>
  <c r="AH14" i="4"/>
  <c r="F29" i="6" l="1"/>
  <c r="F30" i="6" l="1"/>
  <c r="F31" i="6" l="1"/>
  <c r="F32" i="6" l="1"/>
  <c r="F33" i="6" l="1"/>
  <c r="F34" i="6" l="1"/>
  <c r="F35" i="6" l="1"/>
  <c r="F36" i="6" l="1"/>
  <c r="F37" i="6" l="1"/>
  <c r="F38" i="6" l="1"/>
  <c r="F39" i="6" l="1"/>
  <c r="F40" i="6" l="1"/>
  <c r="F41" i="6" l="1"/>
  <c r="F42" i="6" l="1"/>
  <c r="F43" i="6" l="1"/>
  <c r="F44" i="6" l="1"/>
  <c r="F45" i="6" l="1"/>
  <c r="F46" i="6" l="1"/>
  <c r="F47" i="6" l="1"/>
  <c r="F48" i="6" l="1"/>
  <c r="F49" i="6" l="1"/>
  <c r="F50" i="6" l="1"/>
  <c r="F51" i="6" l="1"/>
  <c r="F52" i="6" l="1"/>
  <c r="F53" i="6" l="1"/>
  <c r="F54" i="6" l="1"/>
  <c r="F55" i="6" l="1"/>
  <c r="F56" i="6" l="1"/>
  <c r="F57" i="6" l="1"/>
  <c r="F58" i="6" l="1"/>
  <c r="F59" i="6" l="1"/>
  <c r="F60" i="6" l="1"/>
  <c r="F61" i="6" l="1"/>
  <c r="F62" i="6" l="1"/>
  <c r="F63" i="6" l="1"/>
  <c r="F64" i="6" l="1"/>
  <c r="F65" i="6" l="1"/>
  <c r="F66" i="6" l="1"/>
  <c r="F67" i="6" l="1"/>
  <c r="F68" i="6" l="1"/>
  <c r="F69" i="6" l="1"/>
  <c r="F70" i="6" l="1"/>
  <c r="F71" i="6" l="1"/>
  <c r="F72" i="6" l="1"/>
  <c r="F73" i="6" l="1"/>
  <c r="F74" i="6" l="1"/>
  <c r="F75" i="6" l="1"/>
  <c r="F76" i="6" l="1"/>
  <c r="F77" i="6" l="1"/>
  <c r="F78" i="6" l="1"/>
  <c r="F79" i="6" l="1"/>
  <c r="F80" i="6" l="1"/>
  <c r="F81" i="6" l="1"/>
  <c r="F82" i="6" l="1"/>
  <c r="F83" i="6" l="1"/>
  <c r="F84" i="6" l="1"/>
  <c r="F85" i="6" l="1"/>
  <c r="F86" i="6" l="1"/>
  <c r="F87" i="6" l="1"/>
  <c r="F88" i="6" l="1"/>
  <c r="F89" i="6" l="1"/>
  <c r="F90" i="6" l="1"/>
  <c r="F91" i="6" l="1"/>
  <c r="F92" i="6" l="1"/>
  <c r="F93" i="6" l="1"/>
  <c r="F94" i="6" l="1"/>
  <c r="F95" i="6" l="1"/>
  <c r="F96" i="6" l="1"/>
  <c r="F97" i="6" l="1"/>
  <c r="F98" i="6" l="1"/>
  <c r="F99" i="6" l="1"/>
  <c r="F100" i="6" l="1"/>
  <c r="F101" i="6" l="1"/>
  <c r="F102" i="6" l="1"/>
  <c r="F103" i="6" l="1"/>
  <c r="F104" i="6" l="1"/>
  <c r="F105" i="6" l="1"/>
  <c r="F106" i="6" l="1"/>
  <c r="F107" i="6" l="1"/>
  <c r="F108" i="6" l="1"/>
  <c r="F109" i="6" l="1"/>
  <c r="F110" i="6" l="1"/>
  <c r="F111" i="6" l="1"/>
  <c r="F112" i="6" l="1"/>
  <c r="F113" i="6" l="1"/>
  <c r="F114" i="6" l="1"/>
</calcChain>
</file>

<file path=xl/sharedStrings.xml><?xml version="1.0" encoding="utf-8"?>
<sst xmlns="http://schemas.openxmlformats.org/spreadsheetml/2006/main" count="142" uniqueCount="122">
  <si>
    <t>w</t>
  </si>
  <si>
    <t>Sun</t>
  </si>
  <si>
    <t>Mercury</t>
  </si>
  <si>
    <t>Venus</t>
  </si>
  <si>
    <t>Moon</t>
  </si>
  <si>
    <t>Mars</t>
  </si>
  <si>
    <t>Jupiter</t>
  </si>
  <si>
    <t>Saturn</t>
  </si>
  <si>
    <t>Uranus</t>
  </si>
  <si>
    <t>Neptune</t>
  </si>
  <si>
    <t>Mag</t>
  </si>
  <si>
    <t>Object IDs</t>
  </si>
  <si>
    <t>Pluto</t>
  </si>
  <si>
    <t>1AU</t>
  </si>
  <si>
    <t>Earth Rad</t>
  </si>
  <si>
    <t>Size</t>
  </si>
  <si>
    <t>Date</t>
  </si>
  <si>
    <t>Earth</t>
  </si>
  <si>
    <t>Culminate</t>
  </si>
  <si>
    <t>Visual</t>
  </si>
  <si>
    <t>Imaging</t>
  </si>
  <si>
    <t>Best Alt</t>
  </si>
  <si>
    <t>Best Time</t>
  </si>
  <si>
    <t>Observer Location</t>
  </si>
  <si>
    <t>Int</t>
  </si>
  <si>
    <t>Easternmost</t>
  </si>
  <si>
    <t>Westernmost</t>
  </si>
  <si>
    <t>Southernmost</t>
  </si>
  <si>
    <t>Northernmost</t>
  </si>
  <si>
    <t>Lowestoft Ness</t>
  </si>
  <si>
    <t>St Agnes, Scilly</t>
  </si>
  <si>
    <t>Skaw, Shetland</t>
  </si>
  <si>
    <t>Belleek, Fermanagh</t>
  </si>
  <si>
    <t>Calculations based on Lat 51.88, Long -1.31</t>
  </si>
  <si>
    <t>for every degree south (north) you live</t>
  </si>
  <si>
    <t>Best time will be later for more western locations</t>
  </si>
  <si>
    <t>and earlier for more eastern locations</t>
  </si>
  <si>
    <t xml:space="preserve">Brightness of inner planets takes into account </t>
  </si>
  <si>
    <t>their phase as well as distances</t>
  </si>
  <si>
    <t>UK extremities</t>
  </si>
  <si>
    <t xml:space="preserve">Best Altitude means </t>
  </si>
  <si>
    <t xml:space="preserve">If planet culminates in daytime, then the better </t>
  </si>
  <si>
    <t>of dawn or dusk altitude is taken.</t>
  </si>
  <si>
    <t xml:space="preserve">is more than 20 degs above. </t>
  </si>
  <si>
    <t>This corresponds to astronomical dark more or less</t>
  </si>
  <si>
    <t>Calculations based on a paper by Paul Schlyter</t>
  </si>
  <si>
    <t>http://www.stjarnhimlen.se/comp/ppcomp.html</t>
  </si>
  <si>
    <t>Effect of refraction on sunset from HongKong Observatory</t>
  </si>
  <si>
    <t>http://www.hko.gov.hk/m/article_e.htm?title=ele_00493</t>
  </si>
  <si>
    <t>The brightness of Saturn's rings is NOT modelled (yet)</t>
  </si>
  <si>
    <t xml:space="preserve">Increase(decrease) best altitude by approx 1 degree </t>
  </si>
  <si>
    <t>For Visual observing: sun is below horizon, planet is above</t>
  </si>
  <si>
    <t>For Imaging: sun is more  than 10degs below horizon, planet</t>
  </si>
  <si>
    <t>Temp</t>
  </si>
  <si>
    <t>Press</t>
  </si>
  <si>
    <t>Lat</t>
  </si>
  <si>
    <t>Long</t>
  </si>
  <si>
    <t>Planet</t>
  </si>
  <si>
    <t>Astrodate</t>
  </si>
  <si>
    <t>MA</t>
  </si>
  <si>
    <t>Omega</t>
  </si>
  <si>
    <t>Long Of Asc</t>
  </si>
  <si>
    <t>Julian Date</t>
  </si>
  <si>
    <t>Ceres</t>
  </si>
  <si>
    <t>RA</t>
  </si>
  <si>
    <t>Dec</t>
  </si>
  <si>
    <t>LST</t>
  </si>
  <si>
    <t>Alt</t>
  </si>
  <si>
    <t>Az</t>
  </si>
  <si>
    <t>Lonecl</t>
  </si>
  <si>
    <t>Latecl</t>
  </si>
  <si>
    <t>Dist Earth</t>
  </si>
  <si>
    <t>X</t>
  </si>
  <si>
    <t>Y</t>
  </si>
  <si>
    <t>Z</t>
  </si>
  <si>
    <t>Eccentricity</t>
  </si>
  <si>
    <t>eccentric Anomaly</t>
  </si>
  <si>
    <t>Plan Dist from Sun</t>
  </si>
  <si>
    <t>ID</t>
  </si>
  <si>
    <t>Yr of Per</t>
  </si>
  <si>
    <t>Mth of Per</t>
  </si>
  <si>
    <t>Peri Dist</t>
  </si>
  <si>
    <t>Dy of Per</t>
  </si>
  <si>
    <t>N</t>
  </si>
  <si>
    <t>i</t>
  </si>
  <si>
    <t>epoch</t>
  </si>
  <si>
    <t>Abs Mag</t>
  </si>
  <si>
    <t>Slope</t>
  </si>
  <si>
    <t>a</t>
  </si>
  <si>
    <t>Struct  contains</t>
  </si>
  <si>
    <t>name</t>
  </si>
  <si>
    <t>incl</t>
  </si>
  <si>
    <t>omega</t>
  </si>
  <si>
    <t>e</t>
  </si>
  <si>
    <t>mag</t>
  </si>
  <si>
    <t>siz</t>
  </si>
  <si>
    <t>Sun Dist</t>
  </si>
  <si>
    <t>P (yrs)</t>
  </si>
  <si>
    <t>Earth Dist</t>
  </si>
  <si>
    <t>Phase</t>
  </si>
  <si>
    <t>Elong</t>
  </si>
  <si>
    <t>Ea Dist</t>
  </si>
  <si>
    <t>PJ96R020</t>
  </si>
  <si>
    <t>P/1996</t>
  </si>
  <si>
    <t>R2 (Lagerkvist)</t>
  </si>
  <si>
    <t>NK   1615</t>
  </si>
  <si>
    <t>Planet XYZ</t>
  </si>
  <si>
    <t>x</t>
  </si>
  <si>
    <t>y</t>
  </si>
  <si>
    <t>z</t>
  </si>
  <si>
    <t>ecl long</t>
  </si>
  <si>
    <t>ecl lat</t>
  </si>
  <si>
    <t>ra</t>
  </si>
  <si>
    <t>dec</t>
  </si>
  <si>
    <t>alt</t>
  </si>
  <si>
    <t>az</t>
  </si>
  <si>
    <t>distearth</t>
  </si>
  <si>
    <t>Alti</t>
  </si>
  <si>
    <t>Azi</t>
  </si>
  <si>
    <t>ok</t>
  </si>
  <si>
    <t>Hour angle</t>
  </si>
  <si>
    <t>AstroDate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</si>
</sst>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43" formatCode="_-* #,##0.00_-;\-* #,##0.00_-;_-* &quot;-&quot;??_-;_-@_-"/>
    <numFmt numFmtId="164" formatCode="0.00000E+00"/>
    <numFmt numFmtId="165" formatCode="_-* #,##0.0_-;\-* #,##0.0_-;_-* &quot;-&quot;??_-;_-@_-"/>
    <numFmt numFmtId="166" formatCode="0.00000"/>
    <numFmt numFmtId="167" formatCode="0.000"/>
    <numFmt numFmtId="168" formatCode="_-* #,##0.000_-;\-* #,##0.000_-;_-* &quot;-&quot;??_-;_-@_-"/>
    <numFmt numFmtId="169" formatCode="_-* #,##0.0000_-;\-* #,##0.0000_-;_-* &quot;-&quot;??_-;_-@_-"/>
    <numFmt numFmtId="170" formatCode="dd/mm/yyyy\ hh:mm:ss"/>
    <numFmt numFmtId="171" formatCode="_-* #,##0.00000_-;\-* #,##0.00000_-;_-* &quot;-&quot;??_-;_-@_-"/>
    <numFmt numFmtId="172" formatCode="#,##0.00000"/>
    <numFmt numFmtId="173" formatCode="#,##0.000000000000000"/>
    <numFmt numFmtId="174" formatCode="[$-F400]h:mm:ss\ AM/PM"/>
    <numFmt numFmtId="175" formatCode="dd\-mm\-yyyy\ hh:mm:ss"/>
    <numFmt numFmtId="176" formatCode="_-* #,##0.000000_-;\-* #,##0.000000_-;_-* &quot;-&quot;??_-;_-@_-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u/>
      <sz val="7.7"/>
      <color theme="10"/>
      <name val="Calibri"/>
      <family val="2"/>
    </font>
    <font>
      <u/>
      <sz val="14"/>
      <color theme="10"/>
      <name val="Calibri"/>
      <family val="2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51">
    <xf numFmtId="0" fontId="0" fillId="0" borderId="0" xfId="0"/>
    <xf numFmtId="22" fontId="0" fillId="0" borderId="0" xfId="0" applyNumberFormat="1"/>
    <xf numFmtId="0" fontId="0" fillId="0" borderId="1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2" xfId="0" applyBorder="1"/>
    <xf numFmtId="0" fontId="0" fillId="0" borderId="6" xfId="0" applyBorder="1"/>
    <xf numFmtId="43" fontId="0" fillId="0" borderId="0" xfId="1" applyFont="1"/>
    <xf numFmtId="0" fontId="0" fillId="2" borderId="8" xfId="0" applyFill="1" applyBorder="1"/>
    <xf numFmtId="14" fontId="0" fillId="0" borderId="0" xfId="0" applyNumberFormat="1"/>
    <xf numFmtId="0" fontId="0" fillId="3" borderId="0" xfId="0" applyFill="1"/>
    <xf numFmtId="21" fontId="0" fillId="0" borderId="0" xfId="1" applyNumberFormat="1" applyFont="1"/>
    <xf numFmtId="0" fontId="0" fillId="0" borderId="0" xfId="0" applyAlignment="1">
      <alignment horizontal="right"/>
    </xf>
    <xf numFmtId="43" fontId="0" fillId="0" borderId="0" xfId="1" applyNumberFormat="1" applyFont="1" applyAlignment="1">
      <alignment horizontal="right"/>
    </xf>
    <xf numFmtId="165" fontId="0" fillId="0" borderId="0" xfId="1" applyNumberFormat="1" applyFont="1"/>
    <xf numFmtId="0" fontId="0" fillId="0" borderId="0" xfId="0" applyAlignment="1">
      <alignment horizontal="center"/>
    </xf>
    <xf numFmtId="164" fontId="0" fillId="0" borderId="2" xfId="0" applyNumberFormat="1" applyBorder="1"/>
    <xf numFmtId="165" fontId="0" fillId="2" borderId="0" xfId="1" applyNumberFormat="1" applyFont="1" applyFill="1" applyBorder="1"/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2" borderId="9" xfId="0" applyFill="1" applyBorder="1" applyAlignment="1" applyProtection="1">
      <alignment horizontal="center"/>
      <protection locked="0"/>
    </xf>
    <xf numFmtId="0" fontId="4" fillId="0" borderId="0" xfId="2" applyFont="1" applyAlignment="1" applyProtection="1"/>
    <xf numFmtId="43" fontId="0" fillId="0" borderId="0" xfId="1" applyNumberFormat="1" applyFont="1"/>
    <xf numFmtId="43" fontId="0" fillId="2" borderId="0" xfId="1" applyNumberFormat="1" applyFont="1" applyFill="1" applyBorder="1"/>
    <xf numFmtId="2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0" fillId="0" borderId="0" xfId="0" quotePrefix="1"/>
    <xf numFmtId="169" fontId="0" fillId="0" borderId="0" xfId="1" applyNumberFormat="1" applyFont="1" applyAlignment="1">
      <alignment horizontal="right"/>
    </xf>
    <xf numFmtId="169" fontId="0" fillId="0" borderId="0" xfId="1" quotePrefix="1" applyNumberFormat="1" applyFont="1" applyAlignment="1">
      <alignment horizontal="right"/>
    </xf>
    <xf numFmtId="168" fontId="0" fillId="0" borderId="0" xfId="1" applyNumberFormat="1" applyFont="1" applyAlignment="1">
      <alignment horizontal="right"/>
    </xf>
    <xf numFmtId="10" fontId="0" fillId="0" borderId="0" xfId="3" applyNumberFormat="1" applyFont="1"/>
    <xf numFmtId="169" fontId="5" fillId="0" borderId="0" xfId="1" quotePrefix="1" applyNumberFormat="1" applyFont="1" applyAlignment="1">
      <alignment horizontal="right"/>
    </xf>
    <xf numFmtId="43" fontId="0" fillId="0" borderId="0" xfId="0" applyNumberFormat="1"/>
    <xf numFmtId="170" fontId="0" fillId="0" borderId="0" xfId="1" applyNumberFormat="1" applyFont="1"/>
    <xf numFmtId="171" fontId="0" fillId="0" borderId="0" xfId="1" applyNumberFormat="1" applyFont="1"/>
    <xf numFmtId="172" fontId="0" fillId="0" borderId="0" xfId="1" applyNumberFormat="1" applyFont="1"/>
    <xf numFmtId="172" fontId="0" fillId="0" borderId="0" xfId="0" applyNumberFormat="1"/>
    <xf numFmtId="21" fontId="0" fillId="0" borderId="0" xfId="0" applyNumberFormat="1"/>
    <xf numFmtId="173" fontId="0" fillId="0" borderId="0" xfId="0" applyNumberFormat="1"/>
    <xf numFmtId="171" fontId="0" fillId="0" borderId="0" xfId="1" quotePrefix="1" applyNumberFormat="1" applyFont="1"/>
    <xf numFmtId="172" fontId="0" fillId="0" borderId="0" xfId="1" quotePrefix="1" applyNumberFormat="1" applyFont="1"/>
    <xf numFmtId="168" fontId="0" fillId="0" borderId="0" xfId="1" applyNumberFormat="1" applyFont="1"/>
    <xf numFmtId="20" fontId="0" fillId="0" borderId="0" xfId="0" applyNumberFormat="1"/>
    <xf numFmtId="174" fontId="0" fillId="0" borderId="0" xfId="0" applyNumberFormat="1"/>
    <xf numFmtId="175" fontId="0" fillId="0" borderId="0" xfId="0" applyNumberFormat="1"/>
    <xf numFmtId="176" fontId="0" fillId="0" borderId="0" xfId="1" applyNumberFormat="1" applyFont="1"/>
    <xf numFmtId="0" fontId="2" fillId="0" borderId="0" xfId="0" applyFont="1" applyAlignment="1">
      <alignment horizontal="center" vertical="center"/>
    </xf>
  </cellXfs>
  <cellStyles count="4">
    <cellStyle name="Comma" xfId="1" builtinId="3"/>
    <cellStyle name="Hyperlink" xfId="2" builtinId="8"/>
    <cellStyle name="Normal" xfId="0" builtinId="0"/>
    <cellStyle name="Percent" xfId="3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Best</a:t>
            </a:r>
            <a:r>
              <a:rPr lang="en-US" baseline="0"/>
              <a:t> Altitude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6455722446458896E-2"/>
          <c:y val="0.12779820517879614"/>
          <c:w val="0.82658620613599776"/>
          <c:h val="0.686775360369247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BestVisibility!$B$3</c:f>
              <c:strCache>
                <c:ptCount val="1"/>
                <c:pt idx="0">
                  <c:v>Jupiter</c:v>
                </c:pt>
              </c:strCache>
            </c:strRef>
          </c:tx>
          <c:spPr>
            <a:ln w="19050"/>
          </c:spPr>
          <c:marker>
            <c:symbol val="none"/>
          </c:marker>
          <c:xVal>
            <c:numRef>
              <c:f>BestVisibility!$A$5:$A$153</c:f>
              <c:numCache>
                <c:formatCode>m/d/yyyy\ h:mm</c:formatCode>
                <c:ptCount val="149"/>
                <c:pt idx="0">
                  <c:v>43101</c:v>
                </c:pt>
                <c:pt idx="1">
                  <c:v>43121</c:v>
                </c:pt>
                <c:pt idx="2">
                  <c:v>43141</c:v>
                </c:pt>
                <c:pt idx="3">
                  <c:v>43161</c:v>
                </c:pt>
                <c:pt idx="4">
                  <c:v>43181</c:v>
                </c:pt>
                <c:pt idx="5">
                  <c:v>43201</c:v>
                </c:pt>
                <c:pt idx="6">
                  <c:v>43221</c:v>
                </c:pt>
                <c:pt idx="7">
                  <c:v>43241</c:v>
                </c:pt>
                <c:pt idx="8">
                  <c:v>43261</c:v>
                </c:pt>
                <c:pt idx="9">
                  <c:v>43281</c:v>
                </c:pt>
                <c:pt idx="10">
                  <c:v>43301</c:v>
                </c:pt>
                <c:pt idx="11">
                  <c:v>43321</c:v>
                </c:pt>
                <c:pt idx="12">
                  <c:v>43341</c:v>
                </c:pt>
                <c:pt idx="13">
                  <c:v>43361</c:v>
                </c:pt>
                <c:pt idx="14">
                  <c:v>43381</c:v>
                </c:pt>
                <c:pt idx="15">
                  <c:v>43401</c:v>
                </c:pt>
                <c:pt idx="16">
                  <c:v>43421</c:v>
                </c:pt>
                <c:pt idx="17">
                  <c:v>43441</c:v>
                </c:pt>
                <c:pt idx="18">
                  <c:v>43461</c:v>
                </c:pt>
                <c:pt idx="19">
                  <c:v>43481</c:v>
                </c:pt>
                <c:pt idx="20">
                  <c:v>43501</c:v>
                </c:pt>
                <c:pt idx="21">
                  <c:v>43521</c:v>
                </c:pt>
                <c:pt idx="22">
                  <c:v>43541</c:v>
                </c:pt>
                <c:pt idx="23">
                  <c:v>43561</c:v>
                </c:pt>
                <c:pt idx="24">
                  <c:v>43581</c:v>
                </c:pt>
                <c:pt idx="25">
                  <c:v>43601</c:v>
                </c:pt>
                <c:pt idx="26">
                  <c:v>43621</c:v>
                </c:pt>
                <c:pt idx="27">
                  <c:v>43641</c:v>
                </c:pt>
                <c:pt idx="28">
                  <c:v>43661</c:v>
                </c:pt>
                <c:pt idx="29">
                  <c:v>43681</c:v>
                </c:pt>
                <c:pt idx="30">
                  <c:v>43701</c:v>
                </c:pt>
                <c:pt idx="31">
                  <c:v>43721</c:v>
                </c:pt>
                <c:pt idx="32">
                  <c:v>43741</c:v>
                </c:pt>
                <c:pt idx="33">
                  <c:v>43761</c:v>
                </c:pt>
                <c:pt idx="34">
                  <c:v>43781</c:v>
                </c:pt>
                <c:pt idx="35">
                  <c:v>43801</c:v>
                </c:pt>
                <c:pt idx="36">
                  <c:v>43821</c:v>
                </c:pt>
                <c:pt idx="37">
                  <c:v>43841</c:v>
                </c:pt>
                <c:pt idx="38">
                  <c:v>43861</c:v>
                </c:pt>
                <c:pt idx="39">
                  <c:v>43881</c:v>
                </c:pt>
                <c:pt idx="40">
                  <c:v>43901</c:v>
                </c:pt>
                <c:pt idx="41">
                  <c:v>43921</c:v>
                </c:pt>
                <c:pt idx="42">
                  <c:v>43941</c:v>
                </c:pt>
                <c:pt idx="43">
                  <c:v>43961</c:v>
                </c:pt>
                <c:pt idx="44">
                  <c:v>43981</c:v>
                </c:pt>
                <c:pt idx="45">
                  <c:v>44001</c:v>
                </c:pt>
                <c:pt idx="46">
                  <c:v>44021</c:v>
                </c:pt>
                <c:pt idx="47">
                  <c:v>44041</c:v>
                </c:pt>
                <c:pt idx="48">
                  <c:v>44061</c:v>
                </c:pt>
                <c:pt idx="49">
                  <c:v>44081</c:v>
                </c:pt>
                <c:pt idx="50">
                  <c:v>44101</c:v>
                </c:pt>
                <c:pt idx="51">
                  <c:v>44121</c:v>
                </c:pt>
                <c:pt idx="52">
                  <c:v>44141</c:v>
                </c:pt>
                <c:pt idx="53">
                  <c:v>44161</c:v>
                </c:pt>
                <c:pt idx="54">
                  <c:v>44181</c:v>
                </c:pt>
                <c:pt idx="55">
                  <c:v>44201</c:v>
                </c:pt>
                <c:pt idx="56">
                  <c:v>44221</c:v>
                </c:pt>
                <c:pt idx="57">
                  <c:v>44241</c:v>
                </c:pt>
                <c:pt idx="58">
                  <c:v>44261</c:v>
                </c:pt>
                <c:pt idx="59">
                  <c:v>44281</c:v>
                </c:pt>
                <c:pt idx="60">
                  <c:v>44301</c:v>
                </c:pt>
                <c:pt idx="61">
                  <c:v>44321</c:v>
                </c:pt>
                <c:pt idx="62">
                  <c:v>44341</c:v>
                </c:pt>
                <c:pt idx="63">
                  <c:v>44361</c:v>
                </c:pt>
                <c:pt idx="64">
                  <c:v>44381</c:v>
                </c:pt>
                <c:pt idx="65">
                  <c:v>44401</c:v>
                </c:pt>
                <c:pt idx="66">
                  <c:v>44421</c:v>
                </c:pt>
                <c:pt idx="67">
                  <c:v>44441</c:v>
                </c:pt>
                <c:pt idx="68">
                  <c:v>44461</c:v>
                </c:pt>
                <c:pt idx="69">
                  <c:v>44481</c:v>
                </c:pt>
                <c:pt idx="70">
                  <c:v>44501</c:v>
                </c:pt>
                <c:pt idx="71">
                  <c:v>44521</c:v>
                </c:pt>
                <c:pt idx="72">
                  <c:v>44541</c:v>
                </c:pt>
                <c:pt idx="73">
                  <c:v>44561</c:v>
                </c:pt>
                <c:pt idx="74">
                  <c:v>44581</c:v>
                </c:pt>
                <c:pt idx="75">
                  <c:v>44601</c:v>
                </c:pt>
                <c:pt idx="76">
                  <c:v>44621</c:v>
                </c:pt>
                <c:pt idx="77">
                  <c:v>44641</c:v>
                </c:pt>
                <c:pt idx="78">
                  <c:v>44661</c:v>
                </c:pt>
                <c:pt idx="79">
                  <c:v>44681</c:v>
                </c:pt>
                <c:pt idx="80">
                  <c:v>44701</c:v>
                </c:pt>
                <c:pt idx="81">
                  <c:v>44721</c:v>
                </c:pt>
                <c:pt idx="82">
                  <c:v>44741</c:v>
                </c:pt>
                <c:pt idx="83">
                  <c:v>44761</c:v>
                </c:pt>
                <c:pt idx="84">
                  <c:v>44781</c:v>
                </c:pt>
                <c:pt idx="85">
                  <c:v>44801</c:v>
                </c:pt>
                <c:pt idx="86">
                  <c:v>44821</c:v>
                </c:pt>
                <c:pt idx="87">
                  <c:v>44841</c:v>
                </c:pt>
                <c:pt idx="88">
                  <c:v>44861</c:v>
                </c:pt>
                <c:pt idx="89">
                  <c:v>44881</c:v>
                </c:pt>
                <c:pt idx="90">
                  <c:v>44901</c:v>
                </c:pt>
                <c:pt idx="91">
                  <c:v>44921</c:v>
                </c:pt>
                <c:pt idx="92">
                  <c:v>44941</c:v>
                </c:pt>
                <c:pt idx="93">
                  <c:v>44961</c:v>
                </c:pt>
                <c:pt idx="94">
                  <c:v>44981</c:v>
                </c:pt>
                <c:pt idx="95">
                  <c:v>45001</c:v>
                </c:pt>
                <c:pt idx="96">
                  <c:v>45021</c:v>
                </c:pt>
                <c:pt idx="97">
                  <c:v>45041</c:v>
                </c:pt>
                <c:pt idx="98">
                  <c:v>45061</c:v>
                </c:pt>
                <c:pt idx="99">
                  <c:v>45081</c:v>
                </c:pt>
                <c:pt idx="100">
                  <c:v>45101</c:v>
                </c:pt>
                <c:pt idx="101">
                  <c:v>45121</c:v>
                </c:pt>
                <c:pt idx="102">
                  <c:v>45141</c:v>
                </c:pt>
                <c:pt idx="103">
                  <c:v>45161</c:v>
                </c:pt>
                <c:pt idx="104">
                  <c:v>45181</c:v>
                </c:pt>
                <c:pt idx="105">
                  <c:v>45201</c:v>
                </c:pt>
                <c:pt idx="106">
                  <c:v>45221</c:v>
                </c:pt>
                <c:pt idx="107">
                  <c:v>45241</c:v>
                </c:pt>
                <c:pt idx="108">
                  <c:v>45261</c:v>
                </c:pt>
                <c:pt idx="109">
                  <c:v>45281</c:v>
                </c:pt>
                <c:pt idx="110">
                  <c:v>45301</c:v>
                </c:pt>
                <c:pt idx="111">
                  <c:v>45321</c:v>
                </c:pt>
                <c:pt idx="112">
                  <c:v>45341</c:v>
                </c:pt>
                <c:pt idx="113">
                  <c:v>45361</c:v>
                </c:pt>
                <c:pt idx="114">
                  <c:v>45381</c:v>
                </c:pt>
                <c:pt idx="115">
                  <c:v>45401</c:v>
                </c:pt>
                <c:pt idx="116">
                  <c:v>45421</c:v>
                </c:pt>
                <c:pt idx="117">
                  <c:v>45441</c:v>
                </c:pt>
                <c:pt idx="118">
                  <c:v>45461</c:v>
                </c:pt>
                <c:pt idx="119">
                  <c:v>45481</c:v>
                </c:pt>
                <c:pt idx="120">
                  <c:v>45501</c:v>
                </c:pt>
                <c:pt idx="121">
                  <c:v>45521</c:v>
                </c:pt>
                <c:pt idx="122">
                  <c:v>45541</c:v>
                </c:pt>
                <c:pt idx="123">
                  <c:v>45561</c:v>
                </c:pt>
                <c:pt idx="124">
                  <c:v>45581</c:v>
                </c:pt>
                <c:pt idx="125">
                  <c:v>45601</c:v>
                </c:pt>
                <c:pt idx="126">
                  <c:v>45621</c:v>
                </c:pt>
                <c:pt idx="127">
                  <c:v>45641</c:v>
                </c:pt>
                <c:pt idx="128">
                  <c:v>45661</c:v>
                </c:pt>
                <c:pt idx="129">
                  <c:v>45681</c:v>
                </c:pt>
                <c:pt idx="130">
                  <c:v>45701</c:v>
                </c:pt>
                <c:pt idx="131">
                  <c:v>45721</c:v>
                </c:pt>
                <c:pt idx="132">
                  <c:v>45741</c:v>
                </c:pt>
                <c:pt idx="133">
                  <c:v>45761</c:v>
                </c:pt>
                <c:pt idx="134">
                  <c:v>45781</c:v>
                </c:pt>
                <c:pt idx="135">
                  <c:v>45801</c:v>
                </c:pt>
                <c:pt idx="136">
                  <c:v>45821</c:v>
                </c:pt>
                <c:pt idx="137">
                  <c:v>45841</c:v>
                </c:pt>
                <c:pt idx="138">
                  <c:v>45861</c:v>
                </c:pt>
                <c:pt idx="139">
                  <c:v>45881</c:v>
                </c:pt>
                <c:pt idx="140">
                  <c:v>45901</c:v>
                </c:pt>
                <c:pt idx="141">
                  <c:v>45921</c:v>
                </c:pt>
                <c:pt idx="142">
                  <c:v>45941</c:v>
                </c:pt>
                <c:pt idx="143">
                  <c:v>45961</c:v>
                </c:pt>
              </c:numCache>
            </c:numRef>
          </c:xVal>
          <c:yVal>
            <c:numRef>
              <c:f>BestVisibility!$C$5:$C$153</c:f>
              <c:numCache>
                <c:formatCode>_(* #,##0.00_);_(* \(#,##0.00\);_(* "-"??_);_(@_)</c:formatCode>
                <c:ptCount val="149"/>
                <c:pt idx="0">
                  <c:v>22.325439904759801</c:v>
                </c:pt>
                <c:pt idx="1">
                  <c:v>21.557847800673933</c:v>
                </c:pt>
                <c:pt idx="2">
                  <c:v>21.048662629900399</c:v>
                </c:pt>
                <c:pt idx="3">
                  <c:v>20.834789004779552</c:v>
                </c:pt>
                <c:pt idx="4">
                  <c:v>20.92306243685794</c:v>
                </c:pt>
                <c:pt idx="5">
                  <c:v>21.292700071859738</c:v>
                </c:pt>
                <c:pt idx="6">
                  <c:v>21.869970845851686</c:v>
                </c:pt>
                <c:pt idx="7">
                  <c:v>22.543061543759215</c:v>
                </c:pt>
                <c:pt idx="8">
                  <c:v>23.058046922002859</c:v>
                </c:pt>
                <c:pt idx="9">
                  <c:v>23.241092555608788</c:v>
                </c:pt>
                <c:pt idx="10">
                  <c:v>21.194546669376471</c:v>
                </c:pt>
                <c:pt idx="11">
                  <c:v>18.028264624510893</c:v>
                </c:pt>
                <c:pt idx="12">
                  <c:v>14.967795279893489</c:v>
                </c:pt>
                <c:pt idx="13">
                  <c:v>12.182399662157348</c:v>
                </c:pt>
                <c:pt idx="14">
                  <c:v>9.4763131815952715</c:v>
                </c:pt>
                <c:pt idx="15">
                  <c:v>6.4564734654509319</c:v>
                </c:pt>
                <c:pt idx="16">
                  <c:v>0</c:v>
                </c:pt>
                <c:pt idx="17">
                  <c:v>0</c:v>
                </c:pt>
                <c:pt idx="18">
                  <c:v>11.554871147667189</c:v>
                </c:pt>
                <c:pt idx="19">
                  <c:v>14.431769260744487</c:v>
                </c:pt>
                <c:pt idx="20">
                  <c:v>15.394749445785115</c:v>
                </c:pt>
                <c:pt idx="21">
                  <c:v>15.602488827004972</c:v>
                </c:pt>
                <c:pt idx="22">
                  <c:v>15.528417347120163</c:v>
                </c:pt>
                <c:pt idx="23">
                  <c:v>15.497135717548934</c:v>
                </c:pt>
                <c:pt idx="24">
                  <c:v>15.516541392585138</c:v>
                </c:pt>
                <c:pt idx="25">
                  <c:v>15.587859258141094</c:v>
                </c:pt>
                <c:pt idx="26">
                  <c:v>15.718574951587852</c:v>
                </c:pt>
                <c:pt idx="27">
                  <c:v>15.897868664446449</c:v>
                </c:pt>
                <c:pt idx="28">
                  <c:v>16.043660977144079</c:v>
                </c:pt>
                <c:pt idx="29">
                  <c:v>16.090631259300377</c:v>
                </c:pt>
                <c:pt idx="30">
                  <c:v>15.808823903021246</c:v>
                </c:pt>
                <c:pt idx="31">
                  <c:v>14.930024753933878</c:v>
                </c:pt>
                <c:pt idx="32">
                  <c:v>13.799285752779923</c:v>
                </c:pt>
                <c:pt idx="33">
                  <c:v>12.447038674135181</c:v>
                </c:pt>
                <c:pt idx="34">
                  <c:v>10.578314172634453</c:v>
                </c:pt>
                <c:pt idx="35">
                  <c:v>7.4172608568611533</c:v>
                </c:pt>
                <c:pt idx="36">
                  <c:v>0</c:v>
                </c:pt>
                <c:pt idx="37">
                  <c:v>0</c:v>
                </c:pt>
                <c:pt idx="38">
                  <c:v>7.9774392933476834</c:v>
                </c:pt>
                <c:pt idx="39">
                  <c:v>10.47261434833589</c:v>
                </c:pt>
                <c:pt idx="40">
                  <c:v>12.37543803263948</c:v>
                </c:pt>
                <c:pt idx="41">
                  <c:v>14.092304859591728</c:v>
                </c:pt>
                <c:pt idx="42">
                  <c:v>15.726845453339575</c:v>
                </c:pt>
                <c:pt idx="43">
                  <c:v>17.031862739478214</c:v>
                </c:pt>
                <c:pt idx="44">
                  <c:v>17.233394093323962</c:v>
                </c:pt>
                <c:pt idx="45">
                  <c:v>16.899368457799184</c:v>
                </c:pt>
                <c:pt idx="46">
                  <c:v>16.440065516403838</c:v>
                </c:pt>
                <c:pt idx="47">
                  <c:v>15.970630282074403</c:v>
                </c:pt>
                <c:pt idx="48">
                  <c:v>15.647862931465312</c:v>
                </c:pt>
                <c:pt idx="49">
                  <c:v>15.492959568087397</c:v>
                </c:pt>
                <c:pt idx="50">
                  <c:v>15.510997836268155</c:v>
                </c:pt>
                <c:pt idx="51">
                  <c:v>15.701447378696738</c:v>
                </c:pt>
                <c:pt idx="52">
                  <c:v>16.07226573801708</c:v>
                </c:pt>
                <c:pt idx="53">
                  <c:v>16.317614650077498</c:v>
                </c:pt>
                <c:pt idx="54">
                  <c:v>14.996312872607042</c:v>
                </c:pt>
                <c:pt idx="55">
                  <c:v>10.168611110804129</c:v>
                </c:pt>
                <c:pt idx="56">
                  <c:v>0</c:v>
                </c:pt>
                <c:pt idx="57">
                  <c:v>0</c:v>
                </c:pt>
                <c:pt idx="58">
                  <c:v>5.8871562679110223</c:v>
                </c:pt>
                <c:pt idx="59">
                  <c:v>8.9325023348392119</c:v>
                </c:pt>
                <c:pt idx="60">
                  <c:v>12.160904038181732</c:v>
                </c:pt>
                <c:pt idx="61">
                  <c:v>15.956330695429315</c:v>
                </c:pt>
                <c:pt idx="62">
                  <c:v>20.465483898103844</c:v>
                </c:pt>
                <c:pt idx="63">
                  <c:v>24.896194945099904</c:v>
                </c:pt>
                <c:pt idx="64">
                  <c:v>26.335981135525135</c:v>
                </c:pt>
                <c:pt idx="65">
                  <c:v>25.777905764048747</c:v>
                </c:pt>
                <c:pt idx="66">
                  <c:v>24.942497656634657</c:v>
                </c:pt>
                <c:pt idx="67">
                  <c:v>24.024939938905575</c:v>
                </c:pt>
                <c:pt idx="68">
                  <c:v>23.368410073428517</c:v>
                </c:pt>
                <c:pt idx="69">
                  <c:v>23.088760267368784</c:v>
                </c:pt>
                <c:pt idx="70">
                  <c:v>23.242018157340492</c:v>
                </c:pt>
                <c:pt idx="71">
                  <c:v>23.814182410133242</c:v>
                </c:pt>
                <c:pt idx="72">
                  <c:v>24.759566545555263</c:v>
                </c:pt>
                <c:pt idx="73">
                  <c:v>25.754700786894528</c:v>
                </c:pt>
                <c:pt idx="74">
                  <c:v>22.564877063460351</c:v>
                </c:pt>
                <c:pt idx="75">
                  <c:v>13.762360331730434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9.4439640039152444</c:v>
                </c:pt>
                <c:pt idx="80">
                  <c:v>15.235589608028359</c:v>
                </c:pt>
                <c:pt idx="81">
                  <c:v>23.059392013735021</c:v>
                </c:pt>
                <c:pt idx="82">
                  <c:v>32.370076897562988</c:v>
                </c:pt>
                <c:pt idx="83">
                  <c:v>39.417156995981912</c:v>
                </c:pt>
                <c:pt idx="84">
                  <c:v>40.00442759872206</c:v>
                </c:pt>
                <c:pt idx="85">
                  <c:v>39.383007103906358</c:v>
                </c:pt>
                <c:pt idx="86">
                  <c:v>38.414130105104903</c:v>
                </c:pt>
                <c:pt idx="87">
                  <c:v>37.30844740795397</c:v>
                </c:pt>
                <c:pt idx="88">
                  <c:v>36.492197466271605</c:v>
                </c:pt>
                <c:pt idx="89">
                  <c:v>36.139975987484725</c:v>
                </c:pt>
                <c:pt idx="90">
                  <c:v>36.339089678098674</c:v>
                </c:pt>
                <c:pt idx="91">
                  <c:v>37.061937514355805</c:v>
                </c:pt>
                <c:pt idx="92">
                  <c:v>38.220537369504335</c:v>
                </c:pt>
                <c:pt idx="93">
                  <c:v>36.658034225299417</c:v>
                </c:pt>
                <c:pt idx="94">
                  <c:v>28.107424381601014</c:v>
                </c:pt>
                <c:pt idx="95">
                  <c:v>15.949157893234378</c:v>
                </c:pt>
                <c:pt idx="96">
                  <c:v>0</c:v>
                </c:pt>
                <c:pt idx="97">
                  <c:v>0</c:v>
                </c:pt>
                <c:pt idx="98">
                  <c:v>5.9757295236995462</c:v>
                </c:pt>
                <c:pt idx="99">
                  <c:v>13.130575644547456</c:v>
                </c:pt>
                <c:pt idx="100">
                  <c:v>23.37392003120798</c:v>
                </c:pt>
                <c:pt idx="101">
                  <c:v>36.185471649700418</c:v>
                </c:pt>
                <c:pt idx="102">
                  <c:v>48.298713058199887</c:v>
                </c:pt>
                <c:pt idx="103">
                  <c:v>53.383772180574169</c:v>
                </c:pt>
                <c:pt idx="104">
                  <c:v>53.359750769418234</c:v>
                </c:pt>
                <c:pt idx="105">
                  <c:v>52.967932143952574</c:v>
                </c:pt>
                <c:pt idx="106">
                  <c:v>52.276742664654911</c:v>
                </c:pt>
                <c:pt idx="107">
                  <c:v>51.41525275956807</c:v>
                </c:pt>
                <c:pt idx="108">
                  <c:v>50.721203327833315</c:v>
                </c:pt>
                <c:pt idx="109">
                  <c:v>50.372712008888954</c:v>
                </c:pt>
                <c:pt idx="110">
                  <c:v>50.472943356355344</c:v>
                </c:pt>
                <c:pt idx="111">
                  <c:v>51.005498631483235</c:v>
                </c:pt>
                <c:pt idx="112">
                  <c:v>50.722530228242903</c:v>
                </c:pt>
                <c:pt idx="113">
                  <c:v>42.613622364216212</c:v>
                </c:pt>
                <c:pt idx="114">
                  <c:v>30.026145704416702</c:v>
                </c:pt>
                <c:pt idx="115">
                  <c:v>16.404773849021279</c:v>
                </c:pt>
                <c:pt idx="116">
                  <c:v>0</c:v>
                </c:pt>
                <c:pt idx="117">
                  <c:v>0</c:v>
                </c:pt>
                <c:pt idx="118">
                  <c:v>9.3294637779822995</c:v>
                </c:pt>
                <c:pt idx="119">
                  <c:v>20.530066846475219</c:v>
                </c:pt>
                <c:pt idx="120">
                  <c:v>34.383355675692506</c:v>
                </c:pt>
                <c:pt idx="121">
                  <c:v>48.524257427148093</c:v>
                </c:pt>
                <c:pt idx="122">
                  <c:v>58.895786220813676</c:v>
                </c:pt>
                <c:pt idx="123">
                  <c:v>60.551735660354559</c:v>
                </c:pt>
                <c:pt idx="124">
                  <c:v>60.565017807901008</c:v>
                </c:pt>
                <c:pt idx="125">
                  <c:v>60.499826953390098</c:v>
                </c:pt>
                <c:pt idx="126">
                  <c:v>60.353688460519422</c:v>
                </c:pt>
                <c:pt idx="127">
                  <c:v>60.131494531004833</c:v>
                </c:pt>
                <c:pt idx="128">
                  <c:v>59.924995438700769</c:v>
                </c:pt>
                <c:pt idx="129">
                  <c:v>59.821019901825331</c:v>
                </c:pt>
                <c:pt idx="130">
                  <c:v>59.881535744588817</c:v>
                </c:pt>
                <c:pt idx="131">
                  <c:v>60.102852316062354</c:v>
                </c:pt>
                <c:pt idx="132">
                  <c:v>54.806004526885872</c:v>
                </c:pt>
                <c:pt idx="133">
                  <c:v>42.255333665525001</c:v>
                </c:pt>
                <c:pt idx="134">
                  <c:v>27.866902865884477</c:v>
                </c:pt>
                <c:pt idx="135">
                  <c:v>14.305227276784779</c:v>
                </c:pt>
                <c:pt idx="136">
                  <c:v>0</c:v>
                </c:pt>
                <c:pt idx="137">
                  <c:v>0</c:v>
                </c:pt>
                <c:pt idx="138">
                  <c:v>13.885789947722683</c:v>
                </c:pt>
                <c:pt idx="139">
                  <c:v>27.374924908835816</c:v>
                </c:pt>
                <c:pt idx="140">
                  <c:v>41.504789436121762</c:v>
                </c:pt>
                <c:pt idx="141">
                  <c:v>53.892949822338728</c:v>
                </c:pt>
                <c:pt idx="142">
                  <c:v>59.601325531049184</c:v>
                </c:pt>
                <c:pt idx="143">
                  <c:v>59.419436597210677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DCC-4482-9840-DBDA91D4DF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73088"/>
        <c:axId val="155296896"/>
      </c:scatterChart>
      <c:valAx>
        <c:axId val="155273088"/>
        <c:scaling>
          <c:orientation val="minMax"/>
          <c:max val="45961"/>
          <c:min val="43101"/>
        </c:scaling>
        <c:delete val="0"/>
        <c:axPos val="b"/>
        <c:majorGridlines/>
        <c:numFmt formatCode="mm\-yyyy" sourceLinked="0"/>
        <c:majorTickMark val="out"/>
        <c:minorTickMark val="in"/>
        <c:tickLblPos val="nextTo"/>
        <c:txPr>
          <a:bodyPr rot="5400000" vert="horz" anchor="ctr" anchorCtr="0"/>
          <a:lstStyle/>
          <a:p>
            <a:pPr>
              <a:defRPr/>
            </a:pPr>
            <a:endParaRPr lang="en-US"/>
          </a:p>
        </c:txPr>
        <c:crossAx val="155296896"/>
        <c:crosses val="autoZero"/>
        <c:crossBetween val="midCat"/>
        <c:majorUnit val="365"/>
        <c:minorUnit val="90"/>
      </c:valAx>
      <c:valAx>
        <c:axId val="155296896"/>
        <c:scaling>
          <c:orientation val="minMax"/>
          <c:min val="0"/>
        </c:scaling>
        <c:delete val="0"/>
        <c:axPos val="l"/>
        <c:majorGridlines/>
        <c:numFmt formatCode="#,##0.00_);\(#,##0.00\)" sourceLinked="0"/>
        <c:majorTickMark val="out"/>
        <c:minorTickMark val="none"/>
        <c:tickLblPos val="nextTo"/>
        <c:crossAx val="155273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611" l="0.70000000000000062" r="0.70000000000000062" t="0.75000000000000611" header="0.30000000000000032" footer="0.3000000000000003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>
                <a:solidFill>
                  <a:srgbClr val="FF0000"/>
                </a:solidFill>
              </a:rPr>
              <a:t>Size</a:t>
            </a:r>
            <a:r>
              <a:rPr lang="en-GB" baseline="0">
                <a:solidFill>
                  <a:srgbClr val="FF0000"/>
                </a:solidFill>
              </a:rPr>
              <a:t> </a:t>
            </a:r>
            <a:r>
              <a:rPr lang="en-GB" baseline="0"/>
              <a:t>and </a:t>
            </a:r>
            <a:r>
              <a:rPr lang="en-GB" baseline="0">
                <a:solidFill>
                  <a:srgbClr val="92D050"/>
                </a:solidFill>
              </a:rPr>
              <a:t>Magnitude</a:t>
            </a:r>
            <a:endParaRPr lang="en-GB">
              <a:solidFill>
                <a:srgbClr val="92D050"/>
              </a:solidFill>
            </a:endParaRPr>
          </a:p>
        </c:rich>
      </c:tx>
      <c:layout>
        <c:manualLayout>
          <c:xMode val="edge"/>
          <c:yMode val="edge"/>
          <c:x val="0.29065988647561442"/>
          <c:y val="1.269841269841270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6455722446458896E-2"/>
          <c:y val="0.12779820517879623"/>
          <c:w val="0.82658620613599776"/>
          <c:h val="0.6867753603692478"/>
        </c:manualLayout>
      </c:layout>
      <c:scatterChart>
        <c:scatterStyle val="smoothMarker"/>
        <c:varyColors val="0"/>
        <c:ser>
          <c:idx val="1"/>
          <c:order val="0"/>
          <c:tx>
            <c:strRef>
              <c:f>BestVisibility!$F$4</c:f>
              <c:strCache>
                <c:ptCount val="1"/>
                <c:pt idx="0">
                  <c:v> Size </c:v>
                </c:pt>
              </c:strCache>
            </c:strRef>
          </c:tx>
          <c:spPr>
            <a:ln w="19050">
              <a:prstDash val="sysDash"/>
            </a:ln>
          </c:spPr>
          <c:marker>
            <c:symbol val="none"/>
          </c:marker>
          <c:xVal>
            <c:numRef>
              <c:f>BestVisibility!$A$5:$A$148</c:f>
              <c:numCache>
                <c:formatCode>m/d/yyyy\ h:mm</c:formatCode>
                <c:ptCount val="144"/>
                <c:pt idx="0">
                  <c:v>43101</c:v>
                </c:pt>
                <c:pt idx="1">
                  <c:v>43121</c:v>
                </c:pt>
                <c:pt idx="2">
                  <c:v>43141</c:v>
                </c:pt>
                <c:pt idx="3">
                  <c:v>43161</c:v>
                </c:pt>
                <c:pt idx="4">
                  <c:v>43181</c:v>
                </c:pt>
                <c:pt idx="5">
                  <c:v>43201</c:v>
                </c:pt>
                <c:pt idx="6">
                  <c:v>43221</c:v>
                </c:pt>
                <c:pt idx="7">
                  <c:v>43241</c:v>
                </c:pt>
                <c:pt idx="8">
                  <c:v>43261</c:v>
                </c:pt>
                <c:pt idx="9">
                  <c:v>43281</c:v>
                </c:pt>
                <c:pt idx="10">
                  <c:v>43301</c:v>
                </c:pt>
                <c:pt idx="11">
                  <c:v>43321</c:v>
                </c:pt>
                <c:pt idx="12">
                  <c:v>43341</c:v>
                </c:pt>
                <c:pt idx="13">
                  <c:v>43361</c:v>
                </c:pt>
                <c:pt idx="14">
                  <c:v>43381</c:v>
                </c:pt>
                <c:pt idx="15">
                  <c:v>43401</c:v>
                </c:pt>
                <c:pt idx="16">
                  <c:v>43421</c:v>
                </c:pt>
                <c:pt idx="17">
                  <c:v>43441</c:v>
                </c:pt>
                <c:pt idx="18">
                  <c:v>43461</c:v>
                </c:pt>
                <c:pt idx="19">
                  <c:v>43481</c:v>
                </c:pt>
                <c:pt idx="20">
                  <c:v>43501</c:v>
                </c:pt>
                <c:pt idx="21">
                  <c:v>43521</c:v>
                </c:pt>
                <c:pt idx="22">
                  <c:v>43541</c:v>
                </c:pt>
                <c:pt idx="23">
                  <c:v>43561</c:v>
                </c:pt>
                <c:pt idx="24">
                  <c:v>43581</c:v>
                </c:pt>
                <c:pt idx="25">
                  <c:v>43601</c:v>
                </c:pt>
                <c:pt idx="26">
                  <c:v>43621</c:v>
                </c:pt>
                <c:pt idx="27">
                  <c:v>43641</c:v>
                </c:pt>
                <c:pt idx="28">
                  <c:v>43661</c:v>
                </c:pt>
                <c:pt idx="29">
                  <c:v>43681</c:v>
                </c:pt>
                <c:pt idx="30">
                  <c:v>43701</c:v>
                </c:pt>
                <c:pt idx="31">
                  <c:v>43721</c:v>
                </c:pt>
                <c:pt idx="32">
                  <c:v>43741</c:v>
                </c:pt>
                <c:pt idx="33">
                  <c:v>43761</c:v>
                </c:pt>
                <c:pt idx="34">
                  <c:v>43781</c:v>
                </c:pt>
                <c:pt idx="35">
                  <c:v>43801</c:v>
                </c:pt>
                <c:pt idx="36">
                  <c:v>43821</c:v>
                </c:pt>
                <c:pt idx="37">
                  <c:v>43841</c:v>
                </c:pt>
                <c:pt idx="38">
                  <c:v>43861</c:v>
                </c:pt>
                <c:pt idx="39">
                  <c:v>43881</c:v>
                </c:pt>
                <c:pt idx="40">
                  <c:v>43901</c:v>
                </c:pt>
                <c:pt idx="41">
                  <c:v>43921</c:v>
                </c:pt>
                <c:pt idx="42">
                  <c:v>43941</c:v>
                </c:pt>
                <c:pt idx="43">
                  <c:v>43961</c:v>
                </c:pt>
                <c:pt idx="44">
                  <c:v>43981</c:v>
                </c:pt>
                <c:pt idx="45">
                  <c:v>44001</c:v>
                </c:pt>
                <c:pt idx="46">
                  <c:v>44021</c:v>
                </c:pt>
                <c:pt idx="47">
                  <c:v>44041</c:v>
                </c:pt>
                <c:pt idx="48">
                  <c:v>44061</c:v>
                </c:pt>
                <c:pt idx="49">
                  <c:v>44081</c:v>
                </c:pt>
                <c:pt idx="50">
                  <c:v>44101</c:v>
                </c:pt>
                <c:pt idx="51">
                  <c:v>44121</c:v>
                </c:pt>
                <c:pt idx="52">
                  <c:v>44141</c:v>
                </c:pt>
                <c:pt idx="53">
                  <c:v>44161</c:v>
                </c:pt>
                <c:pt idx="54">
                  <c:v>44181</c:v>
                </c:pt>
                <c:pt idx="55">
                  <c:v>44201</c:v>
                </c:pt>
                <c:pt idx="56">
                  <c:v>44221</c:v>
                </c:pt>
                <c:pt idx="57">
                  <c:v>44241</c:v>
                </c:pt>
                <c:pt idx="58">
                  <c:v>44261</c:v>
                </c:pt>
                <c:pt idx="59">
                  <c:v>44281</c:v>
                </c:pt>
                <c:pt idx="60">
                  <c:v>44301</c:v>
                </c:pt>
                <c:pt idx="61">
                  <c:v>44321</c:v>
                </c:pt>
                <c:pt idx="62">
                  <c:v>44341</c:v>
                </c:pt>
                <c:pt idx="63">
                  <c:v>44361</c:v>
                </c:pt>
                <c:pt idx="64">
                  <c:v>44381</c:v>
                </c:pt>
                <c:pt idx="65">
                  <c:v>44401</c:v>
                </c:pt>
                <c:pt idx="66">
                  <c:v>44421</c:v>
                </c:pt>
                <c:pt idx="67">
                  <c:v>44441</c:v>
                </c:pt>
                <c:pt idx="68">
                  <c:v>44461</c:v>
                </c:pt>
                <c:pt idx="69">
                  <c:v>44481</c:v>
                </c:pt>
                <c:pt idx="70">
                  <c:v>44501</c:v>
                </c:pt>
                <c:pt idx="71">
                  <c:v>44521</c:v>
                </c:pt>
                <c:pt idx="72">
                  <c:v>44541</c:v>
                </c:pt>
                <c:pt idx="73">
                  <c:v>44561</c:v>
                </c:pt>
                <c:pt idx="74">
                  <c:v>44581</c:v>
                </c:pt>
                <c:pt idx="75">
                  <c:v>44601</c:v>
                </c:pt>
                <c:pt idx="76">
                  <c:v>44621</c:v>
                </c:pt>
                <c:pt idx="77">
                  <c:v>44641</c:v>
                </c:pt>
                <c:pt idx="78">
                  <c:v>44661</c:v>
                </c:pt>
                <c:pt idx="79">
                  <c:v>44681</c:v>
                </c:pt>
                <c:pt idx="80">
                  <c:v>44701</c:v>
                </c:pt>
                <c:pt idx="81">
                  <c:v>44721</c:v>
                </c:pt>
                <c:pt idx="82">
                  <c:v>44741</c:v>
                </c:pt>
                <c:pt idx="83">
                  <c:v>44761</c:v>
                </c:pt>
                <c:pt idx="84">
                  <c:v>44781</c:v>
                </c:pt>
                <c:pt idx="85">
                  <c:v>44801</c:v>
                </c:pt>
                <c:pt idx="86">
                  <c:v>44821</c:v>
                </c:pt>
                <c:pt idx="87">
                  <c:v>44841</c:v>
                </c:pt>
                <c:pt idx="88">
                  <c:v>44861</c:v>
                </c:pt>
                <c:pt idx="89">
                  <c:v>44881</c:v>
                </c:pt>
                <c:pt idx="90">
                  <c:v>44901</c:v>
                </c:pt>
                <c:pt idx="91">
                  <c:v>44921</c:v>
                </c:pt>
                <c:pt idx="92">
                  <c:v>44941</c:v>
                </c:pt>
                <c:pt idx="93">
                  <c:v>44961</c:v>
                </c:pt>
                <c:pt idx="94">
                  <c:v>44981</c:v>
                </c:pt>
                <c:pt idx="95">
                  <c:v>45001</c:v>
                </c:pt>
                <c:pt idx="96">
                  <c:v>45021</c:v>
                </c:pt>
                <c:pt idx="97">
                  <c:v>45041</c:v>
                </c:pt>
                <c:pt idx="98">
                  <c:v>45061</c:v>
                </c:pt>
                <c:pt idx="99">
                  <c:v>45081</c:v>
                </c:pt>
                <c:pt idx="100">
                  <c:v>45101</c:v>
                </c:pt>
                <c:pt idx="101">
                  <c:v>45121</c:v>
                </c:pt>
                <c:pt idx="102">
                  <c:v>45141</c:v>
                </c:pt>
                <c:pt idx="103">
                  <c:v>45161</c:v>
                </c:pt>
                <c:pt idx="104">
                  <c:v>45181</c:v>
                </c:pt>
                <c:pt idx="105">
                  <c:v>45201</c:v>
                </c:pt>
                <c:pt idx="106">
                  <c:v>45221</c:v>
                </c:pt>
                <c:pt idx="107">
                  <c:v>45241</c:v>
                </c:pt>
                <c:pt idx="108">
                  <c:v>45261</c:v>
                </c:pt>
                <c:pt idx="109">
                  <c:v>45281</c:v>
                </c:pt>
                <c:pt idx="110">
                  <c:v>45301</c:v>
                </c:pt>
                <c:pt idx="111">
                  <c:v>45321</c:v>
                </c:pt>
                <c:pt idx="112">
                  <c:v>45341</c:v>
                </c:pt>
                <c:pt idx="113">
                  <c:v>45361</c:v>
                </c:pt>
                <c:pt idx="114">
                  <c:v>45381</c:v>
                </c:pt>
                <c:pt idx="115">
                  <c:v>45401</c:v>
                </c:pt>
                <c:pt idx="116">
                  <c:v>45421</c:v>
                </c:pt>
                <c:pt idx="117">
                  <c:v>45441</c:v>
                </c:pt>
                <c:pt idx="118">
                  <c:v>45461</c:v>
                </c:pt>
                <c:pt idx="119">
                  <c:v>45481</c:v>
                </c:pt>
                <c:pt idx="120">
                  <c:v>45501</c:v>
                </c:pt>
                <c:pt idx="121">
                  <c:v>45521</c:v>
                </c:pt>
                <c:pt idx="122">
                  <c:v>45541</c:v>
                </c:pt>
                <c:pt idx="123">
                  <c:v>45561</c:v>
                </c:pt>
                <c:pt idx="124">
                  <c:v>45581</c:v>
                </c:pt>
                <c:pt idx="125">
                  <c:v>45601</c:v>
                </c:pt>
                <c:pt idx="126">
                  <c:v>45621</c:v>
                </c:pt>
                <c:pt idx="127">
                  <c:v>45641</c:v>
                </c:pt>
                <c:pt idx="128">
                  <c:v>45661</c:v>
                </c:pt>
                <c:pt idx="129">
                  <c:v>45681</c:v>
                </c:pt>
                <c:pt idx="130">
                  <c:v>45701</c:v>
                </c:pt>
                <c:pt idx="131">
                  <c:v>45721</c:v>
                </c:pt>
                <c:pt idx="132">
                  <c:v>45741</c:v>
                </c:pt>
                <c:pt idx="133">
                  <c:v>45761</c:v>
                </c:pt>
                <c:pt idx="134">
                  <c:v>45781</c:v>
                </c:pt>
                <c:pt idx="135">
                  <c:v>45801</c:v>
                </c:pt>
                <c:pt idx="136">
                  <c:v>45821</c:v>
                </c:pt>
                <c:pt idx="137">
                  <c:v>45841</c:v>
                </c:pt>
                <c:pt idx="138">
                  <c:v>45861</c:v>
                </c:pt>
                <c:pt idx="139">
                  <c:v>45881</c:v>
                </c:pt>
                <c:pt idx="140">
                  <c:v>45901</c:v>
                </c:pt>
                <c:pt idx="141">
                  <c:v>45921</c:v>
                </c:pt>
                <c:pt idx="142">
                  <c:v>45941</c:v>
                </c:pt>
                <c:pt idx="143">
                  <c:v>45961</c:v>
                </c:pt>
              </c:numCache>
            </c:numRef>
          </c:xVal>
          <c:yVal>
            <c:numRef>
              <c:f>BestVisibility!$F$5:$F$148</c:f>
              <c:numCache>
                <c:formatCode>_-* #,##0.0_-;\-* #,##0.0_-;_-* "-"??_-;_-@_-</c:formatCode>
                <c:ptCount val="1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01A-4D1B-8A28-5D37922C68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095744"/>
        <c:axId val="44097536"/>
      </c:scatterChart>
      <c:scatterChart>
        <c:scatterStyle val="smoothMarker"/>
        <c:varyColors val="0"/>
        <c:ser>
          <c:idx val="2"/>
          <c:order val="1"/>
          <c:tx>
            <c:strRef>
              <c:f>BestVisibility!$E$4</c:f>
              <c:strCache>
                <c:ptCount val="1"/>
                <c:pt idx="0">
                  <c:v> Mag </c:v>
                </c:pt>
              </c:strCache>
            </c:strRef>
          </c:tx>
          <c:spPr>
            <a:ln w="19050"/>
          </c:spPr>
          <c:marker>
            <c:symbol val="none"/>
          </c:marker>
          <c:xVal>
            <c:numRef>
              <c:f>BestVisibility!$A$5:$A$153</c:f>
              <c:numCache>
                <c:formatCode>m/d/yyyy\ h:mm</c:formatCode>
                <c:ptCount val="149"/>
                <c:pt idx="0">
                  <c:v>43101</c:v>
                </c:pt>
                <c:pt idx="1">
                  <c:v>43121</c:v>
                </c:pt>
                <c:pt idx="2">
                  <c:v>43141</c:v>
                </c:pt>
                <c:pt idx="3">
                  <c:v>43161</c:v>
                </c:pt>
                <c:pt idx="4">
                  <c:v>43181</c:v>
                </c:pt>
                <c:pt idx="5">
                  <c:v>43201</c:v>
                </c:pt>
                <c:pt idx="6">
                  <c:v>43221</c:v>
                </c:pt>
                <c:pt idx="7">
                  <c:v>43241</c:v>
                </c:pt>
                <c:pt idx="8">
                  <c:v>43261</c:v>
                </c:pt>
                <c:pt idx="9">
                  <c:v>43281</c:v>
                </c:pt>
                <c:pt idx="10">
                  <c:v>43301</c:v>
                </c:pt>
                <c:pt idx="11">
                  <c:v>43321</c:v>
                </c:pt>
                <c:pt idx="12">
                  <c:v>43341</c:v>
                </c:pt>
                <c:pt idx="13">
                  <c:v>43361</c:v>
                </c:pt>
                <c:pt idx="14">
                  <c:v>43381</c:v>
                </c:pt>
                <c:pt idx="15">
                  <c:v>43401</c:v>
                </c:pt>
                <c:pt idx="16">
                  <c:v>43421</c:v>
                </c:pt>
                <c:pt idx="17">
                  <c:v>43441</c:v>
                </c:pt>
                <c:pt idx="18">
                  <c:v>43461</c:v>
                </c:pt>
                <c:pt idx="19">
                  <c:v>43481</c:v>
                </c:pt>
                <c:pt idx="20">
                  <c:v>43501</c:v>
                </c:pt>
                <c:pt idx="21">
                  <c:v>43521</c:v>
                </c:pt>
                <c:pt idx="22">
                  <c:v>43541</c:v>
                </c:pt>
                <c:pt idx="23">
                  <c:v>43561</c:v>
                </c:pt>
                <c:pt idx="24">
                  <c:v>43581</c:v>
                </c:pt>
                <c:pt idx="25">
                  <c:v>43601</c:v>
                </c:pt>
                <c:pt idx="26">
                  <c:v>43621</c:v>
                </c:pt>
                <c:pt idx="27">
                  <c:v>43641</c:v>
                </c:pt>
                <c:pt idx="28">
                  <c:v>43661</c:v>
                </c:pt>
                <c:pt idx="29">
                  <c:v>43681</c:v>
                </c:pt>
                <c:pt idx="30">
                  <c:v>43701</c:v>
                </c:pt>
                <c:pt idx="31">
                  <c:v>43721</c:v>
                </c:pt>
                <c:pt idx="32">
                  <c:v>43741</c:v>
                </c:pt>
                <c:pt idx="33">
                  <c:v>43761</c:v>
                </c:pt>
                <c:pt idx="34">
                  <c:v>43781</c:v>
                </c:pt>
                <c:pt idx="35">
                  <c:v>43801</c:v>
                </c:pt>
                <c:pt idx="36">
                  <c:v>43821</c:v>
                </c:pt>
                <c:pt idx="37">
                  <c:v>43841</c:v>
                </c:pt>
                <c:pt idx="38">
                  <c:v>43861</c:v>
                </c:pt>
                <c:pt idx="39">
                  <c:v>43881</c:v>
                </c:pt>
                <c:pt idx="40">
                  <c:v>43901</c:v>
                </c:pt>
                <c:pt idx="41">
                  <c:v>43921</c:v>
                </c:pt>
                <c:pt idx="42">
                  <c:v>43941</c:v>
                </c:pt>
                <c:pt idx="43">
                  <c:v>43961</c:v>
                </c:pt>
                <c:pt idx="44">
                  <c:v>43981</c:v>
                </c:pt>
                <c:pt idx="45">
                  <c:v>44001</c:v>
                </c:pt>
                <c:pt idx="46">
                  <c:v>44021</c:v>
                </c:pt>
                <c:pt idx="47">
                  <c:v>44041</c:v>
                </c:pt>
                <c:pt idx="48">
                  <c:v>44061</c:v>
                </c:pt>
                <c:pt idx="49">
                  <c:v>44081</c:v>
                </c:pt>
                <c:pt idx="50">
                  <c:v>44101</c:v>
                </c:pt>
                <c:pt idx="51">
                  <c:v>44121</c:v>
                </c:pt>
                <c:pt idx="52">
                  <c:v>44141</c:v>
                </c:pt>
                <c:pt idx="53">
                  <c:v>44161</c:v>
                </c:pt>
                <c:pt idx="54">
                  <c:v>44181</c:v>
                </c:pt>
                <c:pt idx="55">
                  <c:v>44201</c:v>
                </c:pt>
                <c:pt idx="56">
                  <c:v>44221</c:v>
                </c:pt>
                <c:pt idx="57">
                  <c:v>44241</c:v>
                </c:pt>
                <c:pt idx="58">
                  <c:v>44261</c:v>
                </c:pt>
                <c:pt idx="59">
                  <c:v>44281</c:v>
                </c:pt>
                <c:pt idx="60">
                  <c:v>44301</c:v>
                </c:pt>
                <c:pt idx="61">
                  <c:v>44321</c:v>
                </c:pt>
                <c:pt idx="62">
                  <c:v>44341</c:v>
                </c:pt>
                <c:pt idx="63">
                  <c:v>44361</c:v>
                </c:pt>
                <c:pt idx="64">
                  <c:v>44381</c:v>
                </c:pt>
                <c:pt idx="65">
                  <c:v>44401</c:v>
                </c:pt>
                <c:pt idx="66">
                  <c:v>44421</c:v>
                </c:pt>
                <c:pt idx="67">
                  <c:v>44441</c:v>
                </c:pt>
                <c:pt idx="68">
                  <c:v>44461</c:v>
                </c:pt>
                <c:pt idx="69">
                  <c:v>44481</c:v>
                </c:pt>
                <c:pt idx="70">
                  <c:v>44501</c:v>
                </c:pt>
                <c:pt idx="71">
                  <c:v>44521</c:v>
                </c:pt>
                <c:pt idx="72">
                  <c:v>44541</c:v>
                </c:pt>
                <c:pt idx="73">
                  <c:v>44561</c:v>
                </c:pt>
                <c:pt idx="74">
                  <c:v>44581</c:v>
                </c:pt>
                <c:pt idx="75">
                  <c:v>44601</c:v>
                </c:pt>
                <c:pt idx="76">
                  <c:v>44621</c:v>
                </c:pt>
                <c:pt idx="77">
                  <c:v>44641</c:v>
                </c:pt>
                <c:pt idx="78">
                  <c:v>44661</c:v>
                </c:pt>
                <c:pt idx="79">
                  <c:v>44681</c:v>
                </c:pt>
                <c:pt idx="80">
                  <c:v>44701</c:v>
                </c:pt>
                <c:pt idx="81">
                  <c:v>44721</c:v>
                </c:pt>
                <c:pt idx="82">
                  <c:v>44741</c:v>
                </c:pt>
                <c:pt idx="83">
                  <c:v>44761</c:v>
                </c:pt>
                <c:pt idx="84">
                  <c:v>44781</c:v>
                </c:pt>
                <c:pt idx="85">
                  <c:v>44801</c:v>
                </c:pt>
                <c:pt idx="86">
                  <c:v>44821</c:v>
                </c:pt>
                <c:pt idx="87">
                  <c:v>44841</c:v>
                </c:pt>
                <c:pt idx="88">
                  <c:v>44861</c:v>
                </c:pt>
                <c:pt idx="89">
                  <c:v>44881</c:v>
                </c:pt>
                <c:pt idx="90">
                  <c:v>44901</c:v>
                </c:pt>
                <c:pt idx="91">
                  <c:v>44921</c:v>
                </c:pt>
                <c:pt idx="92">
                  <c:v>44941</c:v>
                </c:pt>
                <c:pt idx="93">
                  <c:v>44961</c:v>
                </c:pt>
                <c:pt idx="94">
                  <c:v>44981</c:v>
                </c:pt>
                <c:pt idx="95">
                  <c:v>45001</c:v>
                </c:pt>
                <c:pt idx="96">
                  <c:v>45021</c:v>
                </c:pt>
                <c:pt idx="97">
                  <c:v>45041</c:v>
                </c:pt>
                <c:pt idx="98">
                  <c:v>45061</c:v>
                </c:pt>
                <c:pt idx="99">
                  <c:v>45081</c:v>
                </c:pt>
                <c:pt idx="100">
                  <c:v>45101</c:v>
                </c:pt>
                <c:pt idx="101">
                  <c:v>45121</c:v>
                </c:pt>
                <c:pt idx="102">
                  <c:v>45141</c:v>
                </c:pt>
                <c:pt idx="103">
                  <c:v>45161</c:v>
                </c:pt>
                <c:pt idx="104">
                  <c:v>45181</c:v>
                </c:pt>
                <c:pt idx="105">
                  <c:v>45201</c:v>
                </c:pt>
                <c:pt idx="106">
                  <c:v>45221</c:v>
                </c:pt>
                <c:pt idx="107">
                  <c:v>45241</c:v>
                </c:pt>
                <c:pt idx="108">
                  <c:v>45261</c:v>
                </c:pt>
                <c:pt idx="109">
                  <c:v>45281</c:v>
                </c:pt>
                <c:pt idx="110">
                  <c:v>45301</c:v>
                </c:pt>
                <c:pt idx="111">
                  <c:v>45321</c:v>
                </c:pt>
                <c:pt idx="112">
                  <c:v>45341</c:v>
                </c:pt>
                <c:pt idx="113">
                  <c:v>45361</c:v>
                </c:pt>
                <c:pt idx="114">
                  <c:v>45381</c:v>
                </c:pt>
                <c:pt idx="115">
                  <c:v>45401</c:v>
                </c:pt>
                <c:pt idx="116">
                  <c:v>45421</c:v>
                </c:pt>
                <c:pt idx="117">
                  <c:v>45441</c:v>
                </c:pt>
                <c:pt idx="118">
                  <c:v>45461</c:v>
                </c:pt>
                <c:pt idx="119">
                  <c:v>45481</c:v>
                </c:pt>
                <c:pt idx="120">
                  <c:v>45501</c:v>
                </c:pt>
                <c:pt idx="121">
                  <c:v>45521</c:v>
                </c:pt>
                <c:pt idx="122">
                  <c:v>45541</c:v>
                </c:pt>
                <c:pt idx="123">
                  <c:v>45561</c:v>
                </c:pt>
                <c:pt idx="124">
                  <c:v>45581</c:v>
                </c:pt>
                <c:pt idx="125">
                  <c:v>45601</c:v>
                </c:pt>
                <c:pt idx="126">
                  <c:v>45621</c:v>
                </c:pt>
                <c:pt idx="127">
                  <c:v>45641</c:v>
                </c:pt>
                <c:pt idx="128">
                  <c:v>45661</c:v>
                </c:pt>
                <c:pt idx="129">
                  <c:v>45681</c:v>
                </c:pt>
                <c:pt idx="130">
                  <c:v>45701</c:v>
                </c:pt>
                <c:pt idx="131">
                  <c:v>45721</c:v>
                </c:pt>
                <c:pt idx="132">
                  <c:v>45741</c:v>
                </c:pt>
                <c:pt idx="133">
                  <c:v>45761</c:v>
                </c:pt>
                <c:pt idx="134">
                  <c:v>45781</c:v>
                </c:pt>
                <c:pt idx="135">
                  <c:v>45801</c:v>
                </c:pt>
                <c:pt idx="136">
                  <c:v>45821</c:v>
                </c:pt>
                <c:pt idx="137">
                  <c:v>45841</c:v>
                </c:pt>
                <c:pt idx="138">
                  <c:v>45861</c:v>
                </c:pt>
                <c:pt idx="139">
                  <c:v>45881</c:v>
                </c:pt>
                <c:pt idx="140">
                  <c:v>45901</c:v>
                </c:pt>
                <c:pt idx="141">
                  <c:v>45921</c:v>
                </c:pt>
                <c:pt idx="142">
                  <c:v>45941</c:v>
                </c:pt>
                <c:pt idx="143">
                  <c:v>45961</c:v>
                </c:pt>
              </c:numCache>
            </c:numRef>
          </c:xVal>
          <c:yVal>
            <c:numRef>
              <c:f>BestVisibility!$E$5:$E$153</c:f>
              <c:numCache>
                <c:formatCode>_(* #,##0.00_);_(* \(#,##0.00\);_(* "-"??_);_(@_)</c:formatCode>
                <c:ptCount val="1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01A-4D1B-8A28-5D37922C68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100608"/>
        <c:axId val="44099072"/>
      </c:scatterChart>
      <c:valAx>
        <c:axId val="44095744"/>
        <c:scaling>
          <c:orientation val="minMax"/>
          <c:max val="45961"/>
          <c:min val="43101"/>
        </c:scaling>
        <c:delete val="0"/>
        <c:axPos val="b"/>
        <c:majorGridlines/>
        <c:numFmt formatCode="mm\-yyyy" sourceLinked="0"/>
        <c:majorTickMark val="out"/>
        <c:minorTickMark val="in"/>
        <c:tickLblPos val="nextTo"/>
        <c:txPr>
          <a:bodyPr rot="5400000" vert="horz" anchor="ctr" anchorCtr="0"/>
          <a:lstStyle/>
          <a:p>
            <a:pPr>
              <a:defRPr/>
            </a:pPr>
            <a:endParaRPr lang="en-US"/>
          </a:p>
        </c:txPr>
        <c:crossAx val="44097536"/>
        <c:crosses val="autoZero"/>
        <c:crossBetween val="midCat"/>
        <c:majorUnit val="365"/>
        <c:minorUnit val="90"/>
      </c:valAx>
      <c:valAx>
        <c:axId val="44097536"/>
        <c:scaling>
          <c:orientation val="minMax"/>
          <c:min val="0"/>
        </c:scaling>
        <c:delete val="0"/>
        <c:axPos val="l"/>
        <c:majorGridlines/>
        <c:numFmt formatCode="#,##0.00_);\(#,##0.00\)" sourceLinked="0"/>
        <c:majorTickMark val="out"/>
        <c:minorTickMark val="none"/>
        <c:tickLblPos val="nextTo"/>
        <c:crossAx val="44095744"/>
        <c:crosses val="autoZero"/>
        <c:crossBetween val="midCat"/>
      </c:valAx>
      <c:valAx>
        <c:axId val="44099072"/>
        <c:scaling>
          <c:orientation val="maxMin"/>
        </c:scaling>
        <c:delete val="0"/>
        <c:axPos val="r"/>
        <c:numFmt formatCode="_(* #,##0.00_);_(* \(#,##0.00\);_(* &quot;-&quot;??_);_(@_)" sourceLinked="1"/>
        <c:majorTickMark val="out"/>
        <c:minorTickMark val="none"/>
        <c:tickLblPos val="nextTo"/>
        <c:spPr>
          <a:ln w="6350">
            <a:solidFill>
              <a:schemeClr val="accent5">
                <a:lumMod val="75000"/>
              </a:schemeClr>
            </a:solidFill>
          </a:ln>
        </c:spPr>
        <c:crossAx val="44100608"/>
        <c:crosses val="max"/>
        <c:crossBetween val="midCat"/>
      </c:valAx>
      <c:valAx>
        <c:axId val="44100608"/>
        <c:scaling>
          <c:orientation val="minMax"/>
        </c:scaling>
        <c:delete val="1"/>
        <c:axPos val="t"/>
        <c:numFmt formatCode="m/d/yyyy\ h:mm" sourceLinked="1"/>
        <c:majorTickMark val="out"/>
        <c:minorTickMark val="none"/>
        <c:tickLblPos val="none"/>
        <c:crossAx val="44099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633" l="0.70000000000000062" r="0.70000000000000062" t="0.75000000000000633" header="0.30000000000000032" footer="0.30000000000000032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28574</xdr:colOff>
      <xdr:row>2</xdr:row>
      <xdr:rowOff>123825</xdr:rowOff>
    </xdr:from>
    <xdr:to>
      <xdr:col>14</xdr:col>
      <xdr:colOff>523875</xdr:colOff>
      <xdr:row>18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50346</xdr:colOff>
      <xdr:row>18</xdr:row>
      <xdr:rowOff>66675</xdr:rowOff>
    </xdr:from>
    <xdr:to>
      <xdr:col>14</xdr:col>
      <xdr:colOff>545647</xdr:colOff>
      <xdr:row>34</xdr:row>
      <xdr:rowOff>19050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hko.gov.hk/m/article_e.htm?title=ele_00493" TargetMode="External"/><Relationship Id="rId1" Type="http://schemas.openxmlformats.org/officeDocument/2006/relationships/hyperlink" Target="http://www.stjarnhimlen.se/comp/ppcomp.html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O1048576"/>
  <sheetViews>
    <sheetView tabSelected="1" zoomScale="70" zoomScaleNormal="70" workbookViewId="0">
      <selection activeCell="A5" sqref="A5"/>
    </sheetView>
  </sheetViews>
  <sheetFormatPr defaultRowHeight="15" x14ac:dyDescent="0.25"/>
  <cols>
    <col min="1" max="1" width="18.85546875" bestFit="1" customWidth="1"/>
    <col min="2" max="2" width="14.85546875" bestFit="1" customWidth="1"/>
    <col min="3" max="3" width="17.85546875" style="13" customWidth="1"/>
    <col min="4" max="4" width="10.5703125" bestFit="1" customWidth="1"/>
    <col min="5" max="5" width="10" style="25" bestFit="1" customWidth="1"/>
    <col min="6" max="6" width="10.7109375" style="15" bestFit="1" customWidth="1"/>
    <col min="17" max="17" width="14.5703125" bestFit="1" customWidth="1"/>
    <col min="18" max="18" width="15.7109375" bestFit="1" customWidth="1"/>
    <col min="23" max="23" width="13.140625" bestFit="1" customWidth="1"/>
    <col min="24" max="24" width="11.5703125" bestFit="1" customWidth="1"/>
    <col min="25" max="25" width="10" bestFit="1" customWidth="1"/>
    <col min="27" max="27" width="11.5703125" bestFit="1" customWidth="1"/>
    <col min="28" max="28" width="14.85546875" bestFit="1" customWidth="1"/>
    <col min="32" max="32" width="13" bestFit="1" customWidth="1"/>
    <col min="34" max="34" width="20.7109375" bestFit="1" customWidth="1"/>
    <col min="35" max="35" width="12.5703125" bestFit="1" customWidth="1"/>
    <col min="36" max="36" width="22" bestFit="1" customWidth="1"/>
    <col min="37" max="37" width="12.42578125" bestFit="1" customWidth="1"/>
    <col min="39" max="39" width="12" bestFit="1" customWidth="1"/>
  </cols>
  <sheetData>
    <row r="1" spans="1:41" x14ac:dyDescent="0.25">
      <c r="A1" t="s">
        <v>23</v>
      </c>
      <c r="B1" s="21">
        <v>51.883000000000003</v>
      </c>
      <c r="C1" s="22">
        <v>-1.3080000000000001</v>
      </c>
      <c r="E1" s="25" t="s">
        <v>24</v>
      </c>
      <c r="F1" s="15">
        <v>20</v>
      </c>
      <c r="G1" t="s">
        <v>0</v>
      </c>
      <c r="I1" s="50" t="str">
        <f>B3</f>
        <v>Jupiter</v>
      </c>
      <c r="J1" s="50"/>
      <c r="K1" s="50"/>
      <c r="L1" s="50"/>
      <c r="M1" s="50"/>
      <c r="N1" s="50"/>
      <c r="Q1" t="s">
        <v>39</v>
      </c>
    </row>
    <row r="2" spans="1:41" ht="15.75" thickBot="1" x14ac:dyDescent="0.3">
      <c r="A2" s="10"/>
      <c r="B2">
        <f>VLOOKUP(B3,planlookup,2,0)</f>
        <v>5</v>
      </c>
      <c r="C2" s="13">
        <f>VLOOKUP(C3,AA4:AB5,2,0)</f>
        <v>1</v>
      </c>
      <c r="I2" s="50"/>
      <c r="J2" s="50"/>
      <c r="K2" s="50"/>
      <c r="L2" s="50"/>
      <c r="M2" s="50"/>
      <c r="N2" s="50"/>
      <c r="Q2" t="s">
        <v>25</v>
      </c>
      <c r="R2" t="s">
        <v>29</v>
      </c>
      <c r="S2">
        <f>1+46/60</f>
        <v>1.7666666666666666</v>
      </c>
      <c r="AH2" s="36"/>
    </row>
    <row r="3" spans="1:41" ht="15.75" thickBot="1" x14ac:dyDescent="0.3">
      <c r="A3" s="8"/>
      <c r="B3" s="23" t="s">
        <v>6</v>
      </c>
      <c r="C3" s="23" t="s">
        <v>19</v>
      </c>
      <c r="D3" s="16"/>
      <c r="Q3" t="s">
        <v>26</v>
      </c>
      <c r="R3" t="s">
        <v>32</v>
      </c>
      <c r="S3">
        <f>8+9.8/60</f>
        <v>8.163333333333334</v>
      </c>
      <c r="X3" t="s">
        <v>11</v>
      </c>
      <c r="AH3" s="8">
        <v>0</v>
      </c>
    </row>
    <row r="4" spans="1:41" ht="15.75" thickBot="1" x14ac:dyDescent="0.3">
      <c r="A4" s="11" t="s">
        <v>16</v>
      </c>
      <c r="B4" s="20" t="s">
        <v>18</v>
      </c>
      <c r="C4" s="19" t="s">
        <v>21</v>
      </c>
      <c r="D4" s="9" t="s">
        <v>22</v>
      </c>
      <c r="E4" s="26" t="s">
        <v>10</v>
      </c>
      <c r="F4" s="18" t="s">
        <v>15</v>
      </c>
      <c r="Q4" t="s">
        <v>27</v>
      </c>
      <c r="R4" t="s">
        <v>30</v>
      </c>
      <c r="S4">
        <f>49+53/60</f>
        <v>49.883333333333333</v>
      </c>
      <c r="X4" s="2" t="s">
        <v>1</v>
      </c>
      <c r="Y4" s="6">
        <v>0</v>
      </c>
      <c r="AA4" s="2" t="s">
        <v>19</v>
      </c>
      <c r="AB4" s="6">
        <v>1</v>
      </c>
      <c r="AF4" t="s">
        <v>57</v>
      </c>
      <c r="AH4">
        <v>1</v>
      </c>
      <c r="AM4" t="s">
        <v>106</v>
      </c>
      <c r="AN4">
        <v>1</v>
      </c>
      <c r="AO4" t="s">
        <v>107</v>
      </c>
    </row>
    <row r="5" spans="1:41" ht="15.75" thickBot="1" x14ac:dyDescent="0.3">
      <c r="A5" s="1">
        <v>43101</v>
      </c>
      <c r="B5" s="12">
        <f>vbTimeofTransit(B$2,$A5,$B$1, $C$1)/24</f>
        <v>0.34694071884234301</v>
      </c>
      <c r="C5" s="14">
        <f t="shared" ref="C5:C36" si="0">vbisvisible(B$2,A5,$B$1,$C$1,$C$2,1,temp,pres)</f>
        <v>22.325439904759801</v>
      </c>
      <c r="D5" s="12">
        <f t="shared" ref="D5:D36" si="1">vbisvisible(B$2,A5,$B$1,$C$1,$C$2,2,temp,pres)</f>
        <v>0.34218534050707888</v>
      </c>
      <c r="E5" s="25" t="e">
        <f>visualmagnitude($B$2,astrodaysfromdt(A5))</f>
        <v>#VALUE!</v>
      </c>
      <c r="F5" s="15" t="e">
        <f>apparentsize($B$2, astrodaysfromdt(A5))</f>
        <v>#VALUE!</v>
      </c>
      <c r="Q5" t="s">
        <v>28</v>
      </c>
      <c r="R5" t="s">
        <v>31</v>
      </c>
      <c r="S5">
        <f>60+49/60</f>
        <v>60.81666666666667</v>
      </c>
      <c r="W5" s="8"/>
      <c r="X5" s="3" t="s">
        <v>4</v>
      </c>
      <c r="Y5" s="4">
        <v>1</v>
      </c>
      <c r="AA5" s="5" t="s">
        <v>20</v>
      </c>
      <c r="AB5" s="7">
        <v>2</v>
      </c>
      <c r="AF5" t="s">
        <v>16</v>
      </c>
      <c r="AH5" s="37">
        <f>DATE(2019,12,8)+TIME(23,25,55)+AH3</f>
        <v>43807.976331018515</v>
      </c>
      <c r="AN5">
        <v>2</v>
      </c>
      <c r="AO5" t="s">
        <v>108</v>
      </c>
    </row>
    <row r="6" spans="1:41" x14ac:dyDescent="0.25">
      <c r="A6" s="1">
        <f t="shared" ref="A6:A37" si="2">DATE(YEAR(A5), IF(unt="m",intvl,0)+MONTH(A5), IF(unt="m", 0,intvl)+DAY(A5))</f>
        <v>43121</v>
      </c>
      <c r="B6" s="12">
        <f t="shared" ref="B6:B69" si="3">vbTimeofTransit(B$2,$A6,$B$1, $C$1)/24</f>
        <v>0.30060445343235886</v>
      </c>
      <c r="C6" s="14">
        <f t="shared" si="0"/>
        <v>21.557847800673933</v>
      </c>
      <c r="D6" s="12">
        <f t="shared" si="1"/>
        <v>0.30060445343235886</v>
      </c>
      <c r="E6" s="25" t="e">
        <f>visualmagnitude($B$2,astrodaysfromdt(A6))</f>
        <v>#VALUE!</v>
      </c>
      <c r="F6" s="15" t="e">
        <f>apparentsize($B$2, astrodaysfromdt(A6))</f>
        <v>#VALUE!</v>
      </c>
      <c r="X6" s="3" t="s">
        <v>2</v>
      </c>
      <c r="Y6" s="4">
        <v>2</v>
      </c>
      <c r="AA6" s="2"/>
      <c r="AB6" s="17"/>
      <c r="AF6" t="s">
        <v>58</v>
      </c>
      <c r="AH6" s="28">
        <f>vbastrodaysfromdt(AH5)</f>
        <v>7282.976319444444</v>
      </c>
      <c r="AI6" t="s">
        <v>119</v>
      </c>
      <c r="AK6" s="29"/>
      <c r="AN6">
        <v>3</v>
      </c>
      <c r="AO6" t="s">
        <v>109</v>
      </c>
    </row>
    <row r="7" spans="1:41" x14ac:dyDescent="0.25">
      <c r="A7" s="1">
        <f t="shared" si="2"/>
        <v>43141</v>
      </c>
      <c r="B7" s="12">
        <f t="shared" si="3"/>
        <v>0.25192369247965535</v>
      </c>
      <c r="C7" s="14">
        <f t="shared" si="0"/>
        <v>21.048662629900399</v>
      </c>
      <c r="D7" s="12">
        <f t="shared" si="1"/>
        <v>0.25192369247965535</v>
      </c>
      <c r="E7" s="25" t="e">
        <f>visualmagnitude($B$2,astrodaysfromdt(A7))</f>
        <v>#VALUE!</v>
      </c>
      <c r="F7" s="15" t="e">
        <f>apparentsize($B$2, astrodaysfromdt(A7))</f>
        <v>#VALUE!</v>
      </c>
      <c r="X7" s="3" t="s">
        <v>3</v>
      </c>
      <c r="Y7" s="4">
        <v>3</v>
      </c>
      <c r="AA7" s="3"/>
      <c r="AB7" s="4"/>
      <c r="AF7" t="s">
        <v>62</v>
      </c>
      <c r="AH7" s="28">
        <f>vbJulianDate(YEAR(AH5), MONTH(AH5), DAY(AH5),HOUR(AH5), MINUTE(AH5), SECOND(AH5))</f>
        <v>2458826.4763310184</v>
      </c>
      <c r="AI7" t="s">
        <v>119</v>
      </c>
      <c r="AJ7" t="s">
        <v>64</v>
      </c>
      <c r="AK7">
        <f>21*15+11</f>
        <v>326</v>
      </c>
      <c r="AN7">
        <v>4</v>
      </c>
      <c r="AO7" t="s">
        <v>110</v>
      </c>
    </row>
    <row r="8" spans="1:41" x14ac:dyDescent="0.25">
      <c r="A8" s="1">
        <f t="shared" si="2"/>
        <v>43161</v>
      </c>
      <c r="B8" s="12">
        <f t="shared" si="3"/>
        <v>0.20026215670648909</v>
      </c>
      <c r="C8" s="14">
        <f t="shared" si="0"/>
        <v>20.834789004779552</v>
      </c>
      <c r="D8" s="12">
        <f t="shared" si="1"/>
        <v>0.20026215670648909</v>
      </c>
      <c r="E8" s="25" t="e">
        <f>visualmagnitude($B$2,astrodaysfromdt(A8))</f>
        <v>#VALUE!</v>
      </c>
      <c r="F8" s="15" t="e">
        <f>apparentsize($B$2, astrodaysfromdt(A8))</f>
        <v>#VALUE!</v>
      </c>
      <c r="Q8" t="s">
        <v>33</v>
      </c>
      <c r="X8" s="3" t="s">
        <v>5</v>
      </c>
      <c r="Y8" s="4">
        <v>4</v>
      </c>
      <c r="AA8" s="3" t="s">
        <v>13</v>
      </c>
      <c r="AB8" s="4">
        <v>149597870.69999999</v>
      </c>
      <c r="AF8" t="s">
        <v>66</v>
      </c>
      <c r="AH8" s="41">
        <f>vbLSTFromDt(AH5,longi)/24</f>
        <v>0.18777544309662128</v>
      </c>
      <c r="AI8" s="8"/>
      <c r="AJ8" t="s">
        <v>65</v>
      </c>
      <c r="AK8">
        <v>33</v>
      </c>
      <c r="AN8">
        <v>5</v>
      </c>
      <c r="AO8" t="s">
        <v>111</v>
      </c>
    </row>
    <row r="9" spans="1:41" ht="15.75" thickBot="1" x14ac:dyDescent="0.3">
      <c r="A9" s="1">
        <f t="shared" si="2"/>
        <v>43181</v>
      </c>
      <c r="B9" s="12">
        <f t="shared" si="3"/>
        <v>0.14522534799550493</v>
      </c>
      <c r="C9" s="14">
        <f t="shared" si="0"/>
        <v>20.92306243685794</v>
      </c>
      <c r="D9" s="12">
        <f t="shared" si="1"/>
        <v>0.14522534799550493</v>
      </c>
      <c r="E9" s="25" t="e">
        <f>visualmagnitude($B$2,astrodaysfromdt(A9))</f>
        <v>#VALUE!</v>
      </c>
      <c r="F9" s="15" t="e">
        <f>apparentsize($B$2, astrodaysfromdt(A9))</f>
        <v>#VALUE!</v>
      </c>
      <c r="Q9" t="s">
        <v>50</v>
      </c>
      <c r="X9" s="3" t="s">
        <v>6</v>
      </c>
      <c r="Y9" s="4">
        <v>5</v>
      </c>
      <c r="AA9" s="5" t="s">
        <v>14</v>
      </c>
      <c r="AB9" s="7">
        <f>6378140/1000</f>
        <v>6378.14</v>
      </c>
      <c r="AJ9" t="s">
        <v>117</v>
      </c>
      <c r="AK9">
        <f>vbAzFromRADec(lst, AK7, AK8, lati, 2, temp, pres)</f>
        <v>18.97810501617009</v>
      </c>
      <c r="AN9">
        <v>6</v>
      </c>
      <c r="AO9" t="s">
        <v>112</v>
      </c>
    </row>
    <row r="10" spans="1:41" x14ac:dyDescent="0.25">
      <c r="A10" s="1">
        <f t="shared" si="2"/>
        <v>43201</v>
      </c>
      <c r="B10" s="12">
        <f t="shared" si="3"/>
        <v>8.6945487074043759E-2</v>
      </c>
      <c r="C10" s="14">
        <f t="shared" si="0"/>
        <v>21.292700071859738</v>
      </c>
      <c r="D10" s="12">
        <f t="shared" si="1"/>
        <v>8.6945487074043759E-2</v>
      </c>
      <c r="E10" s="25" t="e">
        <f>visualmagnitude($B$2,astrodaysfromdt(A10))</f>
        <v>#VALUE!</v>
      </c>
      <c r="F10" s="15" t="e">
        <f>apparentsize($B$2, astrodaysfromdt(A10))</f>
        <v>#VALUE!</v>
      </c>
      <c r="Q10" t="s">
        <v>34</v>
      </c>
      <c r="X10" s="3" t="s">
        <v>7</v>
      </c>
      <c r="Y10" s="4">
        <v>6</v>
      </c>
      <c r="AF10" t="s">
        <v>75</v>
      </c>
      <c r="AH10" s="38">
        <f>vbEccentricity(pval,ddval)</f>
        <v>5.4899999999999997E-2</v>
      </c>
      <c r="AI10" t="s">
        <v>119</v>
      </c>
      <c r="AJ10" t="s">
        <v>118</v>
      </c>
      <c r="AK10">
        <f>vbAzFromRADec(AH8, AK7, AK8, lati, 0, temp, pres)</f>
        <v>299.71345789665691</v>
      </c>
      <c r="AN10">
        <v>7</v>
      </c>
      <c r="AO10" t="s">
        <v>113</v>
      </c>
    </row>
    <row r="11" spans="1:41" x14ac:dyDescent="0.25">
      <c r="A11" s="1">
        <f t="shared" si="2"/>
        <v>43221</v>
      </c>
      <c r="B11" s="12">
        <f t="shared" si="3"/>
        <v>2.6328613682278342E-2</v>
      </c>
      <c r="C11" s="14">
        <f t="shared" si="0"/>
        <v>21.869970845851686</v>
      </c>
      <c r="D11" s="12">
        <f t="shared" si="1"/>
        <v>2.6328613682278342E-2</v>
      </c>
      <c r="E11" s="25" t="e">
        <f>visualmagnitude($B$2,astrodaysfromdt(A11))</f>
        <v>#VALUE!</v>
      </c>
      <c r="F11" s="15" t="e">
        <f>apparentsize($B$2, astrodaysfromdt(A11))</f>
        <v>#VALUE!</v>
      </c>
      <c r="X11" s="3" t="s">
        <v>8</v>
      </c>
      <c r="Y11" s="4">
        <v>7</v>
      </c>
      <c r="AA11" t="s">
        <v>53</v>
      </c>
      <c r="AB11">
        <v>10</v>
      </c>
      <c r="AF11" t="s">
        <v>59</v>
      </c>
      <c r="AH11" s="43">
        <f>vbMeanAnomaly(pval,ddval)</f>
        <v>3.9688731855543828</v>
      </c>
      <c r="AN11">
        <v>8</v>
      </c>
      <c r="AO11" t="s">
        <v>114</v>
      </c>
    </row>
    <row r="12" spans="1:41" x14ac:dyDescent="0.25">
      <c r="A12" s="1">
        <f t="shared" si="2"/>
        <v>43241</v>
      </c>
      <c r="B12" s="12">
        <f t="shared" si="3"/>
        <v>0.96194062679923686</v>
      </c>
      <c r="C12" s="14">
        <f t="shared" si="0"/>
        <v>22.543061543759215</v>
      </c>
      <c r="D12" s="12">
        <f t="shared" si="1"/>
        <v>0.96194062679923686</v>
      </c>
      <c r="E12" s="25" t="e">
        <f>visualmagnitude($B$2,astrodaysfromdt(A12))</f>
        <v>#VALUE!</v>
      </c>
      <c r="F12" s="15" t="e">
        <f>apparentsize($B$2, astrodaysfromdt(A12))</f>
        <v>#VALUE!</v>
      </c>
      <c r="Q12" t="s">
        <v>35</v>
      </c>
      <c r="X12" s="3" t="s">
        <v>9</v>
      </c>
      <c r="Y12" s="4">
        <v>8</v>
      </c>
      <c r="AA12" t="s">
        <v>54</v>
      </c>
      <c r="AB12">
        <v>1010</v>
      </c>
      <c r="AF12" t="s">
        <v>60</v>
      </c>
      <c r="AH12" s="43">
        <f>vbArgOfPerihelion(pval,ddval)</f>
        <v>1.3102864992651071</v>
      </c>
      <c r="AN12">
        <v>9</v>
      </c>
      <c r="AO12" t="s">
        <v>115</v>
      </c>
    </row>
    <row r="13" spans="1:41" x14ac:dyDescent="0.25">
      <c r="A13" s="1">
        <f t="shared" si="2"/>
        <v>43261</v>
      </c>
      <c r="B13" s="12">
        <f t="shared" si="3"/>
        <v>0.90180565561117609</v>
      </c>
      <c r="C13" s="14">
        <f t="shared" si="0"/>
        <v>23.058046922002859</v>
      </c>
      <c r="D13" s="12">
        <f t="shared" si="1"/>
        <v>0.90180565561117609</v>
      </c>
      <c r="E13" s="25" t="e">
        <f>visualmagnitude($B$2,astrodaysfromdt(A13))</f>
        <v>#VALUE!</v>
      </c>
      <c r="F13" s="15" t="e">
        <f>apparentsize($B$2, astrodaysfromdt(A13))</f>
        <v>#VALUE!</v>
      </c>
      <c r="Q13" t="s">
        <v>36</v>
      </c>
      <c r="X13" s="3" t="s">
        <v>17</v>
      </c>
      <c r="Y13" s="4">
        <v>9</v>
      </c>
      <c r="AF13" t="s">
        <v>61</v>
      </c>
      <c r="AH13" s="43">
        <f>vblongofascnode(pval, ddval)</f>
        <v>3.355251020699221</v>
      </c>
      <c r="AN13">
        <v>10</v>
      </c>
      <c r="AO13" t="s">
        <v>116</v>
      </c>
    </row>
    <row r="14" spans="1:41" x14ac:dyDescent="0.25">
      <c r="A14" s="1">
        <f t="shared" si="2"/>
        <v>43281</v>
      </c>
      <c r="B14" s="12">
        <f t="shared" si="3"/>
        <v>0.84421259692977857</v>
      </c>
      <c r="C14" s="14">
        <f t="shared" si="0"/>
        <v>23.241092555608788</v>
      </c>
      <c r="D14" s="12">
        <f t="shared" si="1"/>
        <v>0.85284689081460774</v>
      </c>
      <c r="E14" s="25" t="e">
        <f>visualmagnitude($B$2,astrodaysfromdt(A14))</f>
        <v>#VALUE!</v>
      </c>
      <c r="F14" s="15" t="e">
        <f>apparentsize($B$2, astrodaysfromdt(A14))</f>
        <v>#VALUE!</v>
      </c>
      <c r="X14" s="3" t="s">
        <v>12</v>
      </c>
      <c r="Y14" s="4">
        <v>10</v>
      </c>
      <c r="AB14" s="10"/>
      <c r="AF14" t="s">
        <v>76</v>
      </c>
      <c r="AH14" s="43">
        <f>vbEccentricAnomaly(AH11,AH10)</f>
        <v>3.9299387527673946</v>
      </c>
    </row>
    <row r="15" spans="1:41" x14ac:dyDescent="0.25">
      <c r="A15" s="1">
        <f t="shared" si="2"/>
        <v>43301</v>
      </c>
      <c r="B15" s="12">
        <f t="shared" si="3"/>
        <v>0.78977388280259786</v>
      </c>
      <c r="C15" s="14">
        <f t="shared" si="0"/>
        <v>21.194546669376471</v>
      </c>
      <c r="D15" s="12">
        <f t="shared" si="1"/>
        <v>0.8422302818719819</v>
      </c>
      <c r="E15" s="25" t="e">
        <f>visualmagnitude($B$2,astrodaysfromdt(A15))</f>
        <v>#VALUE!</v>
      </c>
      <c r="F15" s="15" t="e">
        <f>apparentsize($B$2, astrodaysfromdt(A15))</f>
        <v>#VALUE!</v>
      </c>
      <c r="Q15" t="s">
        <v>37</v>
      </c>
      <c r="W15" s="8"/>
      <c r="X15" s="3" t="s">
        <v>63</v>
      </c>
      <c r="Y15" s="4">
        <v>11</v>
      </c>
    </row>
    <row r="16" spans="1:41" ht="15.75" customHeight="1" x14ac:dyDescent="0.25">
      <c r="A16" s="1">
        <f t="shared" si="2"/>
        <v>43321</v>
      </c>
      <c r="B16" s="12">
        <f t="shared" si="3"/>
        <v>0.73848666600721835</v>
      </c>
      <c r="C16" s="14">
        <f t="shared" si="0"/>
        <v>18.028264624510893</v>
      </c>
      <c r="D16" s="12">
        <f t="shared" si="1"/>
        <v>0.82030291572529934</v>
      </c>
      <c r="E16" s="25" t="e">
        <f>visualmagnitude($B$2,astrodaysfromdt(A16))</f>
        <v>#VALUE!</v>
      </c>
      <c r="F16" s="15" t="e">
        <f>apparentsize($B$2, astrodaysfromdt(A16))</f>
        <v>#VALUE!</v>
      </c>
      <c r="Q16" t="s">
        <v>38</v>
      </c>
      <c r="W16" s="8"/>
      <c r="X16" s="3"/>
      <c r="Y16" s="4"/>
      <c r="AA16" s="10"/>
      <c r="AE16">
        <v>6</v>
      </c>
      <c r="AF16" t="s">
        <v>64</v>
      </c>
      <c r="AH16" s="39">
        <f>vbplanetxyz(pval, ddval, AE16,lst,lati, temp, pres)</f>
        <v>37.011911530431881</v>
      </c>
      <c r="AI16">
        <f>(17+1/60+41.56/3600)*15</f>
        <v>255.42316666666662</v>
      </c>
      <c r="AJ16">
        <f>AI16/AH16</f>
        <v>6.9011071329469962</v>
      </c>
    </row>
    <row r="17" spans="1:36" x14ac:dyDescent="0.25">
      <c r="A17" s="1">
        <f t="shared" si="2"/>
        <v>43341</v>
      </c>
      <c r="B17" s="12">
        <f t="shared" si="3"/>
        <v>0.69000525309300986</v>
      </c>
      <c r="C17" s="14">
        <f t="shared" si="0"/>
        <v>14.967795279893489</v>
      </c>
      <c r="D17" s="12">
        <f t="shared" si="1"/>
        <v>0.79152642003631002</v>
      </c>
      <c r="E17" s="25" t="e">
        <f>visualmagnitude($B$2,astrodaysfromdt(A17))</f>
        <v>#VALUE!</v>
      </c>
      <c r="F17" s="15" t="e">
        <f>apparentsize($B$2, astrodaysfromdt(A17))</f>
        <v>#VALUE!</v>
      </c>
      <c r="Q17" t="s">
        <v>49</v>
      </c>
      <c r="X17" s="3"/>
      <c r="Y17" s="4"/>
      <c r="AB17" s="10"/>
      <c r="AE17">
        <v>7</v>
      </c>
      <c r="AF17" t="s">
        <v>65</v>
      </c>
      <c r="AH17" s="39">
        <f t="shared" ref="AH17:AH25" si="4">vbplanetxyz(pval, ddval, AE17,lst,lati, temp, pres)</f>
        <v>9.2956669241249585</v>
      </c>
      <c r="AI17">
        <f>-22-45/60-39.9/3600</f>
        <v>-22.761083333333332</v>
      </c>
      <c r="AJ17">
        <f>AI17/AH17</f>
        <v>-2.4485691579871158</v>
      </c>
    </row>
    <row r="18" spans="1:36" x14ac:dyDescent="0.25">
      <c r="A18" s="1">
        <f t="shared" si="2"/>
        <v>43361</v>
      </c>
      <c r="B18" s="12">
        <f t="shared" si="3"/>
        <v>0.64385430956495282</v>
      </c>
      <c r="C18" s="14">
        <f t="shared" si="0"/>
        <v>12.182399662157348</v>
      </c>
      <c r="D18" s="12">
        <f t="shared" si="1"/>
        <v>0.75961093927183521</v>
      </c>
      <c r="E18" s="25" t="e">
        <f>visualmagnitude($B$2,astrodaysfromdt(A18))</f>
        <v>#VALUE!</v>
      </c>
      <c r="F18" s="15" t="e">
        <f>apparentsize($B$2, astrodaysfromdt(A18))</f>
        <v>#VALUE!</v>
      </c>
      <c r="X18" s="3"/>
      <c r="Y18" s="4"/>
      <c r="AE18">
        <v>9</v>
      </c>
      <c r="AF18" t="s">
        <v>68</v>
      </c>
      <c r="AH18" s="39">
        <f t="shared" si="4"/>
        <v>221.44256120372168</v>
      </c>
      <c r="AI18">
        <f>345+20/60+8.3/3600</f>
        <v>345.33563888888887</v>
      </c>
      <c r="AJ18">
        <f>AI18/AH18</f>
        <v>1.5594817771782752</v>
      </c>
    </row>
    <row r="19" spans="1:36" ht="15.75" thickBot="1" x14ac:dyDescent="0.3">
      <c r="A19" s="1">
        <f t="shared" si="2"/>
        <v>43381</v>
      </c>
      <c r="B19" s="12">
        <f t="shared" si="3"/>
        <v>0.59953651647582817</v>
      </c>
      <c r="C19" s="14">
        <f t="shared" si="0"/>
        <v>9.4763131815952715</v>
      </c>
      <c r="D19" s="12">
        <f t="shared" si="1"/>
        <v>0.72750064189330654</v>
      </c>
      <c r="E19" s="25" t="e">
        <f>visualmagnitude($B$2,astrodaysfromdt(A19))</f>
        <v>#VALUE!</v>
      </c>
      <c r="F19" s="15" t="e">
        <f>apparentsize($B$2, astrodaysfromdt(A19))</f>
        <v>#VALUE!</v>
      </c>
      <c r="Q19" t="s">
        <v>40</v>
      </c>
      <c r="X19" s="5"/>
      <c r="Y19" s="7"/>
      <c r="AE19">
        <v>8</v>
      </c>
      <c r="AF19" t="s">
        <v>67</v>
      </c>
      <c r="AH19" s="39">
        <f t="shared" si="4"/>
        <v>40.670214586432472</v>
      </c>
      <c r="AI19">
        <f>-60-15/50-17.6/3600</f>
        <v>-60.304888888888883</v>
      </c>
      <c r="AJ19">
        <f>AI19/AH19</f>
        <v>-1.4827777404697173</v>
      </c>
    </row>
    <row r="20" spans="1:36" x14ac:dyDescent="0.25">
      <c r="A20" s="1">
        <f t="shared" si="2"/>
        <v>43401</v>
      </c>
      <c r="B20" s="12">
        <f t="shared" si="3"/>
        <v>0.55656468389982316</v>
      </c>
      <c r="C20" s="14">
        <f t="shared" si="0"/>
        <v>6.4564734654509319</v>
      </c>
      <c r="D20" s="12">
        <f t="shared" si="1"/>
        <v>0.6981048330377625</v>
      </c>
      <c r="E20" s="25" t="e">
        <f>visualmagnitude($B$2,astrodaysfromdt(A20))</f>
        <v>#VALUE!</v>
      </c>
      <c r="F20" s="15" t="e">
        <f>apparentsize($B$2, astrodaysfromdt(A20))</f>
        <v>#VALUE!</v>
      </c>
      <c r="Q20" t="s">
        <v>51</v>
      </c>
      <c r="AE20">
        <v>4</v>
      </c>
      <c r="AF20" t="s">
        <v>69</v>
      </c>
      <c r="AH20" s="39">
        <f t="shared" si="4"/>
        <v>38.185366889933171</v>
      </c>
      <c r="AI20">
        <f>256+34/60+49.7/3600</f>
        <v>256.58047222222223</v>
      </c>
      <c r="AJ20">
        <f>AI20/AH20</f>
        <v>6.719340237368904</v>
      </c>
    </row>
    <row r="21" spans="1:36" x14ac:dyDescent="0.25">
      <c r="A21" s="1">
        <f t="shared" si="2"/>
        <v>43421</v>
      </c>
      <c r="B21" s="12">
        <f t="shared" si="3"/>
        <v>0.51445576053524467</v>
      </c>
      <c r="C21" s="14">
        <f t="shared" si="0"/>
        <v>0</v>
      </c>
      <c r="D21" s="12">
        <f t="shared" si="1"/>
        <v>0</v>
      </c>
      <c r="E21" s="25" t="e">
        <f>visualmagnitude($B$2,astrodaysfromdt(A21))</f>
        <v>#VALUE!</v>
      </c>
      <c r="F21" s="15" t="e">
        <f>apparentsize($B$2, astrodaysfromdt(A21))</f>
        <v>#VALUE!</v>
      </c>
      <c r="Q21" t="s">
        <v>41</v>
      </c>
      <c r="AA21" s="10">
        <v>43221</v>
      </c>
      <c r="AE21">
        <v>5</v>
      </c>
      <c r="AF21" t="s">
        <v>70</v>
      </c>
      <c r="AH21" s="39">
        <f t="shared" si="4"/>
        <v>-4.5512593755715409</v>
      </c>
    </row>
    <row r="22" spans="1:36" x14ac:dyDescent="0.25">
      <c r="A22" s="1">
        <f t="shared" si="2"/>
        <v>43441</v>
      </c>
      <c r="B22" s="12">
        <f t="shared" si="3"/>
        <v>0.47271138238182803</v>
      </c>
      <c r="C22" s="14">
        <f t="shared" si="0"/>
        <v>0</v>
      </c>
      <c r="D22" s="12">
        <f t="shared" si="1"/>
        <v>0</v>
      </c>
      <c r="E22" s="25" t="e">
        <f>visualmagnitude($B$2,astrodaysfromdt(A22))</f>
        <v>#VALUE!</v>
      </c>
      <c r="F22" s="15" t="e">
        <f>apparentsize($B$2, astrodaysfromdt(A22))</f>
        <v>#VALUE!</v>
      </c>
      <c r="Q22" t="s">
        <v>42</v>
      </c>
      <c r="AE22">
        <v>10</v>
      </c>
      <c r="AF22" t="s">
        <v>71</v>
      </c>
      <c r="AH22" s="39">
        <f t="shared" si="4"/>
        <v>62.173635046662675</v>
      </c>
      <c r="AI22">
        <v>0.98499999999999999</v>
      </c>
      <c r="AJ22">
        <f>AI22/AH22</f>
        <v>1.5842728179890655E-2</v>
      </c>
    </row>
    <row r="23" spans="1:36" x14ac:dyDescent="0.25">
      <c r="A23" s="1">
        <f t="shared" si="2"/>
        <v>43461</v>
      </c>
      <c r="B23" s="12">
        <f t="shared" si="3"/>
        <v>0.43079811476351931</v>
      </c>
      <c r="C23" s="14">
        <f t="shared" si="0"/>
        <v>11.554871147667189</v>
      </c>
      <c r="D23" s="12">
        <f t="shared" si="1"/>
        <v>0.3420592518219126</v>
      </c>
      <c r="E23" s="25" t="e">
        <f>visualmagnitude($B$2,astrodaysfromdt(A23))</f>
        <v>#VALUE!</v>
      </c>
      <c r="F23" s="15" t="e">
        <f>apparentsize($B$2, astrodaysfromdt(A23))</f>
        <v>#VALUE!</v>
      </c>
      <c r="X23" t="s">
        <v>57</v>
      </c>
      <c r="Y23">
        <v>1</v>
      </c>
      <c r="AE23">
        <v>1</v>
      </c>
      <c r="AF23" t="s">
        <v>72</v>
      </c>
      <c r="AH23" s="39">
        <f t="shared" si="4"/>
        <v>48.715299890576588</v>
      </c>
    </row>
    <row r="24" spans="1:36" x14ac:dyDescent="0.25">
      <c r="A24" s="1">
        <f t="shared" si="2"/>
        <v>43481</v>
      </c>
      <c r="B24" s="12">
        <f t="shared" si="3"/>
        <v>0.38813351683811348</v>
      </c>
      <c r="C24" s="14">
        <f t="shared" si="0"/>
        <v>14.431769260744487</v>
      </c>
      <c r="D24" s="12">
        <f t="shared" si="1"/>
        <v>0.33683962170800164</v>
      </c>
      <c r="E24" s="25" t="e">
        <f>visualmagnitude($B$2,astrodaysfromdt(A24))</f>
        <v>#VALUE!</v>
      </c>
      <c r="F24" s="15" t="e">
        <f>apparentsize($B$2, astrodaysfromdt(A24))</f>
        <v>#VALUE!</v>
      </c>
      <c r="Q24" t="s">
        <v>52</v>
      </c>
      <c r="X24" s="10">
        <v>44140</v>
      </c>
      <c r="Y24" s="46">
        <f>vbriseset(Y$23,X24,lati, longi, 1, -0.833, pres, temp,0)/24</f>
        <v>0.78202975619671011</v>
      </c>
      <c r="AB24" s="45">
        <f>X24</f>
        <v>44140</v>
      </c>
      <c r="AE24">
        <v>2</v>
      </c>
      <c r="AF24" t="s">
        <v>73</v>
      </c>
      <c r="AH24" s="39">
        <f t="shared" si="4"/>
        <v>38.315018770224697</v>
      </c>
      <c r="AJ24" s="42"/>
    </row>
    <row r="25" spans="1:36" x14ac:dyDescent="0.25">
      <c r="A25" s="1">
        <f t="shared" si="2"/>
        <v>43501</v>
      </c>
      <c r="B25" s="12">
        <f t="shared" si="3"/>
        <v>0.3440811706004368</v>
      </c>
      <c r="C25" s="14">
        <f t="shared" si="0"/>
        <v>15.394749445785115</v>
      </c>
      <c r="D25" s="12">
        <f t="shared" si="1"/>
        <v>0.31838816327737424</v>
      </c>
      <c r="E25" s="25" t="e">
        <f>visualmagnitude($B$2,astrodaysfromdt(A25))</f>
        <v>#VALUE!</v>
      </c>
      <c r="F25" s="15" t="e">
        <f>apparentsize($B$2, astrodaysfromdt(A25))</f>
        <v>#VALUE!</v>
      </c>
      <c r="Q25" t="s">
        <v>43</v>
      </c>
      <c r="X25" s="10">
        <f>X24+1</f>
        <v>44141</v>
      </c>
      <c r="Y25" s="46">
        <f>vbriseset(Y$23,X25,lati, longi, 1, -0.833, pres, temp,0)/24</f>
        <v>0.81892778899762853</v>
      </c>
      <c r="AE25">
        <v>3</v>
      </c>
      <c r="AF25" t="s">
        <v>74</v>
      </c>
      <c r="AH25" s="39">
        <f t="shared" si="4"/>
        <v>-4.9335370804442844</v>
      </c>
    </row>
    <row r="26" spans="1:36" x14ac:dyDescent="0.25">
      <c r="A26" s="1">
        <f t="shared" si="2"/>
        <v>43521</v>
      </c>
      <c r="B26" s="12">
        <f t="shared" si="3"/>
        <v>0.29795959158421659</v>
      </c>
      <c r="C26" s="14">
        <f t="shared" si="0"/>
        <v>15.602488827004972</v>
      </c>
      <c r="D26" s="12">
        <f t="shared" si="1"/>
        <v>0.29153211161308346</v>
      </c>
      <c r="E26" s="25" t="e">
        <f>visualmagnitude($B$2,astrodaysfromdt(A26))</f>
        <v>#VALUE!</v>
      </c>
      <c r="F26" s="15" t="e">
        <f>apparentsize($B$2, astrodaysfromdt(A26))</f>
        <v>#VALUE!</v>
      </c>
      <c r="Q26" t="s">
        <v>44</v>
      </c>
      <c r="X26" s="10">
        <f>X25+1</f>
        <v>44142</v>
      </c>
      <c r="Y26" s="46">
        <f>vbriseset(Y$23,X26,lati, longi, 1, -0.833, pres, temp,0)/24</f>
        <v>0.86284950851368203</v>
      </c>
      <c r="AF26" t="s">
        <v>77</v>
      </c>
      <c r="AH26" s="44">
        <f>vbplandist(pval, ddval)</f>
        <v>62.599252166472297</v>
      </c>
    </row>
    <row r="27" spans="1:36" x14ac:dyDescent="0.25">
      <c r="A27" s="1">
        <f t="shared" si="2"/>
        <v>43541</v>
      </c>
      <c r="B27" s="12">
        <f t="shared" si="3"/>
        <v>0.24907874064059757</v>
      </c>
      <c r="C27" s="14">
        <f t="shared" si="0"/>
        <v>15.528417347120163</v>
      </c>
      <c r="D27" s="12">
        <f t="shared" si="1"/>
        <v>0.24907874064059757</v>
      </c>
      <c r="E27" s="25" t="e">
        <f>visualmagnitude($B$2,astrodaysfromdt(A27))</f>
        <v>#VALUE!</v>
      </c>
      <c r="F27" s="15" t="e">
        <f>apparentsize($B$2, astrodaysfromdt(A27))</f>
        <v>#VALUE!</v>
      </c>
      <c r="X27" s="10">
        <f>X26+1</f>
        <v>44143</v>
      </c>
      <c r="Y27" s="46">
        <f>vbriseset(Y$23,X27,lati, longi, 1, -0.833, pres, temp,0)/24</f>
        <v>0.91206382950138154</v>
      </c>
      <c r="AH27" s="40"/>
    </row>
    <row r="28" spans="1:36" x14ac:dyDescent="0.25">
      <c r="A28" s="1">
        <f t="shared" si="2"/>
        <v>43561</v>
      </c>
      <c r="B28" s="12">
        <f t="shared" si="3"/>
        <v>0.19683456317594847</v>
      </c>
      <c r="C28" s="14">
        <f t="shared" si="0"/>
        <v>15.497135717548934</v>
      </c>
      <c r="D28" s="12">
        <f t="shared" si="1"/>
        <v>0.19683456317594847</v>
      </c>
      <c r="E28" s="25" t="e">
        <f>visualmagnitude($B$2,astrodaysfromdt(A28))</f>
        <v>#VALUE!</v>
      </c>
      <c r="F28" s="15" t="e">
        <f>apparentsize($B$2, astrodaysfromdt(A28))</f>
        <v>#VALUE!</v>
      </c>
      <c r="X28" s="10">
        <v>44146</v>
      </c>
      <c r="Y28" s="46">
        <f>vbriseset(Y$23,X28,lati, longi, 1, -0.833, pres, temp,0)/24</f>
        <v>7.1347685972413255E-2</v>
      </c>
      <c r="AF28" t="s">
        <v>120</v>
      </c>
      <c r="AH28" s="40">
        <f>(lst*360-AH16)</f>
        <v>30.587247984351784</v>
      </c>
      <c r="AI28">
        <f>(11+28/60+11.65/3600)*15</f>
        <v>172.04854166666667</v>
      </c>
    </row>
    <row r="29" spans="1:36" x14ac:dyDescent="0.25">
      <c r="A29" s="1">
        <f t="shared" si="2"/>
        <v>43581</v>
      </c>
      <c r="B29" s="12">
        <f t="shared" si="3"/>
        <v>0.14090372157222558</v>
      </c>
      <c r="C29" s="14">
        <f t="shared" si="0"/>
        <v>15.516541392585138</v>
      </c>
      <c r="D29" s="12">
        <f t="shared" si="1"/>
        <v>0.14090372157222558</v>
      </c>
      <c r="E29" s="25" t="e">
        <f>visualmagnitude($B$2,astrodaysfromdt(A29))</f>
        <v>#VALUE!</v>
      </c>
      <c r="F29" s="15" t="e">
        <f>apparentsize($B$2, astrodaysfromdt(A29))</f>
        <v>#VALUE!</v>
      </c>
      <c r="Q29" t="s">
        <v>45</v>
      </c>
      <c r="AH29" s="40"/>
      <c r="AI29">
        <f>AI28-360</f>
        <v>-187.95145833333333</v>
      </c>
    </row>
    <row r="30" spans="1:36" ht="16.5" customHeight="1" x14ac:dyDescent="0.3">
      <c r="A30" s="1">
        <f t="shared" si="2"/>
        <v>43601</v>
      </c>
      <c r="B30" s="12">
        <f t="shared" si="3"/>
        <v>8.1542328485974022E-2</v>
      </c>
      <c r="C30" s="14">
        <f t="shared" si="0"/>
        <v>15.587859258141094</v>
      </c>
      <c r="D30" s="12">
        <f t="shared" si="1"/>
        <v>8.1542328485974022E-2</v>
      </c>
      <c r="E30" s="25" t="e">
        <f>visualmagnitude($B$2,astrodaysfromdt(A30))</f>
        <v>#VALUE!</v>
      </c>
      <c r="F30" s="15" t="e">
        <f>apparentsize($B$2, astrodaysfromdt(A30))</f>
        <v>#VALUE!</v>
      </c>
      <c r="Q30" s="24" t="s">
        <v>46</v>
      </c>
      <c r="AI30">
        <f>AI29+AI16</f>
        <v>67.471708333333282</v>
      </c>
    </row>
    <row r="31" spans="1:36" x14ac:dyDescent="0.25">
      <c r="A31" s="1">
        <f t="shared" si="2"/>
        <v>43621</v>
      </c>
      <c r="B31" s="12">
        <f t="shared" si="3"/>
        <v>1.984562416762985E-2</v>
      </c>
      <c r="C31" s="14">
        <f t="shared" si="0"/>
        <v>15.718574951587852</v>
      </c>
      <c r="D31" s="12">
        <f t="shared" si="1"/>
        <v>1.984562416762985E-2</v>
      </c>
      <c r="E31" s="25" t="e">
        <f>visualmagnitude($B$2,astrodaysfromdt(A31))</f>
        <v>#VALUE!</v>
      </c>
      <c r="F31" s="15" t="e">
        <f>apparentsize($B$2, astrodaysfromdt(A31))</f>
        <v>#VALUE!</v>
      </c>
      <c r="Q31" t="s">
        <v>47</v>
      </c>
      <c r="AH31" s="40"/>
    </row>
    <row r="32" spans="1:36" ht="18.75" x14ac:dyDescent="0.3">
      <c r="A32" s="1">
        <f t="shared" si="2"/>
        <v>43641</v>
      </c>
      <c r="B32" s="12">
        <f t="shared" si="3"/>
        <v>0.95457357593555203</v>
      </c>
      <c r="C32" s="14">
        <f t="shared" si="0"/>
        <v>15.897868664446449</v>
      </c>
      <c r="D32" s="12">
        <f t="shared" si="1"/>
        <v>0.95457357593555203</v>
      </c>
      <c r="E32" s="25" t="e">
        <f>visualmagnitude($B$2,astrodaysfromdt(A32))</f>
        <v>#VALUE!</v>
      </c>
      <c r="F32" s="15" t="e">
        <f>apparentsize($B$2, astrodaysfromdt(A32))</f>
        <v>#VALUE!</v>
      </c>
      <c r="Q32" s="24" t="s">
        <v>48</v>
      </c>
      <c r="AJ32" s="40"/>
    </row>
    <row r="33" spans="1:17" x14ac:dyDescent="0.25">
      <c r="A33" s="1">
        <f t="shared" si="2"/>
        <v>43661</v>
      </c>
      <c r="B33" s="12">
        <f t="shared" si="3"/>
        <v>0.89402526260621851</v>
      </c>
      <c r="C33" s="14">
        <f t="shared" si="0"/>
        <v>16.043660977144079</v>
      </c>
      <c r="D33" s="12">
        <f t="shared" si="1"/>
        <v>0.89402526260621851</v>
      </c>
      <c r="E33" s="25" t="e">
        <f>visualmagnitude($B$2,astrodaysfromdt(A33))</f>
        <v>#VALUE!</v>
      </c>
      <c r="F33" s="15" t="e">
        <f>apparentsize($B$2, astrodaysfromdt(A33))</f>
        <v>#VALUE!</v>
      </c>
    </row>
    <row r="34" spans="1:17" x14ac:dyDescent="0.25">
      <c r="A34" s="1">
        <f t="shared" si="2"/>
        <v>43681</v>
      </c>
      <c r="B34" s="12">
        <f t="shared" si="3"/>
        <v>0.83651294702076617</v>
      </c>
      <c r="C34" s="14">
        <f t="shared" si="0"/>
        <v>16.090631259300377</v>
      </c>
      <c r="D34" s="12">
        <f t="shared" si="1"/>
        <v>0.83651294702076617</v>
      </c>
      <c r="E34" s="25" t="e">
        <f>visualmagnitude($B$2,astrodaysfromdt(A34))</f>
        <v>#VALUE!</v>
      </c>
      <c r="F34" s="15" t="e">
        <f>apparentsize($B$2, astrodaysfromdt(A34))</f>
        <v>#VALUE!</v>
      </c>
    </row>
    <row r="35" spans="1:17" x14ac:dyDescent="0.25">
      <c r="A35" s="1">
        <f t="shared" si="2"/>
        <v>43701</v>
      </c>
      <c r="B35" s="12">
        <f t="shared" si="3"/>
        <v>0.78262296609125481</v>
      </c>
      <c r="C35" s="14">
        <f t="shared" si="0"/>
        <v>15.808823903021246</v>
      </c>
      <c r="D35" s="12">
        <f t="shared" si="1"/>
        <v>0.7995055468032678</v>
      </c>
      <c r="E35" s="25" t="e">
        <f>visualmagnitude($B$2,astrodaysfromdt(A35))</f>
        <v>#VALUE!</v>
      </c>
      <c r="F35" s="15" t="e">
        <f>apparentsize($B$2, astrodaysfromdt(A35))</f>
        <v>#VALUE!</v>
      </c>
    </row>
    <row r="36" spans="1:17" x14ac:dyDescent="0.25">
      <c r="A36" s="1">
        <f t="shared" si="2"/>
        <v>43721</v>
      </c>
      <c r="B36" s="12">
        <f t="shared" si="3"/>
        <v>0.73227295469777387</v>
      </c>
      <c r="C36" s="14">
        <f t="shared" si="0"/>
        <v>14.930024753933878</v>
      </c>
      <c r="D36" s="12">
        <f t="shared" si="1"/>
        <v>0.76810791915566934</v>
      </c>
      <c r="E36" s="25" t="e">
        <f>visualmagnitude($B$2,astrodaysfromdt(A36))</f>
        <v>#VALUE!</v>
      </c>
      <c r="F36" s="15" t="e">
        <f>apparentsize($B$2, astrodaysfromdt(A36))</f>
        <v>#VALUE!</v>
      </c>
    </row>
    <row r="37" spans="1:17" x14ac:dyDescent="0.25">
      <c r="A37" s="1">
        <f t="shared" si="2"/>
        <v>43741</v>
      </c>
      <c r="B37" s="12">
        <f t="shared" si="3"/>
        <v>0.68501758991388007</v>
      </c>
      <c r="C37" s="14">
        <f t="shared" ref="C37:C68" si="5">vbisvisible(B$2,A37,$B$1,$C$1,$C$2,1,temp,pres)</f>
        <v>13.799285752779923</v>
      </c>
      <c r="D37" s="12">
        <f t="shared" ref="D37:D68" si="6">vbisvisible(B$2,A37,$B$1,$C$1,$C$2,2,temp,pres)</f>
        <v>0.73578052751050926</v>
      </c>
      <c r="E37" s="25" t="e">
        <f>visualmagnitude($B$2,astrodaysfromdt(A37))</f>
        <v>#VALUE!</v>
      </c>
      <c r="F37" s="15" t="e">
        <f>apparentsize($B$2, astrodaysfromdt(A37))</f>
        <v>#VALUE!</v>
      </c>
    </row>
    <row r="38" spans="1:17" x14ac:dyDescent="0.25">
      <c r="A38" s="1">
        <f t="shared" ref="A38:A69" si="7">DATE(YEAR(A37), IF(unt="m",intvl,0)+MONTH(A37), IF(unt="m", 0,intvl)+DAY(A37))</f>
        <v>43761</v>
      </c>
      <c r="B38" s="12">
        <f t="shared" si="3"/>
        <v>0.64027345062972774</v>
      </c>
      <c r="C38" s="14">
        <f t="shared" si="5"/>
        <v>12.447038674135181</v>
      </c>
      <c r="D38" s="12">
        <f t="shared" si="6"/>
        <v>0.70536186685329083</v>
      </c>
      <c r="E38" s="25" t="e">
        <f>visualmagnitude($B$2,astrodaysfromdt(A38))</f>
        <v>#VALUE!</v>
      </c>
      <c r="F38" s="15" t="e">
        <f>apparentsize($B$2, astrodaysfromdt(A38))</f>
        <v>#VALUE!</v>
      </c>
    </row>
    <row r="39" spans="1:17" x14ac:dyDescent="0.25">
      <c r="A39" s="1">
        <f t="shared" si="7"/>
        <v>43781</v>
      </c>
      <c r="B39" s="12">
        <f t="shared" si="3"/>
        <v>0.59742965008699844</v>
      </c>
      <c r="C39" s="14">
        <f t="shared" si="5"/>
        <v>10.578314172634453</v>
      </c>
      <c r="D39" s="12">
        <f t="shared" si="6"/>
        <v>0.68026130804967255</v>
      </c>
      <c r="E39" s="25" t="e">
        <f>visualmagnitude($B$2,astrodaysfromdt(A39))</f>
        <v>#VALUE!</v>
      </c>
      <c r="F39" s="15" t="e">
        <f>apparentsize($B$2, astrodaysfromdt(A39))</f>
        <v>#VALUE!</v>
      </c>
      <c r="P39" s="14"/>
      <c r="Q39" s="12"/>
    </row>
    <row r="40" spans="1:17" x14ac:dyDescent="0.25">
      <c r="A40" s="1">
        <f t="shared" si="7"/>
        <v>43801</v>
      </c>
      <c r="B40" s="12">
        <f t="shared" si="3"/>
        <v>0.55588518570359902</v>
      </c>
      <c r="C40" s="14">
        <f t="shared" si="5"/>
        <v>7.4172608568611533</v>
      </c>
      <c r="D40" s="12">
        <f t="shared" si="6"/>
        <v>0.66502459490113852</v>
      </c>
      <c r="E40" s="25" t="e">
        <f>visualmagnitude($B$2,astrodaysfromdt(A40))</f>
        <v>#VALUE!</v>
      </c>
      <c r="F40" s="15" t="e">
        <f>apparentsize($B$2, astrodaysfromdt(A40))</f>
        <v>#VALUE!</v>
      </c>
    </row>
    <row r="41" spans="1:17" x14ac:dyDescent="0.25">
      <c r="A41" s="1">
        <f t="shared" si="7"/>
        <v>43821</v>
      </c>
      <c r="B41" s="12">
        <f t="shared" si="3"/>
        <v>0.51505406530842934</v>
      </c>
      <c r="C41" s="14">
        <f t="shared" si="5"/>
        <v>0</v>
      </c>
      <c r="D41" s="12">
        <f t="shared" si="6"/>
        <v>0</v>
      </c>
      <c r="E41" s="25" t="e">
        <f>visualmagnitude($B$2,astrodaysfromdt(A41))</f>
        <v>#VALUE!</v>
      </c>
      <c r="F41" s="15" t="e">
        <f>apparentsize($B$2, astrodaysfromdt(A41))</f>
        <v>#VALUE!</v>
      </c>
    </row>
    <row r="42" spans="1:17" x14ac:dyDescent="0.25">
      <c r="A42" s="1">
        <f t="shared" si="7"/>
        <v>43841</v>
      </c>
      <c r="B42" s="12">
        <f t="shared" si="3"/>
        <v>0.47436131337788479</v>
      </c>
      <c r="C42" s="14">
        <f t="shared" si="5"/>
        <v>0</v>
      </c>
      <c r="D42" s="12">
        <f t="shared" si="6"/>
        <v>0</v>
      </c>
      <c r="E42" s="25" t="e">
        <f>visualmagnitude($B$2,astrodaysfromdt(A42))</f>
        <v>#VALUE!</v>
      </c>
      <c r="F42" s="15" t="e">
        <f>apparentsize($B$2, astrodaysfromdt(A42))</f>
        <v>#VALUE!</v>
      </c>
    </row>
    <row r="43" spans="1:17" x14ac:dyDescent="0.25">
      <c r="A43" s="1">
        <f t="shared" si="7"/>
        <v>43861</v>
      </c>
      <c r="B43" s="12">
        <f t="shared" si="3"/>
        <v>0.43323803658798471</v>
      </c>
      <c r="C43" s="14">
        <f t="shared" si="5"/>
        <v>7.9774392933476834</v>
      </c>
      <c r="D43" s="12">
        <f t="shared" si="6"/>
        <v>0.32423573465353828</v>
      </c>
      <c r="E43" s="25" t="e">
        <f>visualmagnitude($B$2,astrodaysfromdt(A43))</f>
        <v>#VALUE!</v>
      </c>
      <c r="F43" s="15" t="e">
        <f>apparentsize($B$2, astrodaysfromdt(A43))</f>
        <v>#VALUE!</v>
      </c>
    </row>
    <row r="44" spans="1:17" x14ac:dyDescent="0.25">
      <c r="A44" s="1">
        <f t="shared" si="7"/>
        <v>43881</v>
      </c>
      <c r="B44" s="12">
        <f t="shared" si="3"/>
        <v>0.39111578673065045</v>
      </c>
      <c r="C44" s="14">
        <f t="shared" si="5"/>
        <v>10.47261434833589</v>
      </c>
      <c r="D44" s="12">
        <f t="shared" si="6"/>
        <v>0.29912416546157256</v>
      </c>
      <c r="E44" s="25" t="e">
        <f>visualmagnitude($B$2,astrodaysfromdt(A44))</f>
        <v>#VALUE!</v>
      </c>
      <c r="F44" s="15" t="e">
        <f>apparentsize($B$2, astrodaysfromdt(A44))</f>
        <v>#VALUE!</v>
      </c>
    </row>
    <row r="45" spans="1:17" x14ac:dyDescent="0.25">
      <c r="A45" s="1">
        <f t="shared" si="7"/>
        <v>43901</v>
      </c>
      <c r="B45" s="12">
        <f t="shared" si="3"/>
        <v>0.34741916795253092</v>
      </c>
      <c r="C45" s="14">
        <f t="shared" si="5"/>
        <v>12.37543803263948</v>
      </c>
      <c r="D45" s="12">
        <f t="shared" si="6"/>
        <v>0.26884867337704249</v>
      </c>
      <c r="E45" s="25" t="e">
        <f>visualmagnitude($B$2,astrodaysfromdt(A45))</f>
        <v>#VALUE!</v>
      </c>
      <c r="F45" s="15" t="e">
        <f>apparentsize($B$2, astrodaysfromdt(A45))</f>
        <v>#VALUE!</v>
      </c>
    </row>
    <row r="46" spans="1:17" x14ac:dyDescent="0.25">
      <c r="A46" s="1">
        <f t="shared" si="7"/>
        <v>43921</v>
      </c>
      <c r="B46" s="12">
        <f t="shared" si="3"/>
        <v>0.30156021862145216</v>
      </c>
      <c r="C46" s="14">
        <f t="shared" si="5"/>
        <v>14.092304859591728</v>
      </c>
      <c r="D46" s="12">
        <f t="shared" si="6"/>
        <v>0.2368420961493661</v>
      </c>
      <c r="E46" s="25" t="e">
        <f>visualmagnitude($B$2,astrodaysfromdt(A46))</f>
        <v>#VALUE!</v>
      </c>
      <c r="F46" s="15" t="e">
        <f>apparentsize($B$2, astrodaysfromdt(A46))</f>
        <v>#VALUE!</v>
      </c>
    </row>
    <row r="47" spans="1:17" x14ac:dyDescent="0.25">
      <c r="A47" s="1">
        <f t="shared" si="7"/>
        <v>43941</v>
      </c>
      <c r="B47" s="12">
        <f t="shared" si="3"/>
        <v>0.25294964552884253</v>
      </c>
      <c r="C47" s="14">
        <f t="shared" si="5"/>
        <v>15.726845453339575</v>
      </c>
      <c r="D47" s="12">
        <f t="shared" si="6"/>
        <v>0.20602175403746872</v>
      </c>
      <c r="E47" s="25" t="e">
        <f>visualmagnitude($B$2,astrodaysfromdt(A47))</f>
        <v>#VALUE!</v>
      </c>
      <c r="F47" s="15" t="e">
        <f>apparentsize($B$2, astrodaysfromdt(A47))</f>
        <v>#VALUE!</v>
      </c>
    </row>
    <row r="48" spans="1:17" x14ac:dyDescent="0.25">
      <c r="A48" s="1">
        <f t="shared" si="7"/>
        <v>43961</v>
      </c>
      <c r="B48" s="12">
        <f t="shared" si="3"/>
        <v>0.20105736298524693</v>
      </c>
      <c r="C48" s="14">
        <f t="shared" si="5"/>
        <v>17.031862739478214</v>
      </c>
      <c r="D48" s="12">
        <f t="shared" si="6"/>
        <v>0.17961352717910786</v>
      </c>
      <c r="E48" s="25" t="e">
        <f>visualmagnitude($B$2,astrodaysfromdt(A48))</f>
        <v>#VALUE!</v>
      </c>
      <c r="F48" s="15" t="e">
        <f>apparentsize($B$2, astrodaysfromdt(A48))</f>
        <v>#VALUE!</v>
      </c>
    </row>
    <row r="49" spans="1:6" x14ac:dyDescent="0.25">
      <c r="A49" s="1">
        <f t="shared" si="7"/>
        <v>43981</v>
      </c>
      <c r="B49" s="12">
        <f t="shared" si="3"/>
        <v>0.14556980605137351</v>
      </c>
      <c r="C49" s="14">
        <f t="shared" si="5"/>
        <v>17.233394093323962</v>
      </c>
      <c r="D49" s="12">
        <f t="shared" si="6"/>
        <v>0.14556980605137351</v>
      </c>
      <c r="E49" s="25" t="e">
        <f>visualmagnitude($B$2,astrodaysfromdt(A49))</f>
        <v>#VALUE!</v>
      </c>
      <c r="F49" s="15" t="e">
        <f>apparentsize($B$2, astrodaysfromdt(A49))</f>
        <v>#VALUE!</v>
      </c>
    </row>
    <row r="50" spans="1:6" x14ac:dyDescent="0.25">
      <c r="A50" s="1">
        <f t="shared" si="7"/>
        <v>44001</v>
      </c>
      <c r="B50" s="12">
        <f t="shared" si="3"/>
        <v>8.6667088028815356E-2</v>
      </c>
      <c r="C50" s="14">
        <f t="shared" si="5"/>
        <v>16.899368457799184</v>
      </c>
      <c r="D50" s="12">
        <f t="shared" si="6"/>
        <v>8.6667088028815356E-2</v>
      </c>
      <c r="E50" s="25" t="e">
        <f>visualmagnitude($B$2,astrodaysfromdt(A50))</f>
        <v>#VALUE!</v>
      </c>
      <c r="F50" s="15" t="e">
        <f>apparentsize($B$2, astrodaysfromdt(A50))</f>
        <v>#VALUE!</v>
      </c>
    </row>
    <row r="51" spans="1:6" x14ac:dyDescent="0.25">
      <c r="A51" s="1">
        <f t="shared" si="7"/>
        <v>44021</v>
      </c>
      <c r="B51" s="12">
        <f t="shared" si="3"/>
        <v>2.5314933007474141E-2</v>
      </c>
      <c r="C51" s="14">
        <f t="shared" si="5"/>
        <v>16.440065516403838</v>
      </c>
      <c r="D51" s="12">
        <f t="shared" si="6"/>
        <v>2.5314933007474141E-2</v>
      </c>
      <c r="E51" s="25" t="e">
        <f>visualmagnitude($B$2,astrodaysfromdt(A51))</f>
        <v>#VALUE!</v>
      </c>
      <c r="F51" s="15" t="e">
        <f>apparentsize($B$2, astrodaysfromdt(A51))</f>
        <v>#VALUE!</v>
      </c>
    </row>
    <row r="52" spans="1:6" x14ac:dyDescent="0.25">
      <c r="A52" s="1">
        <f t="shared" si="7"/>
        <v>44041</v>
      </c>
      <c r="B52" s="12">
        <f t="shared" si="3"/>
        <v>0.96019060617888596</v>
      </c>
      <c r="C52" s="14">
        <f t="shared" si="5"/>
        <v>15.970630282074403</v>
      </c>
      <c r="D52" s="12">
        <f t="shared" si="6"/>
        <v>0.96019060617888596</v>
      </c>
      <c r="E52" s="25" t="e">
        <f>visualmagnitude($B$2,astrodaysfromdt(A52))</f>
        <v>#VALUE!</v>
      </c>
      <c r="F52" s="15" t="e">
        <f>apparentsize($B$2, astrodaysfromdt(A52))</f>
        <v>#VALUE!</v>
      </c>
    </row>
    <row r="53" spans="1:6" x14ac:dyDescent="0.25">
      <c r="A53" s="1">
        <f t="shared" si="7"/>
        <v>44061</v>
      </c>
      <c r="B53" s="12">
        <f t="shared" si="3"/>
        <v>0.89962283120078845</v>
      </c>
      <c r="C53" s="14">
        <f t="shared" si="5"/>
        <v>15.647862931465312</v>
      </c>
      <c r="D53" s="12">
        <f t="shared" si="6"/>
        <v>0.89962283120078845</v>
      </c>
      <c r="E53" s="25" t="e">
        <f>visualmagnitude($B$2,astrodaysfromdt(A53))</f>
        <v>#VALUE!</v>
      </c>
      <c r="F53" s="15" t="e">
        <f>apparentsize($B$2, astrodaysfromdt(A53))</f>
        <v>#VALUE!</v>
      </c>
    </row>
    <row r="54" spans="1:6" x14ac:dyDescent="0.25">
      <c r="A54" s="1">
        <f t="shared" si="7"/>
        <v>44081</v>
      </c>
      <c r="B54" s="12">
        <f t="shared" si="3"/>
        <v>0.84206124108208158</v>
      </c>
      <c r="C54" s="14">
        <f t="shared" si="5"/>
        <v>15.492959568087397</v>
      </c>
      <c r="D54" s="12">
        <f t="shared" si="6"/>
        <v>0.84206124108208158</v>
      </c>
      <c r="E54" s="25" t="e">
        <f>visualmagnitude($B$2,astrodaysfromdt(A54))</f>
        <v>#VALUE!</v>
      </c>
      <c r="F54" s="15" t="e">
        <f>apparentsize($B$2, astrodaysfromdt(A54))</f>
        <v>#VALUE!</v>
      </c>
    </row>
    <row r="55" spans="1:6" x14ac:dyDescent="0.25">
      <c r="A55" s="1">
        <f t="shared" si="7"/>
        <v>44101</v>
      </c>
      <c r="B55" s="12">
        <f t="shared" si="3"/>
        <v>0.78818813134425936</v>
      </c>
      <c r="C55" s="14">
        <f t="shared" si="5"/>
        <v>15.510997836268155</v>
      </c>
      <c r="D55" s="12">
        <f t="shared" si="6"/>
        <v>0.78818813134425936</v>
      </c>
      <c r="E55" s="25" t="e">
        <f>visualmagnitude($B$2,astrodaysfromdt(A55))</f>
        <v>#VALUE!</v>
      </c>
      <c r="F55" s="15" t="e">
        <f>apparentsize($B$2, astrodaysfromdt(A55))</f>
        <v>#VALUE!</v>
      </c>
    </row>
    <row r="56" spans="1:6" x14ac:dyDescent="0.25">
      <c r="A56" s="1">
        <f t="shared" si="7"/>
        <v>44121</v>
      </c>
      <c r="B56" s="12">
        <f t="shared" si="3"/>
        <v>0.73793116104538903</v>
      </c>
      <c r="C56" s="14">
        <f t="shared" si="5"/>
        <v>15.701447378696738</v>
      </c>
      <c r="D56" s="12">
        <f t="shared" si="6"/>
        <v>0.73793116104538903</v>
      </c>
      <c r="E56" s="25" t="e">
        <f>visualmagnitude($B$2,astrodaysfromdt(A56))</f>
        <v>#VALUE!</v>
      </c>
      <c r="F56" s="15" t="e">
        <f>apparentsize($B$2, astrodaysfromdt(A56))</f>
        <v>#VALUE!</v>
      </c>
    </row>
    <row r="57" spans="1:6" x14ac:dyDescent="0.25">
      <c r="A57" s="1">
        <f t="shared" si="7"/>
        <v>44141</v>
      </c>
      <c r="B57" s="12">
        <f t="shared" si="3"/>
        <v>0.69078301415085253</v>
      </c>
      <c r="C57" s="14">
        <f t="shared" si="5"/>
        <v>16.07226573801708</v>
      </c>
      <c r="D57" s="12">
        <f t="shared" si="6"/>
        <v>0.69078301415085253</v>
      </c>
      <c r="E57" s="25" t="e">
        <f>visualmagnitude($B$2,astrodaysfromdt(A57))</f>
        <v>#VALUE!</v>
      </c>
      <c r="F57" s="15" t="e">
        <f>apparentsize($B$2, astrodaysfromdt(A57))</f>
        <v>#VALUE!</v>
      </c>
    </row>
    <row r="58" spans="1:6" x14ac:dyDescent="0.25">
      <c r="A58" s="1">
        <f t="shared" si="7"/>
        <v>44161</v>
      </c>
      <c r="B58" s="12">
        <f t="shared" si="3"/>
        <v>0.6460673162488334</v>
      </c>
      <c r="C58" s="14">
        <f t="shared" si="5"/>
        <v>16.317614650077498</v>
      </c>
      <c r="D58" s="12">
        <f t="shared" si="6"/>
        <v>0.66777685218215355</v>
      </c>
      <c r="E58" s="25" t="e">
        <f>visualmagnitude($B$2,astrodaysfromdt(A58))</f>
        <v>#VALUE!</v>
      </c>
      <c r="F58" s="15" t="e">
        <f>apparentsize($B$2, astrodaysfromdt(A58))</f>
        <v>#VALUE!</v>
      </c>
    </row>
    <row r="59" spans="1:6" x14ac:dyDescent="0.25">
      <c r="A59" s="1">
        <f t="shared" si="7"/>
        <v>44181</v>
      </c>
      <c r="B59" s="12">
        <f t="shared" si="3"/>
        <v>0.60308723956533927</v>
      </c>
      <c r="C59" s="14">
        <f t="shared" si="5"/>
        <v>14.996312872607042</v>
      </c>
      <c r="D59" s="12">
        <f t="shared" si="6"/>
        <v>0.66289844689094002</v>
      </c>
      <c r="E59" s="25" t="e">
        <f>visualmagnitude($B$2,astrodaysfromdt(A59))</f>
        <v>#VALUE!</v>
      </c>
      <c r="F59" s="15" t="e">
        <f>apparentsize($B$2, astrodaysfromdt(A59))</f>
        <v>#VALUE!</v>
      </c>
    </row>
    <row r="60" spans="1:6" x14ac:dyDescent="0.25">
      <c r="A60" s="1">
        <f t="shared" si="7"/>
        <v>44201</v>
      </c>
      <c r="B60" s="12">
        <f t="shared" si="3"/>
        <v>0.56118933175737362</v>
      </c>
      <c r="C60" s="14">
        <f t="shared" si="5"/>
        <v>10.168611110804129</v>
      </c>
      <c r="D60" s="12">
        <f t="shared" si="6"/>
        <v>0.67344102151062668</v>
      </c>
      <c r="E60" s="25" t="e">
        <f>visualmagnitude($B$2,astrodaysfromdt(A60))</f>
        <v>#VALUE!</v>
      </c>
      <c r="F60" s="15" t="e">
        <f>apparentsize($B$2, astrodaysfromdt(A60))</f>
        <v>#VALUE!</v>
      </c>
    </row>
    <row r="61" spans="1:6" x14ac:dyDescent="0.25">
      <c r="A61" s="1">
        <f t="shared" si="7"/>
        <v>44221</v>
      </c>
      <c r="B61" s="12">
        <f t="shared" si="3"/>
        <v>0.51978284237820593</v>
      </c>
      <c r="C61" s="14">
        <f t="shared" si="5"/>
        <v>0</v>
      </c>
      <c r="D61" s="12">
        <f t="shared" si="6"/>
        <v>0</v>
      </c>
      <c r="E61" s="25" t="e">
        <f>visualmagnitude($B$2,astrodaysfromdt(A61))</f>
        <v>#VALUE!</v>
      </c>
      <c r="F61" s="15" t="e">
        <f>apparentsize($B$2, astrodaysfromdt(A61))</f>
        <v>#VALUE!</v>
      </c>
    </row>
    <row r="62" spans="1:6" x14ac:dyDescent="0.25">
      <c r="A62" s="1">
        <f t="shared" si="7"/>
        <v>44241</v>
      </c>
      <c r="B62" s="12">
        <f t="shared" si="3"/>
        <v>0.47833757285669726</v>
      </c>
      <c r="C62" s="14">
        <f t="shared" si="5"/>
        <v>0</v>
      </c>
      <c r="D62" s="12">
        <f t="shared" si="6"/>
        <v>0</v>
      </c>
      <c r="E62" s="25" t="e">
        <f>visualmagnitude($B$2,astrodaysfromdt(A62))</f>
        <v>#VALUE!</v>
      </c>
      <c r="F62" s="15" t="e">
        <f>apparentsize($B$2, astrodaysfromdt(A62))</f>
        <v>#VALUE!</v>
      </c>
    </row>
    <row r="63" spans="1:6" x14ac:dyDescent="0.25">
      <c r="A63" s="1">
        <f t="shared" si="7"/>
        <v>44261</v>
      </c>
      <c r="B63" s="12">
        <f t="shared" si="3"/>
        <v>0.43636989245684532</v>
      </c>
      <c r="C63" s="14">
        <f t="shared" si="5"/>
        <v>5.8871562679110223</v>
      </c>
      <c r="D63" s="12">
        <f t="shared" si="6"/>
        <v>0.27707501043157839</v>
      </c>
      <c r="E63" s="25" t="e">
        <f>visualmagnitude($B$2,astrodaysfromdt(A63))</f>
        <v>#VALUE!</v>
      </c>
      <c r="F63" s="15" t="e">
        <f>apparentsize($B$2, astrodaysfromdt(A63))</f>
        <v>#VALUE!</v>
      </c>
    </row>
    <row r="64" spans="1:6" x14ac:dyDescent="0.25">
      <c r="A64" s="1">
        <f t="shared" si="7"/>
        <v>44281</v>
      </c>
      <c r="B64" s="12">
        <f t="shared" si="3"/>
        <v>0.39342083809880296</v>
      </c>
      <c r="C64" s="14">
        <f t="shared" si="5"/>
        <v>8.9325023348392119</v>
      </c>
      <c r="D64" s="12">
        <f t="shared" si="6"/>
        <v>0.24523420809827579</v>
      </c>
      <c r="E64" s="25" t="e">
        <f>visualmagnitude($B$2,astrodaysfromdt(A64))</f>
        <v>#VALUE!</v>
      </c>
      <c r="F64" s="15" t="e">
        <f>apparentsize($B$2, astrodaysfromdt(A64))</f>
        <v>#VALUE!</v>
      </c>
    </row>
    <row r="65" spans="1:6" x14ac:dyDescent="0.25">
      <c r="A65" s="1">
        <f t="shared" si="7"/>
        <v>44301</v>
      </c>
      <c r="B65" s="12">
        <f t="shared" si="3"/>
        <v>0.34903012676467432</v>
      </c>
      <c r="C65" s="14">
        <f t="shared" si="5"/>
        <v>12.160904038181732</v>
      </c>
      <c r="D65" s="12">
        <f t="shared" si="6"/>
        <v>0.21381799631140572</v>
      </c>
      <c r="E65" s="25" t="e">
        <f>visualmagnitude($B$2,astrodaysfromdt(A65))</f>
        <v>#VALUE!</v>
      </c>
      <c r="F65" s="15" t="e">
        <f>apparentsize($B$2, astrodaysfromdt(A65))</f>
        <v>#VALUE!</v>
      </c>
    </row>
    <row r="66" spans="1:6" x14ac:dyDescent="0.25">
      <c r="A66" s="1">
        <f t="shared" si="7"/>
        <v>44321</v>
      </c>
      <c r="B66" s="12">
        <f t="shared" si="3"/>
        <v>0.30271377465745453</v>
      </c>
      <c r="C66" s="14">
        <f t="shared" si="5"/>
        <v>15.956330695429315</v>
      </c>
      <c r="D66" s="12">
        <f t="shared" si="6"/>
        <v>0.18589614357646736</v>
      </c>
      <c r="E66" s="25" t="e">
        <f>visualmagnitude($B$2,astrodaysfromdt(A66))</f>
        <v>#VALUE!</v>
      </c>
      <c r="F66" s="15" t="e">
        <f>apparentsize($B$2, astrodaysfromdt(A66))</f>
        <v>#VALUE!</v>
      </c>
    </row>
    <row r="67" spans="1:6" x14ac:dyDescent="0.25">
      <c r="A67" s="1">
        <f t="shared" si="7"/>
        <v>44341</v>
      </c>
      <c r="B67" s="12">
        <f t="shared" si="3"/>
        <v>0.253961234646714</v>
      </c>
      <c r="C67" s="14">
        <f t="shared" si="5"/>
        <v>20.465483898103844</v>
      </c>
      <c r="D67" s="12">
        <f t="shared" si="6"/>
        <v>0.1653334321949175</v>
      </c>
      <c r="E67" s="25" t="e">
        <f>visualmagnitude($B$2,astrodaysfromdt(A67))</f>
        <v>#VALUE!</v>
      </c>
      <c r="F67" s="15" t="e">
        <f>apparentsize($B$2, astrodaysfromdt(A67))</f>
        <v>#VALUE!</v>
      </c>
    </row>
    <row r="68" spans="1:6" x14ac:dyDescent="0.25">
      <c r="A68" s="1">
        <f t="shared" si="7"/>
        <v>44361</v>
      </c>
      <c r="B68" s="12">
        <f t="shared" si="3"/>
        <v>0.2022820840738099</v>
      </c>
      <c r="C68" s="14">
        <f t="shared" si="5"/>
        <v>24.896194945099904</v>
      </c>
      <c r="D68" s="12">
        <f t="shared" si="6"/>
        <v>0.15654185961346348</v>
      </c>
      <c r="E68" s="25" t="e">
        <f>visualmagnitude($B$2,astrodaysfromdt(A68))</f>
        <v>#VALUE!</v>
      </c>
      <c r="F68" s="15" t="e">
        <f>apparentsize($B$2, astrodaysfromdt(A68))</f>
        <v>#VALUE!</v>
      </c>
    </row>
    <row r="69" spans="1:6" x14ac:dyDescent="0.25">
      <c r="A69" s="1">
        <f t="shared" si="7"/>
        <v>44381</v>
      </c>
      <c r="B69" s="12">
        <f t="shared" si="3"/>
        <v>0.14734620286465291</v>
      </c>
      <c r="C69" s="14">
        <f t="shared" ref="C69:C100" si="8">vbisvisible(B$2,A69,$B$1,$C$1,$C$2,1,temp,pres)</f>
        <v>26.335981135525135</v>
      </c>
      <c r="D69" s="12">
        <f t="shared" ref="D69:D100" si="9">vbisvisible(B$2,A69,$B$1,$C$1,$C$2,2,temp,pres)</f>
        <v>0.14734620286465291</v>
      </c>
      <c r="E69" s="25" t="e">
        <f>visualmagnitude($B$2,astrodaysfromdt(A69))</f>
        <v>#VALUE!</v>
      </c>
      <c r="F69" s="15" t="e">
        <f>apparentsize($B$2, astrodaysfromdt(A69))</f>
        <v>#VALUE!</v>
      </c>
    </row>
    <row r="70" spans="1:6" x14ac:dyDescent="0.25">
      <c r="A70" s="1">
        <f t="shared" ref="A70:A101" si="10">DATE(YEAR(A69), IF(unt="m",intvl,0)+MONTH(A69), IF(unt="m", 0,intvl)+DAY(A69))</f>
        <v>44401</v>
      </c>
      <c r="B70" s="12">
        <f t="shared" ref="B70:B133" si="11">vbTimeofTransit(B$2,$A70,$B$1, $C$1)/24</f>
        <v>8.9244037132963513E-2</v>
      </c>
      <c r="C70" s="14">
        <f t="shared" si="8"/>
        <v>25.777905764048747</v>
      </c>
      <c r="D70" s="12">
        <f t="shared" si="9"/>
        <v>8.9244037132963513E-2</v>
      </c>
      <c r="E70" s="25" t="e">
        <f>visualmagnitude($B$2,astrodaysfromdt(A70))</f>
        <v>#VALUE!</v>
      </c>
      <c r="F70" s="15" t="e">
        <f>apparentsize($B$2, astrodaysfromdt(A70))</f>
        <v>#VALUE!</v>
      </c>
    </row>
    <row r="71" spans="1:6" x14ac:dyDescent="0.25">
      <c r="A71" s="1">
        <f t="shared" si="10"/>
        <v>44421</v>
      </c>
      <c r="B71" s="12">
        <f t="shared" si="11"/>
        <v>2.8783134009592162E-2</v>
      </c>
      <c r="C71" s="14">
        <f t="shared" si="8"/>
        <v>24.942497656634657</v>
      </c>
      <c r="D71" s="12">
        <f t="shared" si="9"/>
        <v>2.8783134009592162E-2</v>
      </c>
      <c r="E71" s="25" t="e">
        <f>visualmagnitude($B$2,astrodaysfromdt(A71))</f>
        <v>#VALUE!</v>
      </c>
      <c r="F71" s="15" t="e">
        <f>apparentsize($B$2, astrodaysfromdt(A71))</f>
        <v>#VALUE!</v>
      </c>
    </row>
    <row r="72" spans="1:6" x14ac:dyDescent="0.25">
      <c r="A72" s="1">
        <f t="shared" si="10"/>
        <v>44441</v>
      </c>
      <c r="B72" s="12">
        <f t="shared" si="11"/>
        <v>0.96450185007072697</v>
      </c>
      <c r="C72" s="14">
        <f t="shared" si="8"/>
        <v>24.024939938905575</v>
      </c>
      <c r="D72" s="12">
        <f t="shared" si="9"/>
        <v>0.96450185007072697</v>
      </c>
      <c r="E72" s="25" t="e">
        <f>visualmagnitude($B$2,astrodaysfromdt(A72))</f>
        <v>#VALUE!</v>
      </c>
      <c r="F72" s="15" t="e">
        <f>apparentsize($B$2, astrodaysfromdt(A72))</f>
        <v>#VALUE!</v>
      </c>
    </row>
    <row r="73" spans="1:6" x14ac:dyDescent="0.25">
      <c r="A73" s="1">
        <f t="shared" si="10"/>
        <v>44461</v>
      </c>
      <c r="B73" s="12">
        <f t="shared" si="11"/>
        <v>0.90453069454570967</v>
      </c>
      <c r="C73" s="14">
        <f t="shared" si="8"/>
        <v>23.368410073428517</v>
      </c>
      <c r="D73" s="12">
        <f t="shared" si="9"/>
        <v>0.90453069454570967</v>
      </c>
      <c r="E73" s="25" t="e">
        <f>visualmagnitude($B$2,astrodaysfromdt(A73))</f>
        <v>#VALUE!</v>
      </c>
      <c r="F73" s="15" t="e">
        <f>apparentsize($B$2, astrodaysfromdt(A73))</f>
        <v>#VALUE!</v>
      </c>
    </row>
    <row r="74" spans="1:6" x14ac:dyDescent="0.25">
      <c r="A74" s="1">
        <f t="shared" si="10"/>
        <v>44481</v>
      </c>
      <c r="B74" s="12">
        <f t="shared" si="11"/>
        <v>0.84733409367944501</v>
      </c>
      <c r="C74" s="14">
        <f t="shared" si="8"/>
        <v>23.088760267368784</v>
      </c>
      <c r="D74" s="12">
        <f t="shared" si="9"/>
        <v>0.84733409367944501</v>
      </c>
      <c r="E74" s="25" t="e">
        <f>visualmagnitude($B$2,astrodaysfromdt(A74))</f>
        <v>#VALUE!</v>
      </c>
      <c r="F74" s="15" t="e">
        <f>apparentsize($B$2, astrodaysfromdt(A74))</f>
        <v>#VALUE!</v>
      </c>
    </row>
    <row r="75" spans="1:6" x14ac:dyDescent="0.25">
      <c r="A75" s="1">
        <f t="shared" si="10"/>
        <v>44501</v>
      </c>
      <c r="B75" s="12">
        <f t="shared" si="11"/>
        <v>0.79360281848738323</v>
      </c>
      <c r="C75" s="14">
        <f t="shared" si="8"/>
        <v>23.242018157340492</v>
      </c>
      <c r="D75" s="12">
        <f t="shared" si="9"/>
        <v>0.79360281848738323</v>
      </c>
      <c r="E75" s="25" t="e">
        <f>visualmagnitude($B$2,astrodaysfromdt(A75))</f>
        <v>#VALUE!</v>
      </c>
      <c r="F75" s="15" t="e">
        <f>apparentsize($B$2, astrodaysfromdt(A75))</f>
        <v>#VALUE!</v>
      </c>
    </row>
    <row r="76" spans="1:6" x14ac:dyDescent="0.25">
      <c r="A76" s="1">
        <f t="shared" si="10"/>
        <v>44521</v>
      </c>
      <c r="B76" s="12">
        <f t="shared" si="11"/>
        <v>0.74326781025021837</v>
      </c>
      <c r="C76" s="14">
        <f t="shared" si="8"/>
        <v>23.814182410133242</v>
      </c>
      <c r="D76" s="12">
        <f t="shared" si="9"/>
        <v>0.74326781025021837</v>
      </c>
      <c r="E76" s="25" t="e">
        <f>visualmagnitude($B$2,astrodaysfromdt(A76))</f>
        <v>#VALUE!</v>
      </c>
      <c r="F76" s="15" t="e">
        <f>apparentsize($B$2, astrodaysfromdt(A76))</f>
        <v>#VALUE!</v>
      </c>
    </row>
    <row r="77" spans="1:6" x14ac:dyDescent="0.25">
      <c r="A77" s="1">
        <f t="shared" si="10"/>
        <v>44541</v>
      </c>
      <c r="B77" s="12">
        <f t="shared" si="11"/>
        <v>0.69581620700744018</v>
      </c>
      <c r="C77" s="14">
        <f t="shared" si="8"/>
        <v>24.759566545555263</v>
      </c>
      <c r="D77" s="12">
        <f t="shared" si="9"/>
        <v>0.69581620700744018</v>
      </c>
      <c r="E77" s="25" t="e">
        <f>visualmagnitude($B$2,astrodaysfromdt(A77))</f>
        <v>#VALUE!</v>
      </c>
      <c r="F77" s="15" t="e">
        <f>apparentsize($B$2, astrodaysfromdt(A77))</f>
        <v>#VALUE!</v>
      </c>
    </row>
    <row r="78" spans="1:6" x14ac:dyDescent="0.25">
      <c r="A78" s="1">
        <f t="shared" si="10"/>
        <v>44561</v>
      </c>
      <c r="B78" s="12">
        <f t="shared" si="11"/>
        <v>0.65057511271833157</v>
      </c>
      <c r="C78" s="14">
        <f t="shared" si="8"/>
        <v>25.754700786894528</v>
      </c>
      <c r="D78" s="12">
        <f t="shared" si="9"/>
        <v>0.66932542042672571</v>
      </c>
      <c r="E78" s="25" t="e">
        <f>visualmagnitude($B$2,astrodaysfromdt(A78))</f>
        <v>#VALUE!</v>
      </c>
      <c r="F78" s="15" t="e">
        <f>apparentsize($B$2, astrodaysfromdt(A78))</f>
        <v>#VALUE!</v>
      </c>
    </row>
    <row r="79" spans="1:6" x14ac:dyDescent="0.25">
      <c r="A79" s="1">
        <f t="shared" si="10"/>
        <v>44581</v>
      </c>
      <c r="B79" s="12">
        <f t="shared" si="11"/>
        <v>0.60687564658199389</v>
      </c>
      <c r="C79" s="14">
        <f t="shared" si="8"/>
        <v>22.564877063460351</v>
      </c>
      <c r="D79" s="12">
        <f t="shared" si="9"/>
        <v>0.68871229397793898</v>
      </c>
      <c r="E79" s="25" t="e">
        <f>visualmagnitude($B$2,astrodaysfromdt(A79))</f>
        <v>#VALUE!</v>
      </c>
      <c r="F79" s="15" t="e">
        <f>apparentsize($B$2, astrodaysfromdt(A79))</f>
        <v>#VALUE!</v>
      </c>
    </row>
    <row r="80" spans="1:6" x14ac:dyDescent="0.25">
      <c r="A80" s="1">
        <f t="shared" si="10"/>
        <v>44601</v>
      </c>
      <c r="B80" s="12">
        <f t="shared" si="11"/>
        <v>0.56412037261382797</v>
      </c>
      <c r="C80" s="14">
        <f t="shared" si="8"/>
        <v>13.762360331730434</v>
      </c>
      <c r="D80" s="12">
        <f t="shared" si="9"/>
        <v>0.7137707576698733</v>
      </c>
      <c r="E80" s="25" t="e">
        <f>visualmagnitude($B$2,astrodaysfromdt(A80))</f>
        <v>#VALUE!</v>
      </c>
      <c r="F80" s="15" t="e">
        <f>apparentsize($B$2, astrodaysfromdt(A80))</f>
        <v>#VALUE!</v>
      </c>
    </row>
    <row r="81" spans="1:6" x14ac:dyDescent="0.25">
      <c r="A81" s="1">
        <f t="shared" si="10"/>
        <v>44621</v>
      </c>
      <c r="B81" s="12">
        <f t="shared" si="11"/>
        <v>0.52179539353717053</v>
      </c>
      <c r="C81" s="14">
        <f t="shared" si="8"/>
        <v>0</v>
      </c>
      <c r="D81" s="12">
        <f t="shared" si="9"/>
        <v>0</v>
      </c>
      <c r="E81" s="25" t="e">
        <f>visualmagnitude($B$2,astrodaysfromdt(A81))</f>
        <v>#VALUE!</v>
      </c>
      <c r="F81" s="15" t="e">
        <f>apparentsize($B$2, astrodaysfromdt(A81))</f>
        <v>#VALUE!</v>
      </c>
    </row>
    <row r="82" spans="1:6" x14ac:dyDescent="0.25">
      <c r="A82" s="1">
        <f t="shared" si="10"/>
        <v>44641</v>
      </c>
      <c r="B82" s="12">
        <f t="shared" si="11"/>
        <v>0.47945500195669855</v>
      </c>
      <c r="C82" s="14">
        <f t="shared" si="8"/>
        <v>0</v>
      </c>
      <c r="D82" s="12">
        <f t="shared" si="9"/>
        <v>0</v>
      </c>
      <c r="E82" s="25" t="e">
        <f>visualmagnitude($B$2,astrodaysfromdt(A82))</f>
        <v>#VALUE!</v>
      </c>
      <c r="F82" s="15" t="e">
        <f>apparentsize($B$2, astrodaysfromdt(A82))</f>
        <v>#VALUE!</v>
      </c>
    </row>
    <row r="83" spans="1:6" x14ac:dyDescent="0.25">
      <c r="A83" s="1">
        <f t="shared" si="10"/>
        <v>44661</v>
      </c>
      <c r="B83" s="12">
        <f t="shared" si="11"/>
        <v>0.43669362708349063</v>
      </c>
      <c r="C83" s="14">
        <f t="shared" si="8"/>
        <v>0</v>
      </c>
      <c r="D83" s="12">
        <f t="shared" si="9"/>
        <v>0</v>
      </c>
      <c r="E83" s="25" t="e">
        <f>visualmagnitude($B$2,astrodaysfromdt(A83))</f>
        <v>#VALUE!</v>
      </c>
      <c r="F83" s="15" t="e">
        <f>apparentsize($B$2, astrodaysfromdt(A83))</f>
        <v>#VALUE!</v>
      </c>
    </row>
    <row r="84" spans="1:6" x14ac:dyDescent="0.25">
      <c r="A84" s="1">
        <f t="shared" si="10"/>
        <v>44681</v>
      </c>
      <c r="B84" s="12">
        <f t="shared" si="11"/>
        <v>0.39311247315897097</v>
      </c>
      <c r="C84" s="14">
        <f t="shared" si="8"/>
        <v>9.4439640039152444</v>
      </c>
      <c r="D84" s="12">
        <f t="shared" si="9"/>
        <v>0.19267910977207914</v>
      </c>
      <c r="E84" s="25" t="e">
        <f>visualmagnitude($B$2,astrodaysfromdt(A84))</f>
        <v>#VALUE!</v>
      </c>
      <c r="F84" s="15" t="e">
        <f>apparentsize($B$2, astrodaysfromdt(A84))</f>
        <v>#VALUE!</v>
      </c>
    </row>
    <row r="85" spans="1:6" x14ac:dyDescent="0.25">
      <c r="A85" s="1">
        <f t="shared" si="10"/>
        <v>44701</v>
      </c>
      <c r="B85" s="12">
        <f t="shared" si="11"/>
        <v>0.34828603535700564</v>
      </c>
      <c r="C85" s="14">
        <f t="shared" si="8"/>
        <v>15.235589608028359</v>
      </c>
      <c r="D85" s="12">
        <f t="shared" si="9"/>
        <v>0.16976007197619128</v>
      </c>
      <c r="E85" s="25" t="e">
        <f>visualmagnitude($B$2,astrodaysfromdt(A85))</f>
        <v>#VALUE!</v>
      </c>
      <c r="F85" s="15" t="e">
        <f>apparentsize($B$2, astrodaysfromdt(A85))</f>
        <v>#VALUE!</v>
      </c>
    </row>
    <row r="86" spans="1:6" x14ac:dyDescent="0.25">
      <c r="A86" s="1">
        <f t="shared" si="10"/>
        <v>44721</v>
      </c>
      <c r="B86" s="12">
        <f t="shared" si="11"/>
        <v>0.30173563550401211</v>
      </c>
      <c r="C86" s="14">
        <f t="shared" si="8"/>
        <v>23.059392013735021</v>
      </c>
      <c r="D86" s="12">
        <f t="shared" si="9"/>
        <v>0.15750361555954892</v>
      </c>
      <c r="E86" s="25" t="e">
        <f>visualmagnitude($B$2,astrodaysfromdt(A86))</f>
        <v>#VALUE!</v>
      </c>
      <c r="F86" s="15" t="e">
        <f>apparentsize($B$2, astrodaysfromdt(A86))</f>
        <v>#VALUE!</v>
      </c>
    </row>
    <row r="87" spans="1:6" x14ac:dyDescent="0.25">
      <c r="A87" s="1">
        <f t="shared" si="10"/>
        <v>44741</v>
      </c>
      <c r="B87" s="12">
        <f t="shared" si="11"/>
        <v>0.2529250587698626</v>
      </c>
      <c r="C87" s="14">
        <f t="shared" si="8"/>
        <v>32.370076897562988</v>
      </c>
      <c r="D87" s="12">
        <f t="shared" si="9"/>
        <v>0.15911965144063642</v>
      </c>
      <c r="E87" s="25" t="e">
        <f>visualmagnitude($B$2,astrodaysfromdt(A87))</f>
        <v>#VALUE!</v>
      </c>
      <c r="F87" s="15" t="e">
        <f>apparentsize($B$2, astrodaysfromdt(A87))</f>
        <v>#VALUE!</v>
      </c>
    </row>
    <row r="88" spans="1:6" x14ac:dyDescent="0.25">
      <c r="A88" s="1">
        <f t="shared" si="10"/>
        <v>44761</v>
      </c>
      <c r="B88" s="12">
        <f t="shared" si="11"/>
        <v>0.20130839578919377</v>
      </c>
      <c r="C88" s="14">
        <f t="shared" si="8"/>
        <v>39.417156995981912</v>
      </c>
      <c r="D88" s="12">
        <f t="shared" si="9"/>
        <v>0.17302465832985639</v>
      </c>
      <c r="E88" s="25" t="e">
        <f>visualmagnitude($B$2,astrodaysfromdt(A88))</f>
        <v>#VALUE!</v>
      </c>
      <c r="F88" s="15" t="e">
        <f>apparentsize($B$2, astrodaysfromdt(A88))</f>
        <v>#VALUE!</v>
      </c>
    </row>
    <row r="89" spans="1:6" x14ac:dyDescent="0.25">
      <c r="A89" s="1">
        <f t="shared" si="10"/>
        <v>44781</v>
      </c>
      <c r="B89" s="12">
        <f t="shared" si="11"/>
        <v>0.14647720325187649</v>
      </c>
      <c r="C89" s="14">
        <f t="shared" si="8"/>
        <v>40.00442759872206</v>
      </c>
      <c r="D89" s="12">
        <f t="shared" si="9"/>
        <v>0.14647720325187649</v>
      </c>
      <c r="E89" s="25" t="e">
        <f>visualmagnitude($B$2,astrodaysfromdt(A89))</f>
        <v>#VALUE!</v>
      </c>
      <c r="F89" s="15" t="e">
        <f>apparentsize($B$2, astrodaysfromdt(A89))</f>
        <v>#VALUE!</v>
      </c>
    </row>
    <row r="90" spans="1:6" x14ac:dyDescent="0.25">
      <c r="A90" s="1">
        <f t="shared" si="10"/>
        <v>44801</v>
      </c>
      <c r="B90" s="12">
        <f t="shared" si="11"/>
        <v>8.8439746877591929E-2</v>
      </c>
      <c r="C90" s="14">
        <f t="shared" si="8"/>
        <v>39.383007103906358</v>
      </c>
      <c r="D90" s="12">
        <f t="shared" si="9"/>
        <v>8.8439746877591929E-2</v>
      </c>
      <c r="E90" s="25" t="e">
        <f>visualmagnitude($B$2,astrodaysfromdt(A90))</f>
        <v>#VALUE!</v>
      </c>
      <c r="F90" s="15" t="e">
        <f>apparentsize($B$2, astrodaysfromdt(A90))</f>
        <v>#VALUE!</v>
      </c>
    </row>
    <row r="91" spans="1:6" x14ac:dyDescent="0.25">
      <c r="A91" s="1">
        <f t="shared" si="10"/>
        <v>44821</v>
      </c>
      <c r="B91" s="12">
        <f t="shared" si="11"/>
        <v>2.7949442201874824E-2</v>
      </c>
      <c r="C91" s="14">
        <f t="shared" si="8"/>
        <v>38.414130105104903</v>
      </c>
      <c r="D91" s="12">
        <f t="shared" si="9"/>
        <v>2.7949442201874824E-2</v>
      </c>
      <c r="E91" s="25" t="e">
        <f>visualmagnitude($B$2,astrodaysfromdt(A91))</f>
        <v>#VALUE!</v>
      </c>
      <c r="F91" s="15" t="e">
        <f>apparentsize($B$2, astrodaysfromdt(A91))</f>
        <v>#VALUE!</v>
      </c>
    </row>
    <row r="92" spans="1:6" x14ac:dyDescent="0.25">
      <c r="A92" s="1">
        <f t="shared" si="10"/>
        <v>44841</v>
      </c>
      <c r="B92" s="12">
        <f t="shared" si="11"/>
        <v>0.96353476169271801</v>
      </c>
      <c r="C92" s="14">
        <f t="shared" si="8"/>
        <v>37.30844740795397</v>
      </c>
      <c r="D92" s="12">
        <f t="shared" si="9"/>
        <v>0.96353476169271801</v>
      </c>
      <c r="E92" s="25" t="e">
        <f>visualmagnitude($B$2,astrodaysfromdt(A92))</f>
        <v>#VALUE!</v>
      </c>
      <c r="F92" s="15" t="e">
        <f>apparentsize($B$2, astrodaysfromdt(A92))</f>
        <v>#VALUE!</v>
      </c>
    </row>
    <row r="93" spans="1:6" x14ac:dyDescent="0.25">
      <c r="A93" s="1">
        <f t="shared" si="10"/>
        <v>44861</v>
      </c>
      <c r="B93" s="12">
        <f t="shared" si="11"/>
        <v>0.9033763727390034</v>
      </c>
      <c r="C93" s="14">
        <f t="shared" si="8"/>
        <v>36.492197466271605</v>
      </c>
      <c r="D93" s="12">
        <f t="shared" si="9"/>
        <v>0.9033763727390034</v>
      </c>
      <c r="E93" s="25" t="e">
        <f>visualmagnitude($B$2,astrodaysfromdt(A93))</f>
        <v>#VALUE!</v>
      </c>
      <c r="F93" s="15" t="e">
        <f>apparentsize($B$2, astrodaysfromdt(A93))</f>
        <v>#VALUE!</v>
      </c>
    </row>
    <row r="94" spans="1:6" x14ac:dyDescent="0.25">
      <c r="A94" s="1">
        <f t="shared" si="10"/>
        <v>44881</v>
      </c>
      <c r="B94" s="12">
        <f t="shared" si="11"/>
        <v>0.84596328691567224</v>
      </c>
      <c r="C94" s="14">
        <f t="shared" si="8"/>
        <v>36.139975987484725</v>
      </c>
      <c r="D94" s="12">
        <f t="shared" si="9"/>
        <v>0.84596328691567224</v>
      </c>
      <c r="E94" s="25" t="e">
        <f>visualmagnitude($B$2,astrodaysfromdt(A94))</f>
        <v>#VALUE!</v>
      </c>
      <c r="F94" s="15" t="e">
        <f>apparentsize($B$2, astrodaysfromdt(A94))</f>
        <v>#VALUE!</v>
      </c>
    </row>
    <row r="95" spans="1:6" x14ac:dyDescent="0.25">
      <c r="A95" s="1">
        <f t="shared" si="10"/>
        <v>44901</v>
      </c>
      <c r="B95" s="12">
        <f t="shared" si="11"/>
        <v>0.79198978548064236</v>
      </c>
      <c r="C95" s="14">
        <f t="shared" si="8"/>
        <v>36.339089678098674</v>
      </c>
      <c r="D95" s="12">
        <f t="shared" si="9"/>
        <v>0.79198978548064236</v>
      </c>
      <c r="E95" s="25" t="e">
        <f>visualmagnitude($B$2,astrodaysfromdt(A95))</f>
        <v>#VALUE!</v>
      </c>
      <c r="F95" s="15" t="e">
        <f>apparentsize($B$2, astrodaysfromdt(A95))</f>
        <v>#VALUE!</v>
      </c>
    </row>
    <row r="96" spans="1:6" x14ac:dyDescent="0.25">
      <c r="A96" s="1">
        <f t="shared" si="10"/>
        <v>44921</v>
      </c>
      <c r="B96" s="12">
        <f t="shared" si="11"/>
        <v>0.74138393136470626</v>
      </c>
      <c r="C96" s="14">
        <f t="shared" si="8"/>
        <v>37.061937514355805</v>
      </c>
      <c r="D96" s="12">
        <f t="shared" si="9"/>
        <v>0.74138393136470626</v>
      </c>
      <c r="E96" s="25" t="e">
        <f>visualmagnitude($B$2,astrodaysfromdt(A96))</f>
        <v>#VALUE!</v>
      </c>
      <c r="F96" s="15" t="e">
        <f>apparentsize($B$2, astrodaysfromdt(A96))</f>
        <v>#VALUE!</v>
      </c>
    </row>
    <row r="97" spans="1:6" x14ac:dyDescent="0.25">
      <c r="A97" s="1">
        <f t="shared" si="10"/>
        <v>44941</v>
      </c>
      <c r="B97" s="12">
        <f t="shared" si="11"/>
        <v>0.69364653813787436</v>
      </c>
      <c r="C97" s="14">
        <f t="shared" si="8"/>
        <v>38.220537369504335</v>
      </c>
      <c r="D97" s="12">
        <f t="shared" si="9"/>
        <v>0.69364653813787436</v>
      </c>
      <c r="E97" s="25" t="e">
        <f>visualmagnitude($B$2,astrodaysfromdt(A97))</f>
        <v>#VALUE!</v>
      </c>
      <c r="F97" s="15" t="e">
        <f>apparentsize($B$2, astrodaysfromdt(A97))</f>
        <v>#VALUE!</v>
      </c>
    </row>
    <row r="98" spans="1:6" x14ac:dyDescent="0.25">
      <c r="A98" s="1">
        <f t="shared" si="10"/>
        <v>44961</v>
      </c>
      <c r="B98" s="12">
        <f t="shared" si="11"/>
        <v>0.6481416695173291</v>
      </c>
      <c r="C98" s="14">
        <f t="shared" si="8"/>
        <v>36.658034225299417</v>
      </c>
      <c r="D98" s="12">
        <f t="shared" si="9"/>
        <v>0.70701768226798478</v>
      </c>
      <c r="E98" s="25" t="e">
        <f>visualmagnitude($B$2,astrodaysfromdt(A98))</f>
        <v>#VALUE!</v>
      </c>
      <c r="F98" s="15" t="e">
        <f>apparentsize($B$2, astrodaysfromdt(A98))</f>
        <v>#VALUE!</v>
      </c>
    </row>
    <row r="99" spans="1:6" x14ac:dyDescent="0.25">
      <c r="A99" s="1">
        <f t="shared" si="10"/>
        <v>44981</v>
      </c>
      <c r="B99" s="12">
        <f t="shared" si="11"/>
        <v>0.60425347149664288</v>
      </c>
      <c r="C99" s="14">
        <f t="shared" si="8"/>
        <v>28.107424381601014</v>
      </c>
      <c r="D99" s="12">
        <f t="shared" si="9"/>
        <v>0.73266695916715951</v>
      </c>
      <c r="E99" s="25" t="e">
        <f>visualmagnitude($B$2,astrodaysfromdt(A99))</f>
        <v>#VALUE!</v>
      </c>
      <c r="F99" s="15" t="e">
        <f>apparentsize($B$2, astrodaysfromdt(A99))</f>
        <v>#VALUE!</v>
      </c>
    </row>
    <row r="100" spans="1:6" x14ac:dyDescent="0.25">
      <c r="A100" s="1">
        <f t="shared" si="10"/>
        <v>45001</v>
      </c>
      <c r="B100" s="12">
        <f t="shared" si="11"/>
        <v>0.5614410401594977</v>
      </c>
      <c r="C100" s="14">
        <f t="shared" si="8"/>
        <v>15.949157893234378</v>
      </c>
      <c r="D100" s="12">
        <f t="shared" si="9"/>
        <v>0.75729232655724932</v>
      </c>
      <c r="E100" s="25" t="e">
        <f>visualmagnitude($B$2,astrodaysfromdt(A100))</f>
        <v>#VALUE!</v>
      </c>
      <c r="F100" s="15" t="e">
        <f>apparentsize($B$2, astrodaysfromdt(A100))</f>
        <v>#VALUE!</v>
      </c>
    </row>
    <row r="101" spans="1:6" x14ac:dyDescent="0.25">
      <c r="A101" s="1">
        <f t="shared" si="10"/>
        <v>45021</v>
      </c>
      <c r="B101" s="12">
        <f t="shared" si="11"/>
        <v>0.51923851016763023</v>
      </c>
      <c r="C101" s="14">
        <f t="shared" ref="C101:C132" si="12">vbisvisible(B$2,A101,$B$1,$C$1,$C$2,1,temp,pres)</f>
        <v>0</v>
      </c>
      <c r="D101" s="12">
        <f t="shared" ref="D101:D132" si="13">vbisvisible(B$2,A101,$B$1,$C$1,$C$2,2,temp,pres)</f>
        <v>0</v>
      </c>
      <c r="E101" s="25" t="e">
        <f>visualmagnitude($B$2,astrodaysfromdt(A101))</f>
        <v>#VALUE!</v>
      </c>
      <c r="F101" s="15" t="e">
        <f>apparentsize($B$2, astrodaysfromdt(A101))</f>
        <v>#VALUE!</v>
      </c>
    </row>
    <row r="102" spans="1:6" x14ac:dyDescent="0.25">
      <c r="A102" s="1">
        <f t="shared" ref="A102:A133" si="14">DATE(YEAR(A101), IF(unt="m",intvl,0)+MONTH(A101), IF(unt="m", 0,intvl)+DAY(A101))</f>
        <v>45041</v>
      </c>
      <c r="B102" s="12">
        <f t="shared" si="11"/>
        <v>0.47723092895975322</v>
      </c>
      <c r="C102" s="14">
        <f t="shared" si="12"/>
        <v>0</v>
      </c>
      <c r="D102" s="12">
        <f t="shared" si="13"/>
        <v>0</v>
      </c>
      <c r="E102" s="25" t="e">
        <f>visualmagnitude($B$2,astrodaysfromdt(A102))</f>
        <v>#VALUE!</v>
      </c>
      <c r="F102" s="15" t="e">
        <f>apparentsize($B$2, astrodaysfromdt(A102))</f>
        <v>#VALUE!</v>
      </c>
    </row>
    <row r="103" spans="1:6" x14ac:dyDescent="0.25">
      <c r="A103" s="1">
        <f t="shared" si="14"/>
        <v>45061</v>
      </c>
      <c r="B103" s="12">
        <f t="shared" si="11"/>
        <v>0.43502105389043449</v>
      </c>
      <c r="C103" s="14">
        <f t="shared" si="12"/>
        <v>5.9757295236995462</v>
      </c>
      <c r="D103" s="12">
        <f t="shared" si="13"/>
        <v>0.17492297966603518</v>
      </c>
      <c r="E103" s="25" t="e">
        <f>visualmagnitude($B$2,astrodaysfromdt(A103))</f>
        <v>#VALUE!</v>
      </c>
      <c r="F103" s="15" t="e">
        <f>apparentsize($B$2, astrodaysfromdt(A103))</f>
        <v>#VALUE!</v>
      </c>
    </row>
    <row r="104" spans="1:6" x14ac:dyDescent="0.25">
      <c r="A104" s="1">
        <f t="shared" si="14"/>
        <v>45081</v>
      </c>
      <c r="B104" s="12">
        <f t="shared" si="11"/>
        <v>0.3921937462699035</v>
      </c>
      <c r="C104" s="14">
        <f t="shared" si="12"/>
        <v>13.130575644547456</v>
      </c>
      <c r="D104" s="12">
        <f t="shared" si="13"/>
        <v>0.15944767590038786</v>
      </c>
      <c r="E104" s="25" t="e">
        <f>visualmagnitude($B$2,astrodaysfromdt(A104))</f>
        <v>#VALUE!</v>
      </c>
      <c r="F104" s="15" t="e">
        <f>apparentsize($B$2, astrodaysfromdt(A104))</f>
        <v>#VALUE!</v>
      </c>
    </row>
    <row r="105" spans="1:6" x14ac:dyDescent="0.25">
      <c r="A105" s="1">
        <f t="shared" si="14"/>
        <v>45101</v>
      </c>
      <c r="B105" s="12">
        <f t="shared" si="11"/>
        <v>0.34828188953522687</v>
      </c>
      <c r="C105" s="14">
        <f t="shared" si="12"/>
        <v>23.37392003120798</v>
      </c>
      <c r="D105" s="12">
        <f t="shared" si="13"/>
        <v>0.15734063461112532</v>
      </c>
      <c r="E105" s="25" t="e">
        <f>visualmagnitude($B$2,astrodaysfromdt(A105))</f>
        <v>#VALUE!</v>
      </c>
      <c r="F105" s="15" t="e">
        <f>apparentsize($B$2, astrodaysfromdt(A105))</f>
        <v>#VALUE!</v>
      </c>
    </row>
    <row r="106" spans="1:6" x14ac:dyDescent="0.25">
      <c r="A106" s="1">
        <f t="shared" si="14"/>
        <v>45121</v>
      </c>
      <c r="B106" s="12">
        <f t="shared" si="11"/>
        <v>0.3027397023117599</v>
      </c>
      <c r="C106" s="14">
        <f t="shared" si="12"/>
        <v>36.185471649700418</v>
      </c>
      <c r="D106" s="12">
        <f t="shared" si="13"/>
        <v>0.16848715875784123</v>
      </c>
      <c r="E106" s="25" t="e">
        <f>visualmagnitude($B$2,astrodaysfromdt(A106))</f>
        <v>#VALUE!</v>
      </c>
      <c r="F106" s="15" t="e">
        <f>apparentsize($B$2, astrodaysfromdt(A106))</f>
        <v>#VALUE!</v>
      </c>
    </row>
    <row r="107" spans="1:6" x14ac:dyDescent="0.25">
      <c r="A107" s="1">
        <f t="shared" si="14"/>
        <v>45141</v>
      </c>
      <c r="B107" s="12">
        <f t="shared" si="11"/>
        <v>0.25493745217700114</v>
      </c>
      <c r="C107" s="14">
        <f t="shared" si="12"/>
        <v>48.298713058199887</v>
      </c>
      <c r="D107" s="12">
        <f t="shared" si="13"/>
        <v>0.18787113591097693</v>
      </c>
      <c r="E107" s="25" t="e">
        <f>visualmagnitude($B$2,astrodaysfromdt(A107))</f>
        <v>#VALUE!</v>
      </c>
      <c r="F107" s="15" t="e">
        <f>apparentsize($B$2, astrodaysfromdt(A107))</f>
        <v>#VALUE!</v>
      </c>
    </row>
    <row r="108" spans="1:6" x14ac:dyDescent="0.25">
      <c r="A108" s="1">
        <f t="shared" si="14"/>
        <v>45161</v>
      </c>
      <c r="B108" s="12">
        <f t="shared" si="11"/>
        <v>0.20420853959518995</v>
      </c>
      <c r="C108" s="14">
        <f t="shared" si="12"/>
        <v>53.383772180574169</v>
      </c>
      <c r="D108" s="12">
        <f t="shared" si="13"/>
        <v>0.20420853959518995</v>
      </c>
      <c r="E108" s="25" t="e">
        <f>visualmagnitude($B$2,astrodaysfromdt(A108))</f>
        <v>#VALUE!</v>
      </c>
      <c r="F108" s="15" t="e">
        <f>apparentsize($B$2, astrodaysfromdt(A108))</f>
        <v>#VALUE!</v>
      </c>
    </row>
    <row r="109" spans="1:6" x14ac:dyDescent="0.25">
      <c r="A109" s="1">
        <f t="shared" si="14"/>
        <v>45181</v>
      </c>
      <c r="B109" s="12">
        <f t="shared" si="11"/>
        <v>0.15000195367513344</v>
      </c>
      <c r="C109" s="14">
        <f t="shared" si="12"/>
        <v>53.359750769418234</v>
      </c>
      <c r="D109" s="12">
        <f t="shared" si="13"/>
        <v>0.15000195367513344</v>
      </c>
      <c r="E109" s="25" t="e">
        <f>visualmagnitude($B$2,astrodaysfromdt(A109))</f>
        <v>#VALUE!</v>
      </c>
      <c r="F109" s="15" t="e">
        <f>apparentsize($B$2, astrodaysfromdt(A109))</f>
        <v>#VALUE!</v>
      </c>
    </row>
    <row r="110" spans="1:6" x14ac:dyDescent="0.25">
      <c r="A110" s="1">
        <f t="shared" si="14"/>
        <v>45201</v>
      </c>
      <c r="B110" s="12">
        <f t="shared" si="11"/>
        <v>9.2188275863636385E-2</v>
      </c>
      <c r="C110" s="14">
        <f t="shared" si="12"/>
        <v>52.967932143952574</v>
      </c>
      <c r="D110" s="12">
        <f t="shared" si="13"/>
        <v>9.2188275863636385E-2</v>
      </c>
      <c r="E110" s="25" t="e">
        <f>visualmagnitude($B$2,astrodaysfromdt(A110))</f>
        <v>#VALUE!</v>
      </c>
      <c r="F110" s="15" t="e">
        <f>apparentsize($B$2, astrodaysfromdt(A110))</f>
        <v>#VALUE!</v>
      </c>
    </row>
    <row r="111" spans="1:6" x14ac:dyDescent="0.25">
      <c r="A111" s="1">
        <f t="shared" si="14"/>
        <v>45221</v>
      </c>
      <c r="B111" s="12">
        <f t="shared" si="11"/>
        <v>3.145085041886464E-2</v>
      </c>
      <c r="C111" s="14">
        <f t="shared" si="12"/>
        <v>52.276742664654911</v>
      </c>
      <c r="D111" s="12">
        <f t="shared" si="13"/>
        <v>3.145085041886464E-2</v>
      </c>
      <c r="E111" s="25" t="e">
        <f>visualmagnitude($B$2,astrodaysfromdt(A111))</f>
        <v>#VALUE!</v>
      </c>
      <c r="F111" s="15" t="e">
        <f>apparentsize($B$2, astrodaysfromdt(A111))</f>
        <v>#VALUE!</v>
      </c>
    </row>
    <row r="112" spans="1:6" x14ac:dyDescent="0.25">
      <c r="A112" s="1">
        <f t="shared" si="14"/>
        <v>45241</v>
      </c>
      <c r="B112" s="12">
        <f t="shared" si="11"/>
        <v>0.96634552057937106</v>
      </c>
      <c r="C112" s="14">
        <f t="shared" si="12"/>
        <v>51.41525275956807</v>
      </c>
      <c r="D112" s="12">
        <f t="shared" si="13"/>
        <v>0.96634552057937106</v>
      </c>
      <c r="E112" s="25" t="e">
        <f>visualmagnitude($B$2,astrodaysfromdt(A112))</f>
        <v>#VALUE!</v>
      </c>
      <c r="F112" s="15" t="e">
        <f>apparentsize($B$2, astrodaysfromdt(A112))</f>
        <v>#VALUE!</v>
      </c>
    </row>
    <row r="113" spans="1:6" x14ac:dyDescent="0.25">
      <c r="A113" s="1">
        <f t="shared" si="14"/>
        <v>45261</v>
      </c>
      <c r="B113" s="12">
        <f t="shared" si="11"/>
        <v>0.9053239219970779</v>
      </c>
      <c r="C113" s="14">
        <f t="shared" si="12"/>
        <v>50.721203327833315</v>
      </c>
      <c r="D113" s="12">
        <f t="shared" si="13"/>
        <v>0.9053239219970779</v>
      </c>
      <c r="E113" s="25" t="e">
        <f>visualmagnitude($B$2,astrodaysfromdt(A113))</f>
        <v>#VALUE!</v>
      </c>
      <c r="F113" s="15" t="e">
        <f>apparentsize($B$2, astrodaysfromdt(A113))</f>
        <v>#VALUE!</v>
      </c>
    </row>
    <row r="114" spans="1:6" x14ac:dyDescent="0.25">
      <c r="A114" s="1">
        <f t="shared" si="14"/>
        <v>45281</v>
      </c>
      <c r="B114" s="12">
        <f t="shared" si="11"/>
        <v>0.84706351081654352</v>
      </c>
      <c r="C114" s="14">
        <f t="shared" si="12"/>
        <v>50.372712008888954</v>
      </c>
      <c r="D114" s="12">
        <f t="shared" si="13"/>
        <v>0.84706351081654352</v>
      </c>
      <c r="E114" s="25" t="e">
        <f>visualmagnitude($B$2,astrodaysfromdt(A114))</f>
        <v>#VALUE!</v>
      </c>
      <c r="F114" s="15" t="e">
        <f>apparentsize($B$2, astrodaysfromdt(A114))</f>
        <v>#VALUE!</v>
      </c>
    </row>
    <row r="115" spans="1:6" x14ac:dyDescent="0.25">
      <c r="A115" s="1">
        <f t="shared" si="14"/>
        <v>45301</v>
      </c>
      <c r="B115" s="12">
        <f t="shared" si="11"/>
        <v>0.79239329656349111</v>
      </c>
      <c r="C115" s="14">
        <f t="shared" si="12"/>
        <v>50.472943356355344</v>
      </c>
      <c r="D115" s="12">
        <f t="shared" si="13"/>
        <v>0.79239329656349111</v>
      </c>
      <c r="E115" s="25" t="e">
        <f>visualmagnitude($B$2,astrodaysfromdt(A115))</f>
        <v>#VALUE!</v>
      </c>
      <c r="F115" s="15" t="e">
        <f>apparentsize($B$2, astrodaysfromdt(A115))</f>
        <v>#VALUE!</v>
      </c>
    </row>
    <row r="116" spans="1:6" x14ac:dyDescent="0.25">
      <c r="A116" s="1">
        <f t="shared" si="14"/>
        <v>45321</v>
      </c>
      <c r="B116" s="12">
        <f t="shared" si="11"/>
        <v>0.74129762199876292</v>
      </c>
      <c r="C116" s="14">
        <f t="shared" si="12"/>
        <v>51.005498631483235</v>
      </c>
      <c r="D116" s="12">
        <f t="shared" si="13"/>
        <v>0.74129762199876292</v>
      </c>
      <c r="E116" s="25" t="e">
        <f>visualmagnitude($B$2,astrodaysfromdt(A116))</f>
        <v>#VALUE!</v>
      </c>
      <c r="F116" s="15" t="e">
        <f>apparentsize($B$2, astrodaysfromdt(A116))</f>
        <v>#VALUE!</v>
      </c>
    </row>
    <row r="117" spans="1:6" x14ac:dyDescent="0.25">
      <c r="A117" s="1">
        <f t="shared" si="14"/>
        <v>45341</v>
      </c>
      <c r="B117" s="12">
        <f t="shared" si="11"/>
        <v>0.69329529341917118</v>
      </c>
      <c r="C117" s="14">
        <f t="shared" si="12"/>
        <v>50.722530228242903</v>
      </c>
      <c r="D117" s="12">
        <f t="shared" si="13"/>
        <v>0.7260052366087385</v>
      </c>
      <c r="E117" s="25" t="e">
        <f>visualmagnitude($B$2,astrodaysfromdt(A117))</f>
        <v>#VALUE!</v>
      </c>
      <c r="F117" s="15" t="e">
        <f>apparentsize($B$2, astrodaysfromdt(A117))</f>
        <v>#VALUE!</v>
      </c>
    </row>
    <row r="118" spans="1:6" x14ac:dyDescent="0.25">
      <c r="A118" s="1">
        <f t="shared" si="14"/>
        <v>45361</v>
      </c>
      <c r="B118" s="12">
        <f t="shared" si="11"/>
        <v>0.64775725631789227</v>
      </c>
      <c r="C118" s="14">
        <f t="shared" si="12"/>
        <v>42.613622364216212</v>
      </c>
      <c r="D118" s="12">
        <f t="shared" si="13"/>
        <v>0.75095178384866179</v>
      </c>
      <c r="E118" s="25" t="e">
        <f>visualmagnitude($B$2,astrodaysfromdt(A118))</f>
        <v>#VALUE!</v>
      </c>
      <c r="F118" s="15" t="e">
        <f>apparentsize($B$2, astrodaysfromdt(A118))</f>
        <v>#VALUE!</v>
      </c>
    </row>
    <row r="119" spans="1:6" x14ac:dyDescent="0.25">
      <c r="A119" s="1">
        <f t="shared" si="14"/>
        <v>45381</v>
      </c>
      <c r="B119" s="12">
        <f t="shared" si="11"/>
        <v>0.60406979230806013</v>
      </c>
      <c r="C119" s="14">
        <f t="shared" si="12"/>
        <v>30.026145704416702</v>
      </c>
      <c r="D119" s="12">
        <f t="shared" si="13"/>
        <v>0.77486165495588788</v>
      </c>
      <c r="E119" s="25" t="e">
        <f>visualmagnitude($B$2,astrodaysfromdt(A119))</f>
        <v>#VALUE!</v>
      </c>
      <c r="F119" s="15" t="e">
        <f>apparentsize($B$2, astrodaysfromdt(A119))</f>
        <v>#VALUE!</v>
      </c>
    </row>
    <row r="120" spans="1:6" x14ac:dyDescent="0.25">
      <c r="A120" s="1">
        <f t="shared" si="14"/>
        <v>45401</v>
      </c>
      <c r="B120" s="12">
        <f t="shared" si="11"/>
        <v>0.56168609329474373</v>
      </c>
      <c r="C120" s="14">
        <f t="shared" si="12"/>
        <v>16.404773849021279</v>
      </c>
      <c r="D120" s="12">
        <f t="shared" si="13"/>
        <v>0.79846151240414187</v>
      </c>
      <c r="E120" s="25" t="e">
        <f>visualmagnitude($B$2,astrodaysfromdt(A120))</f>
        <v>#VALUE!</v>
      </c>
      <c r="F120" s="15" t="e">
        <f>apparentsize($B$2, astrodaysfromdt(A120))</f>
        <v>#VALUE!</v>
      </c>
    </row>
    <row r="121" spans="1:6" x14ac:dyDescent="0.25">
      <c r="A121" s="1">
        <f t="shared" si="14"/>
        <v>45421</v>
      </c>
      <c r="B121" s="12">
        <f t="shared" si="11"/>
        <v>0.52012197465138188</v>
      </c>
      <c r="C121" s="14">
        <f t="shared" si="12"/>
        <v>0</v>
      </c>
      <c r="D121" s="12">
        <f t="shared" si="13"/>
        <v>0</v>
      </c>
      <c r="E121" s="25" t="e">
        <f>visualmagnitude($B$2,astrodaysfromdt(A121))</f>
        <v>#VALUE!</v>
      </c>
      <c r="F121" s="15" t="e">
        <f>apparentsize($B$2, astrodaysfromdt(A121))</f>
        <v>#VALUE!</v>
      </c>
    </row>
    <row r="122" spans="1:6" x14ac:dyDescent="0.25">
      <c r="A122" s="1">
        <f t="shared" si="14"/>
        <v>45441</v>
      </c>
      <c r="B122" s="12">
        <f t="shared" si="11"/>
        <v>0.47892977633945666</v>
      </c>
      <c r="C122" s="14">
        <f t="shared" si="12"/>
        <v>0</v>
      </c>
      <c r="D122" s="12">
        <f t="shared" si="13"/>
        <v>0</v>
      </c>
      <c r="E122" s="25" t="e">
        <f>visualmagnitude($B$2,astrodaysfromdt(A122))</f>
        <v>#VALUE!</v>
      </c>
      <c r="F122" s="15" t="e">
        <f>apparentsize($B$2, astrodaysfromdt(A122))</f>
        <v>#VALUE!</v>
      </c>
    </row>
    <row r="123" spans="1:6" x14ac:dyDescent="0.25">
      <c r="A123" s="1">
        <f t="shared" si="14"/>
        <v>45461</v>
      </c>
      <c r="B123" s="12">
        <f t="shared" si="11"/>
        <v>0.43766620038637744</v>
      </c>
      <c r="C123" s="14">
        <f t="shared" si="12"/>
        <v>9.3294637779822995</v>
      </c>
      <c r="D123" s="12">
        <f t="shared" si="13"/>
        <v>0.1565039792885817</v>
      </c>
      <c r="E123" s="25" t="e">
        <f>visualmagnitude($B$2,astrodaysfromdt(A123))</f>
        <v>#VALUE!</v>
      </c>
      <c r="F123" s="15" t="e">
        <f>apparentsize($B$2, astrodaysfromdt(A123))</f>
        <v>#VALUE!</v>
      </c>
    </row>
    <row r="124" spans="1:6" x14ac:dyDescent="0.25">
      <c r="A124" s="1">
        <f t="shared" si="14"/>
        <v>45481</v>
      </c>
      <c r="B124" s="12">
        <f t="shared" si="11"/>
        <v>0.39586021955826328</v>
      </c>
      <c r="C124" s="14">
        <f t="shared" si="12"/>
        <v>20.530066846475219</v>
      </c>
      <c r="D124" s="12">
        <f t="shared" si="13"/>
        <v>0.16451555552223676</v>
      </c>
      <c r="E124" s="25" t="e">
        <f>visualmagnitude($B$2,astrodaysfromdt(A124))</f>
        <v>#VALUE!</v>
      </c>
      <c r="F124" s="15" t="e">
        <f>apparentsize($B$2, astrodaysfromdt(A124))</f>
        <v>#VALUE!</v>
      </c>
    </row>
    <row r="125" spans="1:6" x14ac:dyDescent="0.25">
      <c r="A125" s="1">
        <f t="shared" si="14"/>
        <v>45501</v>
      </c>
      <c r="B125" s="12">
        <f t="shared" si="11"/>
        <v>0.35298386229427808</v>
      </c>
      <c r="C125" s="14">
        <f t="shared" si="12"/>
        <v>34.383355675692506</v>
      </c>
      <c r="D125" s="12">
        <f t="shared" si="13"/>
        <v>0.18234116946344989</v>
      </c>
      <c r="E125" s="25" t="e">
        <f>visualmagnitude($B$2,astrodaysfromdt(A125))</f>
        <v>#VALUE!</v>
      </c>
      <c r="F125" s="15" t="e">
        <f>apparentsize($B$2, astrodaysfromdt(A125))</f>
        <v>#VALUE!</v>
      </c>
    </row>
    <row r="126" spans="1:6" x14ac:dyDescent="0.25">
      <c r="A126" s="1">
        <f t="shared" si="14"/>
        <v>45521</v>
      </c>
      <c r="B126" s="12">
        <f t="shared" si="11"/>
        <v>0.30843012244871409</v>
      </c>
      <c r="C126" s="14">
        <f t="shared" si="12"/>
        <v>48.524257427148093</v>
      </c>
      <c r="D126" s="12">
        <f t="shared" si="13"/>
        <v>0.20418192952336336</v>
      </c>
      <c r="E126" s="25" t="e">
        <f>visualmagnitude($B$2,astrodaysfromdt(A126))</f>
        <v>#VALUE!</v>
      </c>
      <c r="F126" s="15" t="e">
        <f>apparentsize($B$2, astrodaysfromdt(A126))</f>
        <v>#VALUE!</v>
      </c>
    </row>
    <row r="127" spans="1:6" x14ac:dyDescent="0.25">
      <c r="A127" s="1">
        <f t="shared" si="14"/>
        <v>45541</v>
      </c>
      <c r="B127" s="12">
        <f t="shared" si="11"/>
        <v>0.2615099343826614</v>
      </c>
      <c r="C127" s="14">
        <f t="shared" si="12"/>
        <v>58.895786220813676</v>
      </c>
      <c r="D127" s="12">
        <f t="shared" si="13"/>
        <v>0.22666293564207576</v>
      </c>
      <c r="E127" s="25" t="e">
        <f>visualmagnitude($B$2,astrodaysfromdt(A127))</f>
        <v>#VALUE!</v>
      </c>
      <c r="F127" s="15" t="e">
        <f>apparentsize($B$2, astrodaysfromdt(A127))</f>
        <v>#VALUE!</v>
      </c>
    </row>
    <row r="128" spans="1:6" x14ac:dyDescent="0.25">
      <c r="A128" s="1">
        <f t="shared" si="14"/>
        <v>45561</v>
      </c>
      <c r="B128" s="12">
        <f t="shared" si="11"/>
        <v>0.21149741607105663</v>
      </c>
      <c r="C128" s="14">
        <f t="shared" si="12"/>
        <v>60.551735660354559</v>
      </c>
      <c r="D128" s="12">
        <f t="shared" si="13"/>
        <v>0.21149741607105663</v>
      </c>
      <c r="E128" s="25" t="e">
        <f>visualmagnitude($B$2,astrodaysfromdt(A128))</f>
        <v>#VALUE!</v>
      </c>
      <c r="F128" s="15" t="e">
        <f>apparentsize($B$2, astrodaysfromdt(A128))</f>
        <v>#VALUE!</v>
      </c>
    </row>
    <row r="129" spans="1:6" x14ac:dyDescent="0.25">
      <c r="A129" s="1">
        <f t="shared" si="14"/>
        <v>45581</v>
      </c>
      <c r="B129" s="12">
        <f t="shared" si="11"/>
        <v>0.15777849188159751</v>
      </c>
      <c r="C129" s="14">
        <f t="shared" si="12"/>
        <v>60.565017807901008</v>
      </c>
      <c r="D129" s="12">
        <f t="shared" si="13"/>
        <v>0.15777849188159751</v>
      </c>
      <c r="E129" s="25" t="e">
        <f>visualmagnitude($B$2,astrodaysfromdt(A129))</f>
        <v>#VALUE!</v>
      </c>
      <c r="F129" s="15" t="e">
        <f>apparentsize($B$2, astrodaysfromdt(A129))</f>
        <v>#VALUE!</v>
      </c>
    </row>
    <row r="130" spans="1:6" x14ac:dyDescent="0.25">
      <c r="A130" s="1">
        <f t="shared" si="14"/>
        <v>45601</v>
      </c>
      <c r="B130" s="12">
        <f t="shared" si="11"/>
        <v>0.10016218202508353</v>
      </c>
      <c r="C130" s="14">
        <f t="shared" si="12"/>
        <v>60.499826953390098</v>
      </c>
      <c r="D130" s="12">
        <f t="shared" si="13"/>
        <v>0.10016218202508353</v>
      </c>
      <c r="E130" s="25" t="e">
        <f>visualmagnitude($B$2,astrodaysfromdt(A130))</f>
        <v>#VALUE!</v>
      </c>
      <c r="F130" s="15" t="e">
        <f>apparentsize($B$2, astrodaysfromdt(A130))</f>
        <v>#VALUE!</v>
      </c>
    </row>
    <row r="131" spans="1:6" x14ac:dyDescent="0.25">
      <c r="A131" s="1">
        <f t="shared" si="14"/>
        <v>45621</v>
      </c>
      <c r="B131" s="12">
        <f t="shared" si="11"/>
        <v>3.9304881921104005E-2</v>
      </c>
      <c r="C131" s="14">
        <f t="shared" si="12"/>
        <v>60.353688460519422</v>
      </c>
      <c r="D131" s="12">
        <f t="shared" si="13"/>
        <v>3.9304881921104005E-2</v>
      </c>
      <c r="E131" s="25" t="e">
        <f>visualmagnitude($B$2,astrodaysfromdt(A131))</f>
        <v>#VALUE!</v>
      </c>
      <c r="F131" s="15" t="e">
        <f>apparentsize($B$2, astrodaysfromdt(A131))</f>
        <v>#VALUE!</v>
      </c>
    </row>
    <row r="132" spans="1:6" x14ac:dyDescent="0.25">
      <c r="A132" s="1">
        <f t="shared" si="14"/>
        <v>45641</v>
      </c>
      <c r="B132" s="12">
        <f t="shared" si="11"/>
        <v>0.97380130266137532</v>
      </c>
      <c r="C132" s="14">
        <f t="shared" si="12"/>
        <v>60.131494531004833</v>
      </c>
      <c r="D132" s="12">
        <f t="shared" si="13"/>
        <v>0.97380130266137532</v>
      </c>
      <c r="E132" s="25" t="e">
        <f>visualmagnitude($B$2,astrodaysfromdt(A132))</f>
        <v>#VALUE!</v>
      </c>
      <c r="F132" s="15" t="e">
        <f>apparentsize($B$2, astrodaysfromdt(A132))</f>
        <v>#VALUE!</v>
      </c>
    </row>
    <row r="133" spans="1:6" x14ac:dyDescent="0.25">
      <c r="A133" s="1">
        <f t="shared" si="14"/>
        <v>45661</v>
      </c>
      <c r="B133" s="12">
        <f t="shared" si="11"/>
        <v>0.91230897627513363</v>
      </c>
      <c r="C133" s="14">
        <f t="shared" ref="C133:C164" si="15">vbisvisible(B$2,A133,$B$1,$C$1,$C$2,1,temp,pres)</f>
        <v>59.924995438700769</v>
      </c>
      <c r="D133" s="12">
        <f t="shared" ref="D133:D148" si="16">vbisvisible(B$2,A133,$B$1,$C$1,$C$2,2,temp,pres)</f>
        <v>0.91230897627513363</v>
      </c>
      <c r="E133" s="25" t="e">
        <f>visualmagnitude($B$2,astrodaysfromdt(A133))</f>
        <v>#VALUE!</v>
      </c>
      <c r="F133" s="15" t="e">
        <f>apparentsize($B$2, astrodaysfromdt(A133))</f>
        <v>#VALUE!</v>
      </c>
    </row>
    <row r="134" spans="1:6" x14ac:dyDescent="0.25">
      <c r="A134" s="1">
        <f t="shared" ref="A134:A148" si="17">DATE(YEAR(A133), IF(unt="m",intvl,0)+MONTH(A133), IF(unt="m", 0,intvl)+DAY(A133))</f>
        <v>45681</v>
      </c>
      <c r="B134" s="12">
        <f t="shared" ref="B134:B148" si="18">vbTimeofTransit(B$2,$A134,$B$1, $C$1)/24</f>
        <v>0.8536693890472975</v>
      </c>
      <c r="C134" s="14">
        <f t="shared" si="15"/>
        <v>59.821019901825331</v>
      </c>
      <c r="D134" s="12">
        <f t="shared" si="16"/>
        <v>0.8536693890472975</v>
      </c>
      <c r="E134" s="25" t="e">
        <f>visualmagnitude($B$2,astrodaysfromdt(A134))</f>
        <v>#VALUE!</v>
      </c>
      <c r="F134" s="15" t="e">
        <f>apparentsize($B$2, astrodaysfromdt(A134))</f>
        <v>#VALUE!</v>
      </c>
    </row>
    <row r="135" spans="1:6" x14ac:dyDescent="0.25">
      <c r="A135" s="1">
        <f t="shared" si="17"/>
        <v>45701</v>
      </c>
      <c r="B135" s="12">
        <f t="shared" si="18"/>
        <v>0.79881718293275261</v>
      </c>
      <c r="C135" s="14">
        <f t="shared" si="15"/>
        <v>59.881535744588817</v>
      </c>
      <c r="D135" s="12">
        <f t="shared" si="16"/>
        <v>0.79881718293275261</v>
      </c>
      <c r="E135" s="25" t="e">
        <f>visualmagnitude($B$2,astrodaysfromdt(A135))</f>
        <v>#VALUE!</v>
      </c>
      <c r="F135" s="15" t="e">
        <f>apparentsize($B$2, astrodaysfromdt(A135))</f>
        <v>#VALUE!</v>
      </c>
    </row>
    <row r="136" spans="1:6" x14ac:dyDescent="0.25">
      <c r="A136" s="1">
        <f t="shared" si="17"/>
        <v>45721</v>
      </c>
      <c r="B136" s="12">
        <f t="shared" si="18"/>
        <v>0.74775574915664522</v>
      </c>
      <c r="C136" s="14">
        <f t="shared" si="15"/>
        <v>60.102852316062354</v>
      </c>
      <c r="D136" s="12">
        <f t="shared" si="16"/>
        <v>0.74775574915664522</v>
      </c>
      <c r="E136" s="25" t="e">
        <f>visualmagnitude($B$2,astrodaysfromdt(A136))</f>
        <v>#VALUE!</v>
      </c>
      <c r="F136" s="15" t="e">
        <f>apparentsize($B$2, astrodaysfromdt(A136))</f>
        <v>#VALUE!</v>
      </c>
    </row>
    <row r="137" spans="1:6" x14ac:dyDescent="0.25">
      <c r="A137" s="1">
        <f t="shared" si="17"/>
        <v>45741</v>
      </c>
      <c r="B137" s="12">
        <f t="shared" si="18"/>
        <v>0.69996769648493096</v>
      </c>
      <c r="C137" s="14">
        <f t="shared" si="15"/>
        <v>54.806004526885872</v>
      </c>
      <c r="D137" s="12">
        <f t="shared" si="16"/>
        <v>0.76865240336432239</v>
      </c>
      <c r="E137" s="25" t="e">
        <f>visualmagnitude($B$2,astrodaysfromdt(A137))</f>
        <v>#VALUE!</v>
      </c>
      <c r="F137" s="15" t="e">
        <f>apparentsize($B$2, astrodaysfromdt(A137))</f>
        <v>#VALUE!</v>
      </c>
    </row>
    <row r="138" spans="1:6" x14ac:dyDescent="0.25">
      <c r="A138" s="1">
        <f t="shared" si="17"/>
        <v>45761</v>
      </c>
      <c r="B138" s="12">
        <f t="shared" si="18"/>
        <v>0.65476231079651692</v>
      </c>
      <c r="C138" s="14">
        <f t="shared" si="15"/>
        <v>42.255333665525001</v>
      </c>
      <c r="D138" s="12">
        <f t="shared" si="16"/>
        <v>0.79228199109713682</v>
      </c>
      <c r="E138" s="25" t="e">
        <f>visualmagnitude($B$2,astrodaysfromdt(A138))</f>
        <v>#VALUE!</v>
      </c>
      <c r="F138" s="15" t="e">
        <f>apparentsize($B$2, astrodaysfromdt(A138))</f>
        <v>#VALUE!</v>
      </c>
    </row>
    <row r="139" spans="1:6" x14ac:dyDescent="0.25">
      <c r="A139" s="1">
        <f t="shared" si="17"/>
        <v>45781</v>
      </c>
      <c r="B139" s="12">
        <f t="shared" si="18"/>
        <v>0.61145474340642214</v>
      </c>
      <c r="C139" s="14">
        <f t="shared" si="15"/>
        <v>27.866902865884477</v>
      </c>
      <c r="D139" s="12">
        <f t="shared" si="16"/>
        <v>0.81566168216693813</v>
      </c>
      <c r="E139" s="25" t="e">
        <f>visualmagnitude($B$2,astrodaysfromdt(A139))</f>
        <v>#VALUE!</v>
      </c>
      <c r="F139" s="15" t="e">
        <f>apparentsize($B$2, astrodaysfromdt(A139))</f>
        <v>#VALUE!</v>
      </c>
    </row>
    <row r="140" spans="1:6" x14ac:dyDescent="0.25">
      <c r="A140" s="1">
        <f t="shared" si="17"/>
        <v>45801</v>
      </c>
      <c r="B140" s="12">
        <f t="shared" si="18"/>
        <v>0.56942579796060411</v>
      </c>
      <c r="C140" s="14">
        <f t="shared" si="15"/>
        <v>14.305227276784779</v>
      </c>
      <c r="D140" s="12">
        <f t="shared" si="16"/>
        <v>0.83683902271763577</v>
      </c>
      <c r="E140" s="25" t="e">
        <f>visualmagnitude($B$2,astrodaysfromdt(A140))</f>
        <v>#VALUE!</v>
      </c>
      <c r="F140" s="15" t="e">
        <f>apparentsize($B$2, astrodaysfromdt(A140))</f>
        <v>#VALUE!</v>
      </c>
    </row>
    <row r="141" spans="1:6" x14ac:dyDescent="0.25">
      <c r="A141" s="1">
        <f t="shared" si="17"/>
        <v>45821</v>
      </c>
      <c r="B141" s="12">
        <f t="shared" si="18"/>
        <v>0.52812402289852434</v>
      </c>
      <c r="C141" s="14">
        <f t="shared" si="15"/>
        <v>0</v>
      </c>
      <c r="D141" s="12">
        <f t="shared" si="16"/>
        <v>0</v>
      </c>
      <c r="E141" s="25" t="e">
        <f>visualmagnitude($B$2,astrodaysfromdt(A141))</f>
        <v>#VALUE!</v>
      </c>
      <c r="F141" s="15" t="e">
        <f>apparentsize($B$2, astrodaysfromdt(A141))</f>
        <v>#VALUE!</v>
      </c>
    </row>
    <row r="142" spans="1:6" x14ac:dyDescent="0.25">
      <c r="A142" s="1">
        <f t="shared" si="17"/>
        <v>45841</v>
      </c>
      <c r="B142" s="12">
        <f t="shared" si="18"/>
        <v>0.4870462020588342</v>
      </c>
      <c r="C142" s="14">
        <f t="shared" si="15"/>
        <v>0</v>
      </c>
      <c r="D142" s="12">
        <f t="shared" si="16"/>
        <v>0</v>
      </c>
      <c r="E142" s="25" t="e">
        <f>visualmagnitude($B$2,astrodaysfromdt(A142))</f>
        <v>#VALUE!</v>
      </c>
      <c r="F142" s="15" t="e">
        <f>apparentsize($B$2, astrodaysfromdt(A142))</f>
        <v>#VALUE!</v>
      </c>
    </row>
    <row r="143" spans="1:6" x14ac:dyDescent="0.25">
      <c r="A143" s="1">
        <f t="shared" si="17"/>
        <v>45861</v>
      </c>
      <c r="B143" s="12">
        <f t="shared" si="18"/>
        <v>0.4457114665050434</v>
      </c>
      <c r="C143" s="14">
        <f t="shared" si="15"/>
        <v>13.885789947722683</v>
      </c>
      <c r="D143" s="12">
        <f t="shared" si="16"/>
        <v>0.17707065611206541</v>
      </c>
      <c r="E143" s="25" t="e">
        <f>visualmagnitude($B$2,astrodaysfromdt(A143))</f>
        <v>#VALUE!</v>
      </c>
      <c r="F143" s="15" t="e">
        <f>apparentsize($B$2, astrodaysfromdt(A143))</f>
        <v>#VALUE!</v>
      </c>
    </row>
    <row r="144" spans="1:6" x14ac:dyDescent="0.25">
      <c r="A144" s="1">
        <f t="shared" si="17"/>
        <v>45881</v>
      </c>
      <c r="B144" s="12">
        <f t="shared" si="18"/>
        <v>0.4036339218288682</v>
      </c>
      <c r="C144" s="14">
        <f t="shared" si="15"/>
        <v>27.374924908835816</v>
      </c>
      <c r="D144" s="12">
        <f t="shared" si="16"/>
        <v>0.19831858634546495</v>
      </c>
      <c r="E144" s="25" t="e">
        <f>visualmagnitude($B$2,astrodaysfromdt(A144))</f>
        <v>#VALUE!</v>
      </c>
      <c r="F144" s="15" t="e">
        <f>apparentsize($B$2, astrodaysfromdt(A144))</f>
        <v>#VALUE!</v>
      </c>
    </row>
    <row r="145" spans="1:6" x14ac:dyDescent="0.25">
      <c r="A145" s="1">
        <f t="shared" si="17"/>
        <v>45901</v>
      </c>
      <c r="B145" s="12">
        <f t="shared" si="18"/>
        <v>0.36029549062222244</v>
      </c>
      <c r="C145" s="14">
        <f t="shared" si="15"/>
        <v>41.504789436121762</v>
      </c>
      <c r="D145" s="12">
        <f t="shared" si="16"/>
        <v>0.22077866072196017</v>
      </c>
      <c r="E145" s="25" t="e">
        <f>visualmagnitude($B$2,astrodaysfromdt(A145))</f>
        <v>#VALUE!</v>
      </c>
      <c r="F145" s="15" t="e">
        <f>apparentsize($B$2, astrodaysfromdt(A145))</f>
        <v>#VALUE!</v>
      </c>
    </row>
    <row r="146" spans="1:6" x14ac:dyDescent="0.25">
      <c r="A146" s="1">
        <f t="shared" si="17"/>
        <v>45921</v>
      </c>
      <c r="B146" s="12">
        <f t="shared" si="18"/>
        <v>0.31512294688917608</v>
      </c>
      <c r="C146" s="14">
        <f t="shared" si="15"/>
        <v>53.892949822338728</v>
      </c>
      <c r="D146" s="12">
        <f t="shared" si="16"/>
        <v>0.24326772888322365</v>
      </c>
      <c r="E146" s="25" t="e">
        <f>visualmagnitude($B$2,astrodaysfromdt(A146))</f>
        <v>#VALUE!</v>
      </c>
      <c r="F146" s="15" t="e">
        <f>apparentsize($B$2, astrodaysfromdt(A146))</f>
        <v>#VALUE!</v>
      </c>
    </row>
    <row r="147" spans="1:6" x14ac:dyDescent="0.25">
      <c r="A147" s="1">
        <f t="shared" si="17"/>
        <v>45941</v>
      </c>
      <c r="B147" s="12">
        <f t="shared" si="18"/>
        <v>0.26748225508541673</v>
      </c>
      <c r="C147" s="14">
        <f t="shared" si="15"/>
        <v>59.601325531049184</v>
      </c>
      <c r="D147" s="12">
        <f t="shared" si="16"/>
        <v>0.26637711896694688</v>
      </c>
      <c r="E147" s="25" t="e">
        <f>visualmagnitude($B$2,astrodaysfromdt(A147))</f>
        <v>#VALUE!</v>
      </c>
      <c r="F147" s="15" t="e">
        <f>apparentsize($B$2, astrodaysfromdt(A147))</f>
        <v>#VALUE!</v>
      </c>
    </row>
    <row r="148" spans="1:6" x14ac:dyDescent="0.25">
      <c r="A148" s="1">
        <f t="shared" si="17"/>
        <v>45961</v>
      </c>
      <c r="B148" s="12">
        <f t="shared" si="18"/>
        <v>0.21672160001711868</v>
      </c>
      <c r="C148" s="14">
        <f t="shared" si="15"/>
        <v>59.419436597210677</v>
      </c>
      <c r="D148" s="12">
        <f t="shared" si="16"/>
        <v>0.21672160001711868</v>
      </c>
      <c r="E148" s="25" t="e">
        <f>visualmagnitude($B$2,astrodaysfromdt(A148))</f>
        <v>#VALUE!</v>
      </c>
      <c r="F148" s="15" t="e">
        <f>apparentsize($B$2, astrodaysfromdt(A148))</f>
        <v>#VALUE!</v>
      </c>
    </row>
    <row r="149" spans="1:6" x14ac:dyDescent="0.25">
      <c r="A149" s="1"/>
      <c r="B149" s="12"/>
      <c r="C149" s="14"/>
    </row>
    <row r="150" spans="1:6" x14ac:dyDescent="0.25">
      <c r="A150" s="1"/>
      <c r="B150" s="12"/>
      <c r="C150" s="14"/>
    </row>
    <row r="151" spans="1:6" x14ac:dyDescent="0.25">
      <c r="A151" s="1"/>
      <c r="B151" s="12"/>
      <c r="C151" s="14"/>
    </row>
    <row r="152" spans="1:6" x14ac:dyDescent="0.25">
      <c r="A152" s="1"/>
      <c r="B152" s="12"/>
      <c r="C152" s="14"/>
    </row>
    <row r="153" spans="1:6" x14ac:dyDescent="0.25">
      <c r="A153" s="1"/>
      <c r="B153" s="12"/>
      <c r="C153" s="14"/>
    </row>
    <row r="154" spans="1:6" x14ac:dyDescent="0.25">
      <c r="A154" s="1"/>
      <c r="B154" s="8"/>
    </row>
    <row r="155" spans="1:6" x14ac:dyDescent="0.25">
      <c r="A155" s="1"/>
      <c r="B155" s="8"/>
    </row>
    <row r="156" spans="1:6" x14ac:dyDescent="0.25">
      <c r="A156" s="1"/>
      <c r="B156" s="8"/>
    </row>
    <row r="157" spans="1:6" x14ac:dyDescent="0.25">
      <c r="A157" s="1"/>
      <c r="B157" s="8"/>
    </row>
    <row r="158" spans="1:6" x14ac:dyDescent="0.25">
      <c r="A158" s="1"/>
      <c r="B158" s="8"/>
    </row>
    <row r="159" spans="1:6" x14ac:dyDescent="0.25">
      <c r="A159" s="1"/>
      <c r="B159" s="8"/>
    </row>
    <row r="160" spans="1:6" x14ac:dyDescent="0.25">
      <c r="A160" s="1"/>
      <c r="B160" s="8"/>
    </row>
    <row r="161" spans="1:2" x14ac:dyDescent="0.25">
      <c r="A161" s="1"/>
      <c r="B161" s="8"/>
    </row>
    <row r="162" spans="1:2" x14ac:dyDescent="0.25">
      <c r="A162" s="1"/>
      <c r="B162" s="8"/>
    </row>
    <row r="163" spans="1:2" x14ac:dyDescent="0.25">
      <c r="A163" s="1"/>
      <c r="B163" s="8"/>
    </row>
    <row r="164" spans="1:2" x14ac:dyDescent="0.25">
      <c r="A164" s="1"/>
      <c r="B164" s="8"/>
    </row>
    <row r="165" spans="1:2" x14ac:dyDescent="0.25">
      <c r="A165" s="1"/>
      <c r="B165" s="8"/>
    </row>
    <row r="166" spans="1:2" x14ac:dyDescent="0.25">
      <c r="A166" s="1"/>
      <c r="B166" s="8"/>
    </row>
    <row r="167" spans="1:2" x14ac:dyDescent="0.25">
      <c r="A167" s="1"/>
      <c r="B167" s="8"/>
    </row>
    <row r="168" spans="1:2" x14ac:dyDescent="0.25">
      <c r="A168" s="1"/>
      <c r="B168" s="8"/>
    </row>
    <row r="169" spans="1:2" x14ac:dyDescent="0.25">
      <c r="A169" s="1"/>
      <c r="B169" s="8"/>
    </row>
    <row r="170" spans="1:2" x14ac:dyDescent="0.25">
      <c r="A170" s="1"/>
      <c r="B170" s="8"/>
    </row>
    <row r="171" spans="1:2" x14ac:dyDescent="0.25">
      <c r="A171" s="1"/>
      <c r="B171" s="8"/>
    </row>
    <row r="172" spans="1:2" x14ac:dyDescent="0.25">
      <c r="A172" s="1"/>
      <c r="B172" s="8"/>
    </row>
    <row r="173" spans="1:2" x14ac:dyDescent="0.25">
      <c r="A173" s="1"/>
      <c r="B173" s="8"/>
    </row>
    <row r="174" spans="1:2" x14ac:dyDescent="0.25">
      <c r="A174" s="1"/>
      <c r="B174" s="8"/>
    </row>
    <row r="175" spans="1:2" x14ac:dyDescent="0.25">
      <c r="A175" s="1"/>
      <c r="B175" s="8"/>
    </row>
    <row r="176" spans="1:2" x14ac:dyDescent="0.25">
      <c r="A176" s="1"/>
      <c r="B176" s="8"/>
    </row>
    <row r="177" spans="1:2" x14ac:dyDescent="0.25">
      <c r="A177" s="1"/>
      <c r="B177" s="8"/>
    </row>
    <row r="178" spans="1:2" x14ac:dyDescent="0.25">
      <c r="A178" s="1"/>
      <c r="B178" s="8"/>
    </row>
    <row r="179" spans="1:2" x14ac:dyDescent="0.25">
      <c r="A179" s="1"/>
      <c r="B179" s="8"/>
    </row>
    <row r="180" spans="1:2" x14ac:dyDescent="0.25">
      <c r="A180" s="1"/>
      <c r="B180" s="8"/>
    </row>
    <row r="181" spans="1:2" x14ac:dyDescent="0.25">
      <c r="A181" s="1"/>
      <c r="B181" s="8"/>
    </row>
    <row r="182" spans="1:2" x14ac:dyDescent="0.25">
      <c r="A182" s="1"/>
      <c r="B182" s="8"/>
    </row>
    <row r="183" spans="1:2" x14ac:dyDescent="0.25">
      <c r="A183" s="1"/>
      <c r="B183" s="8"/>
    </row>
    <row r="184" spans="1:2" x14ac:dyDescent="0.25">
      <c r="A184" s="1"/>
      <c r="B184" s="8"/>
    </row>
    <row r="185" spans="1:2" x14ac:dyDescent="0.25">
      <c r="A185" s="1"/>
      <c r="B185" s="8"/>
    </row>
    <row r="186" spans="1:2" x14ac:dyDescent="0.25">
      <c r="A186" s="1"/>
      <c r="B186" s="8"/>
    </row>
    <row r="187" spans="1:2" x14ac:dyDescent="0.25">
      <c r="A187" s="1"/>
      <c r="B187" s="8"/>
    </row>
    <row r="188" spans="1:2" x14ac:dyDescent="0.25">
      <c r="A188" s="1"/>
      <c r="B188" s="8"/>
    </row>
    <row r="189" spans="1:2" x14ac:dyDescent="0.25">
      <c r="A189" s="1"/>
      <c r="B189" s="8"/>
    </row>
    <row r="190" spans="1:2" x14ac:dyDescent="0.25">
      <c r="A190" s="1"/>
      <c r="B190" s="8"/>
    </row>
    <row r="191" spans="1:2" x14ac:dyDescent="0.25">
      <c r="A191" s="1"/>
      <c r="B191" s="8"/>
    </row>
    <row r="192" spans="1:2" x14ac:dyDescent="0.25">
      <c r="A192" s="1"/>
      <c r="B192" s="8"/>
    </row>
    <row r="193" spans="1:2" x14ac:dyDescent="0.25">
      <c r="A193" s="1"/>
      <c r="B193" s="8"/>
    </row>
    <row r="194" spans="1:2" x14ac:dyDescent="0.25">
      <c r="A194" s="1"/>
      <c r="B194" s="8"/>
    </row>
    <row r="195" spans="1:2" x14ac:dyDescent="0.25">
      <c r="A195" s="1"/>
      <c r="B195" s="8"/>
    </row>
    <row r="196" spans="1:2" x14ac:dyDescent="0.25">
      <c r="A196" s="1"/>
      <c r="B196" s="8"/>
    </row>
    <row r="197" spans="1:2" x14ac:dyDescent="0.25">
      <c r="A197" s="1"/>
      <c r="B197" s="8"/>
    </row>
    <row r="198" spans="1:2" x14ac:dyDescent="0.25">
      <c r="A198" s="1"/>
      <c r="B198" s="8"/>
    </row>
    <row r="199" spans="1:2" x14ac:dyDescent="0.25">
      <c r="A199" s="1"/>
      <c r="B199" s="8"/>
    </row>
    <row r="200" spans="1:2" x14ac:dyDescent="0.25">
      <c r="A200" s="1"/>
      <c r="B200" s="8"/>
    </row>
    <row r="201" spans="1:2" x14ac:dyDescent="0.25">
      <c r="A201" s="1"/>
      <c r="B201" s="8"/>
    </row>
    <row r="202" spans="1:2" x14ac:dyDescent="0.25">
      <c r="A202" s="1"/>
      <c r="B202" s="8"/>
    </row>
    <row r="203" spans="1:2" x14ac:dyDescent="0.25">
      <c r="A203" s="1"/>
      <c r="B203" s="8"/>
    </row>
    <row r="204" spans="1:2" x14ac:dyDescent="0.25">
      <c r="A204" s="1"/>
      <c r="B204" s="8"/>
    </row>
    <row r="205" spans="1:2" x14ac:dyDescent="0.25">
      <c r="A205" s="1"/>
      <c r="B205" s="8"/>
    </row>
    <row r="206" spans="1:2" x14ac:dyDescent="0.25">
      <c r="A206" s="1"/>
      <c r="B206" s="8"/>
    </row>
    <row r="207" spans="1:2" x14ac:dyDescent="0.25">
      <c r="A207" s="1"/>
      <c r="B207" s="8"/>
    </row>
    <row r="208" spans="1:2" x14ac:dyDescent="0.25">
      <c r="A208" s="1"/>
      <c r="B208" s="8"/>
    </row>
    <row r="209" spans="1:2" x14ac:dyDescent="0.25">
      <c r="A209" s="1"/>
      <c r="B209" s="8"/>
    </row>
    <row r="210" spans="1:2" x14ac:dyDescent="0.25">
      <c r="A210" s="1"/>
      <c r="B210" s="8"/>
    </row>
    <row r="211" spans="1:2" x14ac:dyDescent="0.25">
      <c r="A211" s="1"/>
      <c r="B211" s="8"/>
    </row>
    <row r="212" spans="1:2" x14ac:dyDescent="0.25">
      <c r="A212" s="1"/>
      <c r="B212" s="8"/>
    </row>
    <row r="213" spans="1:2" x14ac:dyDescent="0.25">
      <c r="A213" s="1"/>
      <c r="B213" s="8"/>
    </row>
    <row r="214" spans="1:2" x14ac:dyDescent="0.25">
      <c r="A214" s="1"/>
      <c r="B214" s="8"/>
    </row>
    <row r="215" spans="1:2" x14ac:dyDescent="0.25">
      <c r="A215" s="1"/>
      <c r="B215" s="8"/>
    </row>
    <row r="216" spans="1:2" x14ac:dyDescent="0.25">
      <c r="A216" s="1"/>
      <c r="B216" s="8"/>
    </row>
    <row r="217" spans="1:2" x14ac:dyDescent="0.25">
      <c r="A217" s="1"/>
      <c r="B217" s="8"/>
    </row>
    <row r="218" spans="1:2" x14ac:dyDescent="0.25">
      <c r="A218" s="1"/>
      <c r="B218" s="8"/>
    </row>
    <row r="219" spans="1:2" x14ac:dyDescent="0.25">
      <c r="A219" s="1"/>
      <c r="B219" s="8"/>
    </row>
    <row r="220" spans="1:2" x14ac:dyDescent="0.25">
      <c r="A220" s="1"/>
      <c r="B220" s="8"/>
    </row>
    <row r="221" spans="1:2" x14ac:dyDescent="0.25">
      <c r="A221" s="1"/>
      <c r="B221" s="8"/>
    </row>
    <row r="222" spans="1:2" x14ac:dyDescent="0.25">
      <c r="A222" s="1"/>
      <c r="B222" s="8"/>
    </row>
    <row r="223" spans="1:2" x14ac:dyDescent="0.25">
      <c r="A223" s="1"/>
      <c r="B223" s="8"/>
    </row>
    <row r="224" spans="1:2" x14ac:dyDescent="0.25">
      <c r="A224" s="1"/>
      <c r="B224" s="8"/>
    </row>
    <row r="225" spans="1:2" x14ac:dyDescent="0.25">
      <c r="A225" s="1"/>
      <c r="B225" s="8"/>
    </row>
    <row r="226" spans="1:2" x14ac:dyDescent="0.25">
      <c r="A226" s="1"/>
      <c r="B226" s="8"/>
    </row>
    <row r="227" spans="1:2" x14ac:dyDescent="0.25">
      <c r="A227" s="1"/>
      <c r="B227" s="8"/>
    </row>
    <row r="228" spans="1:2" x14ac:dyDescent="0.25">
      <c r="A228" s="1"/>
      <c r="B228" s="8"/>
    </row>
    <row r="229" spans="1:2" x14ac:dyDescent="0.25">
      <c r="A229" s="1"/>
      <c r="B229" s="8"/>
    </row>
    <row r="230" spans="1:2" x14ac:dyDescent="0.25">
      <c r="A230" s="1"/>
      <c r="B230" s="8"/>
    </row>
    <row r="231" spans="1:2" x14ac:dyDescent="0.25">
      <c r="A231" s="1"/>
      <c r="B231" s="8"/>
    </row>
    <row r="232" spans="1:2" x14ac:dyDescent="0.25">
      <c r="A232" s="1"/>
      <c r="B232" s="8"/>
    </row>
    <row r="233" spans="1:2" x14ac:dyDescent="0.25">
      <c r="A233" s="1"/>
      <c r="B233" s="8"/>
    </row>
    <row r="234" spans="1:2" x14ac:dyDescent="0.25">
      <c r="A234" s="1"/>
      <c r="B234" s="8"/>
    </row>
    <row r="235" spans="1:2" x14ac:dyDescent="0.25">
      <c r="A235" s="1"/>
      <c r="B235" s="8"/>
    </row>
    <row r="236" spans="1:2" x14ac:dyDescent="0.25">
      <c r="A236" s="1"/>
      <c r="B236" s="8"/>
    </row>
    <row r="237" spans="1:2" x14ac:dyDescent="0.25">
      <c r="A237" s="1"/>
      <c r="B237" s="8"/>
    </row>
    <row r="238" spans="1:2" x14ac:dyDescent="0.25">
      <c r="A238" s="1"/>
      <c r="B238" s="8"/>
    </row>
    <row r="239" spans="1:2" x14ac:dyDescent="0.25">
      <c r="A239" s="1"/>
      <c r="B239" s="8"/>
    </row>
    <row r="240" spans="1:2" x14ac:dyDescent="0.25">
      <c r="A240" s="1"/>
      <c r="B240" s="8"/>
    </row>
    <row r="241" spans="1:2" x14ac:dyDescent="0.25">
      <c r="A241" s="1"/>
      <c r="B241" s="8"/>
    </row>
    <row r="242" spans="1:2" x14ac:dyDescent="0.25">
      <c r="A242" s="1"/>
      <c r="B242" s="8"/>
    </row>
    <row r="243" spans="1:2" x14ac:dyDescent="0.25">
      <c r="A243" s="1"/>
      <c r="B243" s="8"/>
    </row>
    <row r="244" spans="1:2" x14ac:dyDescent="0.25">
      <c r="A244" s="1"/>
      <c r="B244" s="8"/>
    </row>
    <row r="245" spans="1:2" x14ac:dyDescent="0.25">
      <c r="A245" s="1"/>
      <c r="B245" s="8"/>
    </row>
    <row r="246" spans="1:2" x14ac:dyDescent="0.25">
      <c r="A246" s="1"/>
      <c r="B246" s="8"/>
    </row>
    <row r="247" spans="1:2" x14ac:dyDescent="0.25">
      <c r="A247" s="1"/>
      <c r="B247" s="8"/>
    </row>
    <row r="248" spans="1:2" x14ac:dyDescent="0.25">
      <c r="A248" s="1"/>
      <c r="B248" s="8"/>
    </row>
    <row r="249" spans="1:2" x14ac:dyDescent="0.25">
      <c r="A249" s="1"/>
      <c r="B249" s="8"/>
    </row>
    <row r="250" spans="1:2" x14ac:dyDescent="0.25">
      <c r="A250" s="1"/>
      <c r="B250" s="8"/>
    </row>
    <row r="251" spans="1:2" x14ac:dyDescent="0.25">
      <c r="A251" s="1"/>
      <c r="B251" s="8"/>
    </row>
    <row r="252" spans="1:2" x14ac:dyDescent="0.25">
      <c r="A252" s="1"/>
      <c r="B252" s="8"/>
    </row>
    <row r="253" spans="1:2" x14ac:dyDescent="0.25">
      <c r="A253" s="1"/>
      <c r="B253" s="8"/>
    </row>
    <row r="254" spans="1:2" x14ac:dyDescent="0.25">
      <c r="A254" s="1"/>
      <c r="B254" s="8"/>
    </row>
    <row r="255" spans="1:2" x14ac:dyDescent="0.25">
      <c r="A255" s="1"/>
      <c r="B255" s="8"/>
    </row>
    <row r="256" spans="1:2" x14ac:dyDescent="0.25">
      <c r="A256" s="1"/>
      <c r="B256" s="8"/>
    </row>
    <row r="257" spans="1:2" x14ac:dyDescent="0.25">
      <c r="A257" s="1"/>
      <c r="B257" s="8"/>
    </row>
    <row r="258" spans="1:2" x14ac:dyDescent="0.25">
      <c r="A258" s="1"/>
      <c r="B258" s="8"/>
    </row>
    <row r="259" spans="1:2" x14ac:dyDescent="0.25">
      <c r="A259" s="1"/>
      <c r="B259" s="8"/>
    </row>
    <row r="260" spans="1:2" x14ac:dyDescent="0.25">
      <c r="A260" s="1"/>
      <c r="B260" s="8"/>
    </row>
    <row r="261" spans="1:2" x14ac:dyDescent="0.25">
      <c r="A261" s="1"/>
      <c r="B261" s="8"/>
    </row>
    <row r="262" spans="1:2" x14ac:dyDescent="0.25">
      <c r="A262" s="1"/>
      <c r="B262" s="8"/>
    </row>
    <row r="263" spans="1:2" x14ac:dyDescent="0.25">
      <c r="A263" s="1"/>
      <c r="B263" s="8"/>
    </row>
    <row r="264" spans="1:2" x14ac:dyDescent="0.25">
      <c r="A264" s="1"/>
      <c r="B264" s="8"/>
    </row>
    <row r="265" spans="1:2" x14ac:dyDescent="0.25">
      <c r="A265" s="1"/>
      <c r="B265" s="8"/>
    </row>
    <row r="266" spans="1:2" x14ac:dyDescent="0.25">
      <c r="A266" s="1"/>
      <c r="B266" s="8"/>
    </row>
    <row r="267" spans="1:2" x14ac:dyDescent="0.25">
      <c r="A267" s="1"/>
      <c r="B267" s="8"/>
    </row>
    <row r="268" spans="1:2" x14ac:dyDescent="0.25">
      <c r="A268" s="1"/>
      <c r="B268" s="8"/>
    </row>
    <row r="269" spans="1:2" x14ac:dyDescent="0.25">
      <c r="A269" s="1"/>
      <c r="B269" s="8"/>
    </row>
    <row r="270" spans="1:2" x14ac:dyDescent="0.25">
      <c r="A270" s="1"/>
      <c r="B270" s="8"/>
    </row>
    <row r="271" spans="1:2" x14ac:dyDescent="0.25">
      <c r="A271" s="1"/>
      <c r="B271" s="8"/>
    </row>
    <row r="272" spans="1:2" x14ac:dyDescent="0.25">
      <c r="A272" s="1"/>
      <c r="B272" s="8"/>
    </row>
    <row r="273" spans="1:2" x14ac:dyDescent="0.25">
      <c r="A273" s="1"/>
      <c r="B273" s="8"/>
    </row>
    <row r="274" spans="1:2" x14ac:dyDescent="0.25">
      <c r="A274" s="1"/>
      <c r="B274" s="8"/>
    </row>
    <row r="275" spans="1:2" x14ac:dyDescent="0.25">
      <c r="A275" s="1"/>
      <c r="B275" s="8"/>
    </row>
    <row r="276" spans="1:2" x14ac:dyDescent="0.25">
      <c r="A276" s="1"/>
      <c r="B276" s="8"/>
    </row>
    <row r="277" spans="1:2" x14ac:dyDescent="0.25">
      <c r="A277" s="1"/>
      <c r="B277" s="8"/>
    </row>
    <row r="278" spans="1:2" x14ac:dyDescent="0.25">
      <c r="A278" s="1"/>
      <c r="B278" s="8"/>
    </row>
    <row r="279" spans="1:2" x14ac:dyDescent="0.25">
      <c r="A279" s="1"/>
      <c r="B279" s="8"/>
    </row>
    <row r="280" spans="1:2" x14ac:dyDescent="0.25">
      <c r="A280" s="1"/>
      <c r="B280" s="8"/>
    </row>
    <row r="281" spans="1:2" x14ac:dyDescent="0.25">
      <c r="A281" s="1"/>
      <c r="B281" s="8"/>
    </row>
    <row r="282" spans="1:2" x14ac:dyDescent="0.25">
      <c r="A282" s="1"/>
      <c r="B282" s="8"/>
    </row>
    <row r="283" spans="1:2" x14ac:dyDescent="0.25">
      <c r="A283" s="1"/>
      <c r="B283" s="8"/>
    </row>
    <row r="284" spans="1:2" x14ac:dyDescent="0.25">
      <c r="A284" s="1"/>
      <c r="B284" s="8"/>
    </row>
    <row r="285" spans="1:2" x14ac:dyDescent="0.25">
      <c r="A285" s="1"/>
      <c r="B285" s="8"/>
    </row>
    <row r="286" spans="1:2" x14ac:dyDescent="0.25">
      <c r="A286" s="1"/>
      <c r="B286" s="8"/>
    </row>
    <row r="287" spans="1:2" x14ac:dyDescent="0.25">
      <c r="A287" s="1"/>
      <c r="B287" s="8"/>
    </row>
    <row r="288" spans="1:2" x14ac:dyDescent="0.25">
      <c r="A288" s="1"/>
      <c r="B288" s="8"/>
    </row>
    <row r="289" spans="1:2" x14ac:dyDescent="0.25">
      <c r="A289" s="1"/>
      <c r="B289" s="8"/>
    </row>
    <row r="290" spans="1:2" x14ac:dyDescent="0.25">
      <c r="A290" s="1"/>
      <c r="B290" s="8"/>
    </row>
    <row r="291" spans="1:2" x14ac:dyDescent="0.25">
      <c r="A291" s="1"/>
      <c r="B291" s="8"/>
    </row>
    <row r="292" spans="1:2" x14ac:dyDescent="0.25">
      <c r="A292" s="1"/>
      <c r="B292" s="8"/>
    </row>
    <row r="293" spans="1:2" x14ac:dyDescent="0.25">
      <c r="A293" s="1"/>
      <c r="B293" s="8"/>
    </row>
    <row r="294" spans="1:2" x14ac:dyDescent="0.25">
      <c r="A294" s="1"/>
      <c r="B294" s="8"/>
    </row>
    <row r="295" spans="1:2" x14ac:dyDescent="0.25">
      <c r="A295" s="1"/>
      <c r="B295" s="8"/>
    </row>
    <row r="296" spans="1:2" x14ac:dyDescent="0.25">
      <c r="A296" s="1"/>
      <c r="B296" s="8"/>
    </row>
    <row r="297" spans="1:2" x14ac:dyDescent="0.25">
      <c r="A297" s="1"/>
      <c r="B297" s="8"/>
    </row>
    <row r="298" spans="1:2" x14ac:dyDescent="0.25">
      <c r="A298" s="1"/>
      <c r="B298" s="8"/>
    </row>
    <row r="299" spans="1:2" x14ac:dyDescent="0.25">
      <c r="A299" s="1"/>
      <c r="B299" s="8"/>
    </row>
    <row r="300" spans="1:2" x14ac:dyDescent="0.25">
      <c r="A300" s="1"/>
      <c r="B300" s="8"/>
    </row>
    <row r="301" spans="1:2" x14ac:dyDescent="0.25">
      <c r="A301" s="1"/>
      <c r="B301" s="8"/>
    </row>
    <row r="302" spans="1:2" x14ac:dyDescent="0.25">
      <c r="A302" s="1"/>
      <c r="B302" s="8"/>
    </row>
    <row r="303" spans="1:2" x14ac:dyDescent="0.25">
      <c r="A303" s="1"/>
      <c r="B303" s="8"/>
    </row>
    <row r="304" spans="1:2" x14ac:dyDescent="0.25">
      <c r="A304" s="1"/>
      <c r="B304" s="8"/>
    </row>
    <row r="305" spans="1:2" x14ac:dyDescent="0.25">
      <c r="A305" s="1"/>
      <c r="B305" s="8"/>
    </row>
    <row r="306" spans="1:2" x14ac:dyDescent="0.25">
      <c r="A306" s="1"/>
      <c r="B306" s="8"/>
    </row>
    <row r="307" spans="1:2" x14ac:dyDescent="0.25">
      <c r="A307" s="1"/>
      <c r="B307" s="8"/>
    </row>
    <row r="308" spans="1:2" x14ac:dyDescent="0.25">
      <c r="A308" s="1"/>
      <c r="B308" s="8"/>
    </row>
    <row r="309" spans="1:2" x14ac:dyDescent="0.25">
      <c r="A309" s="1"/>
      <c r="B309" s="8"/>
    </row>
    <row r="310" spans="1:2" x14ac:dyDescent="0.25">
      <c r="A310" s="1"/>
      <c r="B310" s="8"/>
    </row>
    <row r="311" spans="1:2" x14ac:dyDescent="0.25">
      <c r="A311" s="1"/>
      <c r="B311" s="8"/>
    </row>
    <row r="312" spans="1:2" x14ac:dyDescent="0.25">
      <c r="A312" s="1"/>
      <c r="B312" s="8"/>
    </row>
    <row r="313" spans="1:2" x14ac:dyDescent="0.25">
      <c r="A313" s="1"/>
      <c r="B313" s="8"/>
    </row>
    <row r="314" spans="1:2" x14ac:dyDescent="0.25">
      <c r="A314" s="1"/>
      <c r="B314" s="8"/>
    </row>
    <row r="315" spans="1:2" x14ac:dyDescent="0.25">
      <c r="A315" s="1"/>
      <c r="B315" s="8"/>
    </row>
    <row r="316" spans="1:2" x14ac:dyDescent="0.25">
      <c r="A316" s="1"/>
      <c r="B316" s="8"/>
    </row>
    <row r="317" spans="1:2" x14ac:dyDescent="0.25">
      <c r="A317" s="1"/>
      <c r="B317" s="8"/>
    </row>
    <row r="318" spans="1:2" x14ac:dyDescent="0.25">
      <c r="A318" s="1"/>
      <c r="B318" s="8"/>
    </row>
    <row r="319" spans="1:2" x14ac:dyDescent="0.25">
      <c r="A319" s="1"/>
      <c r="B319" s="8"/>
    </row>
    <row r="320" spans="1:2" x14ac:dyDescent="0.25">
      <c r="A320" s="1"/>
      <c r="B320" s="8"/>
    </row>
    <row r="321" spans="1:2" x14ac:dyDescent="0.25">
      <c r="A321" s="1"/>
      <c r="B321" s="8"/>
    </row>
    <row r="322" spans="1:2" x14ac:dyDescent="0.25">
      <c r="A322" s="1"/>
      <c r="B322" s="8"/>
    </row>
    <row r="323" spans="1:2" x14ac:dyDescent="0.25">
      <c r="A323" s="1"/>
      <c r="B323" s="8"/>
    </row>
    <row r="324" spans="1:2" x14ac:dyDescent="0.25">
      <c r="A324" s="1"/>
      <c r="B324" s="8"/>
    </row>
    <row r="325" spans="1:2" x14ac:dyDescent="0.25">
      <c r="A325" s="1"/>
      <c r="B325" s="8"/>
    </row>
    <row r="326" spans="1:2" x14ac:dyDescent="0.25">
      <c r="A326" s="1"/>
      <c r="B326" s="8"/>
    </row>
    <row r="327" spans="1:2" x14ac:dyDescent="0.25">
      <c r="A327" s="1"/>
      <c r="B327" s="8"/>
    </row>
    <row r="328" spans="1:2" x14ac:dyDescent="0.25">
      <c r="A328" s="1"/>
      <c r="B328" s="8"/>
    </row>
    <row r="329" spans="1:2" x14ac:dyDescent="0.25">
      <c r="A329" s="1"/>
      <c r="B329" s="8"/>
    </row>
    <row r="330" spans="1:2" x14ac:dyDescent="0.25">
      <c r="A330" s="1"/>
      <c r="B330" s="8"/>
    </row>
    <row r="331" spans="1:2" x14ac:dyDescent="0.25">
      <c r="A331" s="1"/>
      <c r="B331" s="8"/>
    </row>
    <row r="332" spans="1:2" x14ac:dyDescent="0.25">
      <c r="A332" s="1"/>
      <c r="B332" s="8"/>
    </row>
    <row r="333" spans="1:2" x14ac:dyDescent="0.25">
      <c r="A333" s="1"/>
      <c r="B333" s="8"/>
    </row>
    <row r="334" spans="1:2" x14ac:dyDescent="0.25">
      <c r="A334" s="1"/>
      <c r="B334" s="8"/>
    </row>
    <row r="335" spans="1:2" x14ac:dyDescent="0.25">
      <c r="A335" s="1"/>
      <c r="B335" s="8"/>
    </row>
    <row r="336" spans="1:2" x14ac:dyDescent="0.25">
      <c r="A336" s="1"/>
      <c r="B336" s="8"/>
    </row>
    <row r="337" spans="1:2" x14ac:dyDescent="0.25">
      <c r="A337" s="1"/>
      <c r="B337" s="8"/>
    </row>
    <row r="338" spans="1:2" x14ac:dyDescent="0.25">
      <c r="A338" s="1"/>
      <c r="B338" s="8"/>
    </row>
    <row r="339" spans="1:2" x14ac:dyDescent="0.25">
      <c r="A339" s="1"/>
      <c r="B339" s="8"/>
    </row>
    <row r="340" spans="1:2" x14ac:dyDescent="0.25">
      <c r="A340" s="1"/>
      <c r="B340" s="8"/>
    </row>
    <row r="341" spans="1:2" x14ac:dyDescent="0.25">
      <c r="A341" s="1"/>
      <c r="B341" s="8"/>
    </row>
    <row r="342" spans="1:2" x14ac:dyDescent="0.25">
      <c r="A342" s="1"/>
      <c r="B342" s="8"/>
    </row>
    <row r="343" spans="1:2" x14ac:dyDescent="0.25">
      <c r="A343" s="1"/>
      <c r="B343" s="8"/>
    </row>
    <row r="344" spans="1:2" x14ac:dyDescent="0.25">
      <c r="A344" s="1"/>
      <c r="B344" s="8"/>
    </row>
    <row r="345" spans="1:2" x14ac:dyDescent="0.25">
      <c r="A345" s="1"/>
      <c r="B345" s="8"/>
    </row>
    <row r="346" spans="1:2" x14ac:dyDescent="0.25">
      <c r="A346" s="1"/>
      <c r="B346" s="8"/>
    </row>
    <row r="347" spans="1:2" x14ac:dyDescent="0.25">
      <c r="A347" s="1"/>
      <c r="B347" s="8"/>
    </row>
    <row r="348" spans="1:2" x14ac:dyDescent="0.25">
      <c r="A348" s="1"/>
      <c r="B348" s="8"/>
    </row>
    <row r="349" spans="1:2" x14ac:dyDescent="0.25">
      <c r="A349" s="1"/>
      <c r="B349" s="8"/>
    </row>
    <row r="350" spans="1:2" x14ac:dyDescent="0.25">
      <c r="A350" s="1"/>
      <c r="B350" s="8"/>
    </row>
    <row r="351" spans="1:2" x14ac:dyDescent="0.25">
      <c r="A351" s="1"/>
      <c r="B351" s="8"/>
    </row>
    <row r="352" spans="1:2" x14ac:dyDescent="0.25">
      <c r="A352" s="1"/>
      <c r="B352" s="8"/>
    </row>
    <row r="353" spans="1:2" x14ac:dyDescent="0.25">
      <c r="A353" s="1"/>
      <c r="B353" s="8"/>
    </row>
    <row r="354" spans="1:2" x14ac:dyDescent="0.25">
      <c r="A354" s="1"/>
      <c r="B354" s="8"/>
    </row>
    <row r="355" spans="1:2" x14ac:dyDescent="0.25">
      <c r="A355" s="1"/>
      <c r="B355" s="8"/>
    </row>
    <row r="356" spans="1:2" x14ac:dyDescent="0.25">
      <c r="A356" s="1"/>
      <c r="B356" s="8"/>
    </row>
    <row r="357" spans="1:2" x14ac:dyDescent="0.25">
      <c r="A357" s="1"/>
      <c r="B357" s="8"/>
    </row>
    <row r="358" spans="1:2" x14ac:dyDescent="0.25">
      <c r="A358" s="1"/>
      <c r="B358" s="8"/>
    </row>
    <row r="359" spans="1:2" x14ac:dyDescent="0.25">
      <c r="A359" s="1"/>
      <c r="B359" s="8"/>
    </row>
    <row r="360" spans="1:2" x14ac:dyDescent="0.25">
      <c r="A360" s="1"/>
      <c r="B360" s="8"/>
    </row>
    <row r="361" spans="1:2" x14ac:dyDescent="0.25">
      <c r="A361" s="1"/>
      <c r="B361" s="8"/>
    </row>
    <row r="362" spans="1:2" x14ac:dyDescent="0.25">
      <c r="A362" s="1"/>
      <c r="B362" s="8"/>
    </row>
    <row r="363" spans="1:2" x14ac:dyDescent="0.25">
      <c r="A363" s="1"/>
      <c r="B363" s="8"/>
    </row>
    <row r="364" spans="1:2" x14ac:dyDescent="0.25">
      <c r="A364" s="1"/>
      <c r="B364" s="8"/>
    </row>
    <row r="365" spans="1:2" x14ac:dyDescent="0.25">
      <c r="A365" s="1"/>
      <c r="B365" s="8"/>
    </row>
    <row r="366" spans="1:2" x14ac:dyDescent="0.25">
      <c r="A366" s="1"/>
      <c r="B366" s="8"/>
    </row>
    <row r="367" spans="1:2" x14ac:dyDescent="0.25">
      <c r="A367" s="1"/>
      <c r="B367" s="8"/>
    </row>
    <row r="368" spans="1:2" x14ac:dyDescent="0.25">
      <c r="A368" s="1"/>
      <c r="B368" s="8"/>
    </row>
    <row r="369" spans="1:2" x14ac:dyDescent="0.25">
      <c r="A369" s="1"/>
      <c r="B369" s="8"/>
    </row>
    <row r="370" spans="1:2" x14ac:dyDescent="0.25">
      <c r="A370" s="1"/>
      <c r="B370" s="8"/>
    </row>
    <row r="371" spans="1:2" x14ac:dyDescent="0.25">
      <c r="A371" s="1"/>
      <c r="B371" s="8"/>
    </row>
    <row r="372" spans="1:2" x14ac:dyDescent="0.25">
      <c r="A372" s="1"/>
      <c r="B372" s="8"/>
    </row>
    <row r="373" spans="1:2" x14ac:dyDescent="0.25">
      <c r="A373" s="1"/>
      <c r="B373" s="8"/>
    </row>
    <row r="374" spans="1:2" x14ac:dyDescent="0.25">
      <c r="A374" s="1"/>
      <c r="B374" s="8"/>
    </row>
    <row r="375" spans="1:2" x14ac:dyDescent="0.25">
      <c r="A375" s="1"/>
      <c r="B375" s="8"/>
    </row>
    <row r="376" spans="1:2" x14ac:dyDescent="0.25">
      <c r="A376" s="1"/>
      <c r="B376" s="8"/>
    </row>
    <row r="377" spans="1:2" x14ac:dyDescent="0.25">
      <c r="A377" s="1"/>
      <c r="B377" s="8"/>
    </row>
    <row r="378" spans="1:2" x14ac:dyDescent="0.25">
      <c r="A378" s="1"/>
      <c r="B378" s="8"/>
    </row>
    <row r="379" spans="1:2" x14ac:dyDescent="0.25">
      <c r="A379" s="1"/>
      <c r="B379" s="8"/>
    </row>
    <row r="380" spans="1:2" x14ac:dyDescent="0.25">
      <c r="A380" s="1"/>
      <c r="B380" s="8"/>
    </row>
    <row r="381" spans="1:2" x14ac:dyDescent="0.25">
      <c r="A381" s="1"/>
      <c r="B381" s="8"/>
    </row>
    <row r="382" spans="1:2" x14ac:dyDescent="0.25">
      <c r="A382" s="1"/>
      <c r="B382" s="8"/>
    </row>
    <row r="383" spans="1:2" x14ac:dyDescent="0.25">
      <c r="A383" s="1"/>
      <c r="B383" s="8"/>
    </row>
    <row r="384" spans="1:2" x14ac:dyDescent="0.25">
      <c r="A384" s="1"/>
      <c r="B384" s="8"/>
    </row>
    <row r="385" spans="1:2" x14ac:dyDescent="0.25">
      <c r="A385" s="1"/>
      <c r="B385" s="8"/>
    </row>
    <row r="386" spans="1:2" x14ac:dyDescent="0.25">
      <c r="A386" s="1"/>
      <c r="B386" s="8"/>
    </row>
    <row r="387" spans="1:2" x14ac:dyDescent="0.25">
      <c r="A387" s="1"/>
      <c r="B387" s="8"/>
    </row>
    <row r="388" spans="1:2" x14ac:dyDescent="0.25">
      <c r="A388" s="1"/>
      <c r="B388" s="8"/>
    </row>
    <row r="389" spans="1:2" x14ac:dyDescent="0.25">
      <c r="A389" s="1"/>
      <c r="B389" s="8"/>
    </row>
    <row r="390" spans="1:2" x14ac:dyDescent="0.25">
      <c r="A390" s="1"/>
      <c r="B390" s="8"/>
    </row>
    <row r="391" spans="1:2" x14ac:dyDescent="0.25">
      <c r="A391" s="1"/>
      <c r="B391" s="8"/>
    </row>
    <row r="1048576" spans="3:4" x14ac:dyDescent="0.25">
      <c r="C1048576" s="14"/>
      <c r="D1048576" s="14"/>
    </row>
  </sheetData>
  <dataConsolidate/>
  <mergeCells count="1">
    <mergeCell ref="I1:N2"/>
  </mergeCells>
  <dataValidations disablePrompts="1" count="2">
    <dataValidation type="list" allowBlank="1" showInputMessage="1" showErrorMessage="1" sqref="C3" xr:uid="{00000000-0002-0000-0000-000000000000}">
      <formula1>$AA$4:$AA$5</formula1>
    </dataValidation>
    <dataValidation type="list" allowBlank="1" showInputMessage="1" showErrorMessage="1" sqref="B3" xr:uid="{00000000-0002-0000-0000-000001000000}">
      <formula1>$X$4:$X$18</formula1>
    </dataValidation>
  </dataValidations>
  <hyperlinks>
    <hyperlink ref="Q30" r:id="rId1" xr:uid="{00000000-0004-0000-0000-000000000000}"/>
    <hyperlink ref="Q32" r:id="rId2" xr:uid="{00000000-0004-0000-0000-000001000000}"/>
  </hyperlinks>
  <pageMargins left="0.70866141732283472" right="0.70866141732283472" top="0.74803149606299213" bottom="0.74803149606299213" header="0.31496062992125984" footer="0.31496062992125984"/>
  <pageSetup paperSize="9" scale="55" orientation="landscape" horizontalDpi="300" verticalDpi="300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298"/>
  <sheetViews>
    <sheetView workbookViewId="0">
      <selection activeCell="B4" sqref="B4"/>
    </sheetView>
  </sheetViews>
  <sheetFormatPr defaultRowHeight="15" x14ac:dyDescent="0.25"/>
  <cols>
    <col min="1" max="1" width="18.28515625" bestFit="1" customWidth="1"/>
    <col min="3" max="3" width="11.5703125" bestFit="1" customWidth="1"/>
    <col min="8" max="8" width="17.42578125" bestFit="1" customWidth="1"/>
    <col min="18" max="18" width="8.140625" bestFit="1" customWidth="1"/>
  </cols>
  <sheetData>
    <row r="1" spans="1:30" x14ac:dyDescent="0.25">
      <c r="B1" t="s">
        <v>55</v>
      </c>
      <c r="C1">
        <f>lati</f>
        <v>51.883000000000003</v>
      </c>
      <c r="E1" t="s">
        <v>56</v>
      </c>
      <c r="F1">
        <f>longi</f>
        <v>-1.3080000000000001</v>
      </c>
      <c r="R1">
        <f>planetno</f>
        <v>5</v>
      </c>
    </row>
    <row r="3" spans="1:30" x14ac:dyDescent="0.25">
      <c r="A3" t="s">
        <v>16</v>
      </c>
      <c r="B3" t="s">
        <v>66</v>
      </c>
      <c r="C3" t="s">
        <v>121</v>
      </c>
      <c r="D3" t="s">
        <v>6</v>
      </c>
      <c r="E3" t="s">
        <v>7</v>
      </c>
    </row>
    <row r="4" spans="1:30" x14ac:dyDescent="0.25">
      <c r="A4" s="48">
        <v>44186.5625</v>
      </c>
      <c r="B4" s="47">
        <f t="shared" ref="B4:B35" si="0">vbLSTFromDt(A4,longi)/24</f>
        <v>0.81049064667954196</v>
      </c>
      <c r="C4" s="28">
        <f>vbastrodaysfromdt(A4)</f>
        <v>7661.5625</v>
      </c>
      <c r="D4" s="47">
        <f t="shared" ref="D4:D35" si="1">vbplanetxyz(5, C4, 6,B4,lati, temp, pres)/360</f>
        <v>0.84058449568839255</v>
      </c>
      <c r="E4" s="47">
        <f t="shared" ref="E4:E35" si="2">vbplanetxyz(6, C4, 6,B4,lati, temp, pres)/360</f>
        <v>0.84195084982841706</v>
      </c>
      <c r="F4" s="47">
        <f>E4-D4</f>
        <v>1.3663541400245061E-3</v>
      </c>
      <c r="G4" s="47"/>
      <c r="H4" s="49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</row>
    <row r="5" spans="1:30" x14ac:dyDescent="0.25">
      <c r="A5" s="48">
        <f>A4+1/24</f>
        <v>44186.604166666664</v>
      </c>
      <c r="B5" s="47">
        <f t="shared" si="0"/>
        <v>0.85225978713753359</v>
      </c>
      <c r="C5" s="28">
        <f t="shared" ref="C5:C68" si="3">vbastrodaysfromdt(A5)</f>
        <v>7661.6041550925929</v>
      </c>
      <c r="D5" s="47">
        <f t="shared" si="1"/>
        <v>0.84061050712035856</v>
      </c>
      <c r="E5" s="47">
        <f t="shared" si="2"/>
        <v>0.84196466187907404</v>
      </c>
      <c r="F5" s="47">
        <f t="shared" ref="F5:F68" si="4">E5-D5</f>
        <v>1.3541547587154756E-3</v>
      </c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</row>
    <row r="6" spans="1:30" x14ac:dyDescent="0.25">
      <c r="A6" s="48">
        <f t="shared" ref="A6:A69" si="5">A5+1/24</f>
        <v>44186.645833333328</v>
      </c>
      <c r="B6" s="47">
        <f t="shared" si="0"/>
        <v>0.8940405333583662</v>
      </c>
      <c r="C6" s="28">
        <f t="shared" si="3"/>
        <v>7661.645821759259</v>
      </c>
      <c r="D6" s="47">
        <f t="shared" si="1"/>
        <v>0.8406365336202255</v>
      </c>
      <c r="E6" s="47">
        <f t="shared" si="2"/>
        <v>0.84197848250854024</v>
      </c>
      <c r="F6" s="47">
        <f t="shared" si="4"/>
        <v>1.3419488883147368E-3</v>
      </c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</row>
    <row r="7" spans="1:30" x14ac:dyDescent="0.25">
      <c r="A7" s="48">
        <f t="shared" si="5"/>
        <v>44186.687499999993</v>
      </c>
      <c r="B7" s="47">
        <f t="shared" si="0"/>
        <v>0.93582127957920347</v>
      </c>
      <c r="C7" s="28">
        <f t="shared" si="3"/>
        <v>7661.6874884259259</v>
      </c>
      <c r="D7" s="47">
        <f t="shared" si="1"/>
        <v>0.84066258120927972</v>
      </c>
      <c r="E7" s="47">
        <f t="shared" si="2"/>
        <v>0.84199231513024775</v>
      </c>
      <c r="F7" s="47">
        <f t="shared" si="4"/>
        <v>1.3297339209680237E-3</v>
      </c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</row>
    <row r="8" spans="1:30" x14ac:dyDescent="0.25">
      <c r="A8" s="48">
        <f t="shared" si="5"/>
        <v>44186.729166666657</v>
      </c>
      <c r="B8" s="47">
        <f t="shared" si="0"/>
        <v>0.97760202580003597</v>
      </c>
      <c r="C8" s="28">
        <f t="shared" si="3"/>
        <v>7661.7291550925929</v>
      </c>
      <c r="D8" s="47">
        <f t="shared" si="1"/>
        <v>0.84068866196685932</v>
      </c>
      <c r="E8" s="47">
        <f t="shared" si="2"/>
        <v>0.84200616637235925</v>
      </c>
      <c r="F8" s="47">
        <f t="shared" si="4"/>
        <v>1.3175044054999363E-3</v>
      </c>
      <c r="R8" s="27"/>
      <c r="S8" s="27"/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</row>
    <row r="9" spans="1:30" x14ac:dyDescent="0.25">
      <c r="A9" s="48">
        <f t="shared" si="5"/>
        <v>44186.770833333321</v>
      </c>
      <c r="B9" s="47">
        <f t="shared" si="0"/>
        <v>1.938277202086849E-2</v>
      </c>
      <c r="C9" s="28">
        <f t="shared" si="3"/>
        <v>7661.770821759259</v>
      </c>
      <c r="D9" s="47">
        <f t="shared" si="1"/>
        <v>0.8407147859759877</v>
      </c>
      <c r="E9" s="47">
        <f t="shared" si="2"/>
        <v>0.84202004178591827</v>
      </c>
      <c r="F9" s="47">
        <f t="shared" si="4"/>
        <v>1.3052558099305722E-3</v>
      </c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</row>
    <row r="10" spans="1:30" x14ac:dyDescent="0.25">
      <c r="A10" s="48">
        <f t="shared" si="5"/>
        <v>44186.812499999985</v>
      </c>
      <c r="B10" s="47">
        <f t="shared" si="0"/>
        <v>6.1163518241701027E-2</v>
      </c>
      <c r="C10" s="28">
        <f t="shared" si="3"/>
        <v>7661.8124884259259</v>
      </c>
      <c r="D10" s="47">
        <f t="shared" si="1"/>
        <v>0.84074096063327886</v>
      </c>
      <c r="E10" s="47">
        <f t="shared" si="2"/>
        <v>0.84203394546455046</v>
      </c>
      <c r="F10" s="47">
        <f t="shared" si="4"/>
        <v>1.2929848312716041E-3</v>
      </c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</row>
    <row r="11" spans="1:30" x14ac:dyDescent="0.25">
      <c r="A11" s="48">
        <f t="shared" si="5"/>
        <v>44186.85416666665</v>
      </c>
      <c r="B11" s="47">
        <f t="shared" si="0"/>
        <v>0.10294426446253356</v>
      </c>
      <c r="C11" s="28">
        <f t="shared" si="3"/>
        <v>7661.8541550925929</v>
      </c>
      <c r="D11" s="47">
        <f t="shared" si="1"/>
        <v>0.84076719014276713</v>
      </c>
      <c r="E11" s="47">
        <f t="shared" si="2"/>
        <v>0.84204787976399487</v>
      </c>
      <c r="F11" s="47">
        <f t="shared" si="4"/>
        <v>1.2806896212277374E-3</v>
      </c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</row>
    <row r="12" spans="1:30" x14ac:dyDescent="0.25">
      <c r="A12" s="48">
        <f t="shared" si="5"/>
        <v>44186.895833333314</v>
      </c>
      <c r="B12" s="47">
        <f t="shared" si="0"/>
        <v>0.1447250106833661</v>
      </c>
      <c r="C12" s="28">
        <f t="shared" si="3"/>
        <v>7661.895821759259</v>
      </c>
      <c r="D12" s="47">
        <f t="shared" si="1"/>
        <v>0.84079347522827974</v>
      </c>
      <c r="E12" s="47">
        <f t="shared" si="2"/>
        <v>0.84206184514065119</v>
      </c>
      <c r="F12" s="47">
        <f t="shared" si="4"/>
        <v>1.2683699123714476E-3</v>
      </c>
      <c r="R12" s="27"/>
      <c r="S12" s="27"/>
      <c r="T12" s="27"/>
      <c r="U12" s="27"/>
      <c r="V12" s="27"/>
      <c r="W12" s="27"/>
      <c r="X12" s="27"/>
      <c r="Y12" s="27"/>
      <c r="Z12" s="27"/>
      <c r="AA12" s="27"/>
      <c r="AB12" s="27"/>
      <c r="AC12" s="27"/>
      <c r="AD12" s="27"/>
    </row>
    <row r="13" spans="1:30" x14ac:dyDescent="0.25">
      <c r="A13" s="48">
        <f t="shared" si="5"/>
        <v>44186.937499999978</v>
      </c>
      <c r="B13" s="47">
        <f t="shared" si="0"/>
        <v>0.18650575690420337</v>
      </c>
      <c r="C13" s="28">
        <f t="shared" si="3"/>
        <v>7661.9374884259259</v>
      </c>
      <c r="D13" s="47">
        <f t="shared" si="1"/>
        <v>0.84081981308398446</v>
      </c>
      <c r="E13" s="47">
        <f t="shared" si="2"/>
        <v>0.84207584012018488</v>
      </c>
      <c r="F13" s="47">
        <f t="shared" si="4"/>
        <v>1.2560270362004244E-3</v>
      </c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</row>
    <row r="14" spans="1:30" x14ac:dyDescent="0.25">
      <c r="A14" s="48">
        <f t="shared" si="5"/>
        <v>44186.979166666642</v>
      </c>
      <c r="B14" s="47">
        <f t="shared" si="0"/>
        <v>0.22828650312503593</v>
      </c>
      <c r="C14" s="28">
        <f t="shared" si="3"/>
        <v>7661.9791550925929</v>
      </c>
      <c r="D14" s="47">
        <f t="shared" si="1"/>
        <v>0.84084619756648193</v>
      </c>
      <c r="E14" s="47">
        <f t="shared" si="2"/>
        <v>0.84208986139833941</v>
      </c>
      <c r="F14" s="47">
        <f t="shared" si="4"/>
        <v>1.2436638318574778E-3</v>
      </c>
      <c r="R14" s="27"/>
      <c r="S14" s="27"/>
      <c r="T14" s="27"/>
      <c r="U14" s="27"/>
      <c r="V14" s="27"/>
      <c r="W14" s="27"/>
      <c r="X14" s="27"/>
      <c r="Y14" s="27"/>
      <c r="Z14" s="27"/>
      <c r="AA14" s="27"/>
      <c r="AB14" s="27"/>
      <c r="AC14" s="27"/>
      <c r="AD14" s="27"/>
    </row>
    <row r="15" spans="1:30" x14ac:dyDescent="0.25">
      <c r="A15" s="48">
        <f t="shared" si="5"/>
        <v>44187.020833333307</v>
      </c>
      <c r="B15" s="47">
        <f t="shared" si="0"/>
        <v>0.2700672494080007</v>
      </c>
      <c r="C15" s="28">
        <f t="shared" si="3"/>
        <v>7662.020821759259</v>
      </c>
      <c r="D15" s="47">
        <f t="shared" si="1"/>
        <v>0.8408726196152615</v>
      </c>
      <c r="E15" s="47">
        <f t="shared" si="2"/>
        <v>0.8421039040670405</v>
      </c>
      <c r="F15" s="47">
        <f t="shared" si="4"/>
        <v>1.2312844517790023E-3</v>
      </c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</row>
    <row r="16" spans="1:30" x14ac:dyDescent="0.25">
      <c r="A16" s="48">
        <f t="shared" si="5"/>
        <v>44187.062499999971</v>
      </c>
      <c r="B16" s="47">
        <f t="shared" si="0"/>
        <v>0.3118479956288332</v>
      </c>
      <c r="C16" s="28">
        <f t="shared" si="3"/>
        <v>7662.0624884259259</v>
      </c>
      <c r="D16" s="47">
        <f t="shared" si="1"/>
        <v>0.84089906787271218</v>
      </c>
      <c r="E16" s="47">
        <f t="shared" si="2"/>
        <v>0.84211796195029243</v>
      </c>
      <c r="F16" s="47">
        <f t="shared" si="4"/>
        <v>1.2188940775802459E-3</v>
      </c>
      <c r="R16" s="27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27"/>
      <c r="AD16" s="27"/>
    </row>
    <row r="17" spans="1:30" x14ac:dyDescent="0.25">
      <c r="A17" s="48">
        <f t="shared" si="5"/>
        <v>44187.104166666635</v>
      </c>
      <c r="B17" s="47">
        <f t="shared" si="0"/>
        <v>0.35362874184966814</v>
      </c>
      <c r="C17" s="28">
        <f t="shared" si="3"/>
        <v>7662.1041550925929</v>
      </c>
      <c r="D17" s="47">
        <f t="shared" si="1"/>
        <v>0.84092552946124233</v>
      </c>
      <c r="E17" s="47">
        <f t="shared" si="2"/>
        <v>0.84213202802686549</v>
      </c>
      <c r="F17" s="47">
        <f t="shared" si="4"/>
        <v>1.2064985656231597E-3</v>
      </c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27"/>
      <c r="AD17" s="27"/>
    </row>
    <row r="18" spans="1:30" x14ac:dyDescent="0.25">
      <c r="A18" s="48">
        <f t="shared" si="5"/>
        <v>44187.145833333299</v>
      </c>
      <c r="B18" s="47">
        <f t="shared" si="0"/>
        <v>0.39540948807050064</v>
      </c>
      <c r="C18" s="28">
        <f t="shared" si="3"/>
        <v>7662.145821759259</v>
      </c>
      <c r="D18" s="47">
        <f t="shared" si="1"/>
        <v>0.84095199086431238</v>
      </c>
      <c r="E18" s="47">
        <f t="shared" si="2"/>
        <v>0.84214609491083414</v>
      </c>
      <c r="F18" s="47">
        <f t="shared" si="4"/>
        <v>1.1941040465217601E-3</v>
      </c>
      <c r="R18" s="27"/>
      <c r="S18" s="27"/>
      <c r="T18" s="27"/>
      <c r="U18" s="27"/>
      <c r="V18" s="27"/>
      <c r="W18" s="27"/>
      <c r="X18" s="27"/>
      <c r="Y18" s="27"/>
      <c r="Z18" s="27"/>
      <c r="AA18" s="27"/>
      <c r="AB18" s="27"/>
      <c r="AC18" s="27"/>
      <c r="AD18" s="27"/>
    </row>
    <row r="19" spans="1:30" x14ac:dyDescent="0.25">
      <c r="A19" s="48">
        <f t="shared" si="5"/>
        <v>44187.187499999964</v>
      </c>
      <c r="B19" s="47">
        <f t="shared" si="0"/>
        <v>0.43719023429133319</v>
      </c>
      <c r="C19" s="28">
        <f t="shared" si="3"/>
        <v>7662.1874884259259</v>
      </c>
      <c r="D19" s="47">
        <f t="shared" si="1"/>
        <v>0.84097843885106205</v>
      </c>
      <c r="E19" s="47">
        <f t="shared" si="2"/>
        <v>0.84216015535703692</v>
      </c>
      <c r="F19" s="47">
        <f t="shared" si="4"/>
        <v>1.1817165059748724E-3</v>
      </c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27"/>
      <c r="AD19" s="27"/>
    </row>
    <row r="20" spans="1:30" x14ac:dyDescent="0.25">
      <c r="A20" s="48">
        <f t="shared" si="5"/>
        <v>44187.229166666628</v>
      </c>
      <c r="B20" s="47">
        <f t="shared" si="0"/>
        <v>0.47897098051216574</v>
      </c>
      <c r="C20" s="28">
        <f t="shared" si="3"/>
        <v>7662.2291550925929</v>
      </c>
      <c r="D20" s="47">
        <f t="shared" si="1"/>
        <v>0.84100486138128461</v>
      </c>
      <c r="E20" s="47">
        <f t="shared" si="2"/>
        <v>0.8421742027568675</v>
      </c>
      <c r="F20" s="47">
        <f t="shared" si="4"/>
        <v>1.1693413755828885E-3</v>
      </c>
      <c r="R20" s="27"/>
      <c r="S20" s="27"/>
      <c r="T20" s="27"/>
      <c r="U20" s="27"/>
      <c r="V20" s="27"/>
      <c r="W20" s="27"/>
      <c r="X20" s="27"/>
      <c r="Y20" s="27"/>
      <c r="Z20" s="27"/>
      <c r="AA20" s="27"/>
      <c r="AB20" s="27"/>
      <c r="AC20" s="27"/>
      <c r="AD20" s="27"/>
    </row>
    <row r="21" spans="1:30" x14ac:dyDescent="0.25">
      <c r="A21" s="48">
        <f t="shared" si="5"/>
        <v>44187.270833333292</v>
      </c>
      <c r="B21" s="47">
        <f t="shared" si="0"/>
        <v>0.5207517267329983</v>
      </c>
      <c r="C21" s="28">
        <f t="shared" si="3"/>
        <v>7662.270821759259</v>
      </c>
      <c r="D21" s="47">
        <f t="shared" si="1"/>
        <v>0.84103124842878441</v>
      </c>
      <c r="E21" s="47">
        <f t="shared" si="2"/>
        <v>0.84218823159043832</v>
      </c>
      <c r="F21" s="47">
        <f t="shared" si="4"/>
        <v>1.1569831616539128E-3</v>
      </c>
      <c r="R21" s="27"/>
      <c r="S21" s="27"/>
      <c r="T21" s="27"/>
      <c r="U21" s="27"/>
      <c r="V21" s="27"/>
      <c r="W21" s="27"/>
      <c r="X21" s="27"/>
      <c r="Y21" s="27"/>
      <c r="Z21" s="27"/>
      <c r="AA21" s="27"/>
      <c r="AB21" s="27"/>
      <c r="AC21" s="27"/>
      <c r="AD21" s="27"/>
    </row>
    <row r="22" spans="1:30" x14ac:dyDescent="0.25">
      <c r="A22" s="48">
        <f t="shared" si="5"/>
        <v>44187.312499999956</v>
      </c>
      <c r="B22" s="47">
        <f t="shared" si="0"/>
        <v>0.56253247295383557</v>
      </c>
      <c r="C22" s="28">
        <f t="shared" si="3"/>
        <v>7662.3124884259259</v>
      </c>
      <c r="D22" s="47">
        <f t="shared" si="1"/>
        <v>0.84105759266683067</v>
      </c>
      <c r="E22" s="47">
        <f t="shared" si="2"/>
        <v>0.84220223780416725</v>
      </c>
      <c r="F22" s="47">
        <f t="shared" si="4"/>
        <v>1.1446451373365862E-3</v>
      </c>
      <c r="R22" s="27"/>
      <c r="S22" s="27"/>
      <c r="T22" s="27"/>
      <c r="U22" s="27"/>
      <c r="V22" s="27"/>
      <c r="W22" s="27"/>
      <c r="X22" s="27"/>
      <c r="Y22" s="27"/>
      <c r="Z22" s="27"/>
      <c r="AA22" s="27"/>
      <c r="AB22" s="27"/>
      <c r="AC22" s="27"/>
      <c r="AD22" s="27"/>
    </row>
    <row r="23" spans="1:30" x14ac:dyDescent="0.25">
      <c r="A23" s="48">
        <f t="shared" si="5"/>
        <v>44187.354166666621</v>
      </c>
      <c r="B23" s="47">
        <f t="shared" si="0"/>
        <v>0.60431321917466807</v>
      </c>
      <c r="C23" s="28">
        <f t="shared" si="3"/>
        <v>7662.3541550925929</v>
      </c>
      <c r="D23" s="47">
        <f t="shared" si="1"/>
        <v>0.84108388996878114</v>
      </c>
      <c r="E23" s="47">
        <f t="shared" si="2"/>
        <v>0.84221621908792854</v>
      </c>
      <c r="F23" s="47">
        <f t="shared" si="4"/>
        <v>1.1323291191474016E-3</v>
      </c>
      <c r="R23" s="27"/>
      <c r="S23" s="27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</row>
    <row r="24" spans="1:30" x14ac:dyDescent="0.25">
      <c r="A24" s="48">
        <f t="shared" si="5"/>
        <v>44187.395833333285</v>
      </c>
      <c r="B24" s="47">
        <f t="shared" si="0"/>
        <v>0.64609396539550057</v>
      </c>
      <c r="C24" s="28">
        <f t="shared" si="3"/>
        <v>7662.395821759259</v>
      </c>
      <c r="D24" s="47">
        <f t="shared" si="1"/>
        <v>0.8411101396896683</v>
      </c>
      <c r="E24" s="47">
        <f t="shared" si="2"/>
        <v>0.8422301750328115</v>
      </c>
      <c r="F24" s="47">
        <f t="shared" si="4"/>
        <v>1.1200353431431997E-3</v>
      </c>
      <c r="R24" s="27"/>
      <c r="S24" s="27"/>
      <c r="T24" s="27"/>
      <c r="U24" s="27"/>
      <c r="V24" s="27"/>
      <c r="W24" s="27"/>
      <c r="X24" s="27"/>
      <c r="Y24" s="27"/>
      <c r="Z24" s="27"/>
      <c r="AA24" s="27"/>
      <c r="AB24" s="27"/>
      <c r="AC24" s="27"/>
      <c r="AD24" s="27"/>
    </row>
    <row r="25" spans="1:30" x14ac:dyDescent="0.25">
      <c r="A25" s="48">
        <f t="shared" si="5"/>
        <v>44187.437499999949</v>
      </c>
      <c r="B25" s="47">
        <f t="shared" si="0"/>
        <v>0.68787471161633318</v>
      </c>
      <c r="C25" s="28">
        <f t="shared" si="3"/>
        <v>7662.4374884259259</v>
      </c>
      <c r="D25" s="47">
        <f t="shared" si="1"/>
        <v>0.84113634470950016</v>
      </c>
      <c r="E25" s="47">
        <f t="shared" si="2"/>
        <v>0.84224410715868769</v>
      </c>
      <c r="F25" s="47">
        <f t="shared" si="4"/>
        <v>1.1077624491875326E-3</v>
      </c>
      <c r="R25" s="27"/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</row>
    <row r="26" spans="1:30" x14ac:dyDescent="0.25">
      <c r="A26" s="48">
        <f t="shared" si="5"/>
        <v>44187.479166666613</v>
      </c>
      <c r="B26" s="47">
        <f t="shared" si="0"/>
        <v>0.72965545783716568</v>
      </c>
      <c r="C26" s="28">
        <f t="shared" si="3"/>
        <v>7662.4791550925929</v>
      </c>
      <c r="D26" s="47">
        <f t="shared" si="1"/>
        <v>0.84116251123534613</v>
      </c>
      <c r="E26" s="47">
        <f t="shared" si="2"/>
        <v>0.84225801880970519</v>
      </c>
      <c r="F26" s="47">
        <f t="shared" si="4"/>
        <v>1.0955075743590559E-3</v>
      </c>
      <c r="R26" s="27"/>
      <c r="S26" s="27"/>
      <c r="T26" s="27"/>
      <c r="U26" s="27"/>
      <c r="V26" s="27"/>
      <c r="W26" s="27"/>
      <c r="X26" s="27"/>
      <c r="Y26" s="27"/>
      <c r="Z26" s="27"/>
      <c r="AA26" s="27"/>
      <c r="AB26" s="27"/>
      <c r="AC26" s="27"/>
      <c r="AD26" s="27"/>
    </row>
    <row r="27" spans="1:30" x14ac:dyDescent="0.25">
      <c r="A27" s="48">
        <f t="shared" si="5"/>
        <v>44187.520833333278</v>
      </c>
      <c r="B27" s="47">
        <f t="shared" si="0"/>
        <v>0.77143620405799818</v>
      </c>
      <c r="C27" s="28">
        <f t="shared" si="3"/>
        <v>7662.520821759259</v>
      </c>
      <c r="D27" s="47">
        <f t="shared" si="1"/>
        <v>0.84118864837577134</v>
      </c>
      <c r="E27" s="47">
        <f t="shared" si="2"/>
        <v>0.84227191492488707</v>
      </c>
      <c r="F27" s="47">
        <f t="shared" si="4"/>
        <v>1.0832665491157245E-3</v>
      </c>
      <c r="R27" s="27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27"/>
      <c r="AD27" s="27"/>
    </row>
    <row r="28" spans="1:30" x14ac:dyDescent="0.25">
      <c r="A28" s="48">
        <f t="shared" si="5"/>
        <v>44187.562499999942</v>
      </c>
      <c r="B28" s="47">
        <f t="shared" si="0"/>
        <v>0.81321695027883545</v>
      </c>
      <c r="C28" s="28">
        <f t="shared" si="3"/>
        <v>7662.5624884259259</v>
      </c>
      <c r="D28" s="47">
        <f t="shared" si="1"/>
        <v>0.84121476751679469</v>
      </c>
      <c r="E28" s="47">
        <f t="shared" si="2"/>
        <v>0.84228580169953693</v>
      </c>
      <c r="F28" s="47">
        <f t="shared" si="4"/>
        <v>1.0710341827422365E-3</v>
      </c>
      <c r="R28" s="27"/>
      <c r="S28" s="27"/>
      <c r="T28" s="27"/>
      <c r="U28" s="27"/>
      <c r="V28" s="27"/>
      <c r="W28" s="27"/>
      <c r="X28" s="27"/>
      <c r="Y28" s="27"/>
      <c r="Z28" s="27"/>
      <c r="AA28" s="27"/>
      <c r="AB28" s="27"/>
      <c r="AC28" s="27"/>
      <c r="AD28" s="27"/>
    </row>
    <row r="29" spans="1:30" x14ac:dyDescent="0.25">
      <c r="A29" s="48">
        <f t="shared" si="5"/>
        <v>44187.604166666606</v>
      </c>
      <c r="B29" s="47">
        <f t="shared" si="0"/>
        <v>0.85499769649966806</v>
      </c>
      <c r="C29" s="28">
        <f t="shared" si="3"/>
        <v>7662.6041550925929</v>
      </c>
      <c r="D29" s="47">
        <f t="shared" si="1"/>
        <v>0.84124088154207111</v>
      </c>
      <c r="E29" s="47">
        <f t="shared" si="2"/>
        <v>0.84229968616065654</v>
      </c>
      <c r="F29" s="47">
        <f t="shared" si="4"/>
        <v>1.0588046185854294E-3</v>
      </c>
      <c r="R29" s="27"/>
      <c r="S29" s="27"/>
      <c r="T29" s="27"/>
      <c r="U29" s="27"/>
      <c r="V29" s="27"/>
      <c r="W29" s="27"/>
      <c r="X29" s="27"/>
      <c r="Y29" s="27"/>
      <c r="Z29" s="27"/>
      <c r="AA29" s="27"/>
      <c r="AB29" s="27"/>
      <c r="AC29" s="27"/>
      <c r="AD29" s="27"/>
    </row>
    <row r="30" spans="1:30" x14ac:dyDescent="0.25">
      <c r="A30" s="48">
        <f t="shared" si="5"/>
        <v>44187.64583333327</v>
      </c>
      <c r="B30" s="47">
        <f t="shared" si="0"/>
        <v>0.89677844272050056</v>
      </c>
      <c r="C30" s="28">
        <f t="shared" si="3"/>
        <v>7662.645821759259</v>
      </c>
      <c r="D30" s="47">
        <f t="shared" si="1"/>
        <v>0.84126700395070175</v>
      </c>
      <c r="E30" s="47">
        <f t="shared" si="2"/>
        <v>0.84231357568544496</v>
      </c>
      <c r="F30" s="47">
        <f t="shared" si="4"/>
        <v>1.0465717347432069E-3</v>
      </c>
      <c r="R30" s="27"/>
      <c r="S30" s="27"/>
      <c r="T30" s="27"/>
      <c r="U30" s="27"/>
      <c r="V30" s="27"/>
      <c r="W30" s="27"/>
      <c r="X30" s="27"/>
      <c r="Y30" s="27"/>
      <c r="Z30" s="27"/>
      <c r="AA30" s="27"/>
      <c r="AB30" s="27"/>
      <c r="AC30" s="27"/>
      <c r="AD30" s="27"/>
    </row>
    <row r="31" spans="1:30" x14ac:dyDescent="0.25">
      <c r="A31" s="48">
        <f t="shared" si="5"/>
        <v>44187.687499999935</v>
      </c>
      <c r="B31" s="47">
        <f t="shared" si="0"/>
        <v>0.93855918894133306</v>
      </c>
      <c r="C31" s="28">
        <f t="shared" si="3"/>
        <v>7662.6874884259259</v>
      </c>
      <c r="D31" s="47">
        <f t="shared" si="1"/>
        <v>0.84129314793304233</v>
      </c>
      <c r="E31" s="47">
        <f t="shared" si="2"/>
        <v>0.84232747749585646</v>
      </c>
      <c r="F31" s="47">
        <f t="shared" si="4"/>
        <v>1.0343295628141291E-3</v>
      </c>
      <c r="R31" s="27"/>
      <c r="S31" s="27"/>
      <c r="T31" s="27"/>
      <c r="U31" s="27"/>
      <c r="V31" s="27"/>
      <c r="W31" s="27"/>
      <c r="X31" s="27"/>
      <c r="Y31" s="27"/>
      <c r="Z31" s="27"/>
      <c r="AA31" s="27"/>
      <c r="AB31" s="27"/>
      <c r="AC31" s="27"/>
      <c r="AD31" s="27"/>
    </row>
    <row r="32" spans="1:30" x14ac:dyDescent="0.25">
      <c r="A32" s="48">
        <f t="shared" si="5"/>
        <v>44187.729166666599</v>
      </c>
      <c r="B32" s="47">
        <f t="shared" si="0"/>
        <v>0.98033993516216567</v>
      </c>
      <c r="C32" s="28">
        <f t="shared" si="3"/>
        <v>7662.7291550925929</v>
      </c>
      <c r="D32" s="47">
        <f t="shared" si="1"/>
        <v>0.84131932546776467</v>
      </c>
      <c r="E32" s="47">
        <f t="shared" si="2"/>
        <v>0.84234139816383002</v>
      </c>
      <c r="F32" s="47">
        <f t="shared" si="4"/>
        <v>1.022072696065357E-3</v>
      </c>
      <c r="R32" s="27"/>
      <c r="S32" s="27"/>
      <c r="T32" s="27"/>
      <c r="U32" s="27"/>
      <c r="V32" s="27"/>
      <c r="W32" s="27"/>
      <c r="X32" s="27"/>
      <c r="Y32" s="27"/>
      <c r="Z32" s="27"/>
      <c r="AA32" s="27"/>
      <c r="AB32" s="27"/>
      <c r="AC32" s="27"/>
      <c r="AD32" s="27"/>
    </row>
    <row r="33" spans="1:30" x14ac:dyDescent="0.25">
      <c r="A33" s="48">
        <f t="shared" si="5"/>
        <v>44187.770833333263</v>
      </c>
      <c r="B33" s="47">
        <f t="shared" si="0"/>
        <v>2.2120681383002886E-2</v>
      </c>
      <c r="C33" s="28">
        <f t="shared" si="3"/>
        <v>7662.770821759259</v>
      </c>
      <c r="D33" s="47">
        <f t="shared" si="1"/>
        <v>0.84134554650193993</v>
      </c>
      <c r="E33" s="47">
        <f t="shared" si="2"/>
        <v>0.84235534316105765</v>
      </c>
      <c r="F33" s="47">
        <f t="shared" si="4"/>
        <v>1.0097966591177121E-3</v>
      </c>
      <c r="R33" s="27"/>
      <c r="S33" s="27"/>
      <c r="T33" s="27"/>
      <c r="U33" s="27"/>
      <c r="V33" s="27"/>
      <c r="W33" s="27"/>
      <c r="X33" s="27"/>
      <c r="Y33" s="27"/>
      <c r="Z33" s="27"/>
      <c r="AA33" s="27"/>
      <c r="AB33" s="27"/>
      <c r="AC33" s="27"/>
      <c r="AD33" s="27"/>
    </row>
    <row r="34" spans="1:30" x14ac:dyDescent="0.25">
      <c r="A34" s="48">
        <f t="shared" si="5"/>
        <v>44187.812499999927</v>
      </c>
      <c r="B34" s="47">
        <f t="shared" si="0"/>
        <v>6.3901427603835423E-2</v>
      </c>
      <c r="C34" s="28">
        <f t="shared" si="3"/>
        <v>7662.8124884259259</v>
      </c>
      <c r="D34" s="47">
        <f t="shared" si="1"/>
        <v>0.84137181827026397</v>
      </c>
      <c r="E34" s="47">
        <f t="shared" si="2"/>
        <v>0.84236931648412772</v>
      </c>
      <c r="F34" s="47">
        <f t="shared" si="4"/>
        <v>9.974982138637456E-4</v>
      </c>
      <c r="R34" s="27"/>
      <c r="S34" s="27"/>
      <c r="T34" s="27"/>
      <c r="U34" s="27"/>
      <c r="V34" s="27"/>
      <c r="W34" s="27"/>
      <c r="X34" s="27"/>
      <c r="Y34" s="27"/>
      <c r="Z34" s="27"/>
      <c r="AA34" s="27"/>
      <c r="AB34" s="27"/>
      <c r="AC34" s="27"/>
      <c r="AD34" s="27"/>
    </row>
    <row r="35" spans="1:30" x14ac:dyDescent="0.25">
      <c r="A35" s="48">
        <f t="shared" si="5"/>
        <v>44187.854166666591</v>
      </c>
      <c r="B35" s="47">
        <f t="shared" si="0"/>
        <v>0.10568217382466795</v>
      </c>
      <c r="C35" s="28">
        <f t="shared" si="3"/>
        <v>7662.8541550925929</v>
      </c>
      <c r="D35" s="47">
        <f t="shared" si="1"/>
        <v>0.84139814479996733</v>
      </c>
      <c r="E35" s="47">
        <f t="shared" si="2"/>
        <v>0.84238332038069663</v>
      </c>
      <c r="F35" s="47">
        <f t="shared" si="4"/>
        <v>9.8517558072930278E-4</v>
      </c>
      <c r="R35" s="27"/>
      <c r="S35" s="27"/>
      <c r="T35" s="27"/>
      <c r="U35" s="27"/>
      <c r="V35" s="27"/>
      <c r="W35" s="27"/>
      <c r="X35" s="27"/>
      <c r="Y35" s="27"/>
      <c r="Z35" s="27"/>
      <c r="AA35" s="27"/>
      <c r="AB35" s="27"/>
      <c r="AC35" s="27"/>
      <c r="AD35" s="27"/>
    </row>
    <row r="36" spans="1:30" x14ac:dyDescent="0.25">
      <c r="A36" s="48">
        <f t="shared" si="5"/>
        <v>44187.895833333256</v>
      </c>
      <c r="B36" s="47">
        <f t="shared" ref="B36:B67" si="6">vbLSTFromDt(A36,longi)/24</f>
        <v>0.14746292004550049</v>
      </c>
      <c r="C36" s="28">
        <f t="shared" si="3"/>
        <v>7662.895821759259</v>
      </c>
      <c r="D36" s="47">
        <f t="shared" ref="D36:D67" si="7">vbplanetxyz(5, C36, 6,B36,lati, temp, pres)/360</f>
        <v>0.84142452663527123</v>
      </c>
      <c r="E36" s="47">
        <f t="shared" ref="E36:E67" si="8">vbplanetxyz(6, C36, 6,B36,lati, temp, pres)/360</f>
        <v>0.84239735519543113</v>
      </c>
      <c r="F36" s="47">
        <f t="shared" si="4"/>
        <v>9.728285601598996E-4</v>
      </c>
      <c r="R36" s="27"/>
      <c r="S36" s="27"/>
      <c r="T36" s="27"/>
      <c r="U36" s="27"/>
      <c r="V36" s="27"/>
      <c r="W36" s="27"/>
      <c r="X36" s="27"/>
      <c r="Y36" s="27"/>
      <c r="Z36" s="27"/>
      <c r="AA36" s="27"/>
      <c r="AB36" s="27"/>
      <c r="AC36" s="27"/>
      <c r="AD36" s="27"/>
    </row>
    <row r="37" spans="1:30" x14ac:dyDescent="0.25">
      <c r="A37" s="48">
        <f t="shared" si="5"/>
        <v>44187.93749999992</v>
      </c>
      <c r="B37" s="47">
        <f t="shared" si="6"/>
        <v>0.18924366626633304</v>
      </c>
      <c r="C37" s="28">
        <f t="shared" si="3"/>
        <v>7662.9374884259259</v>
      </c>
      <c r="D37" s="47">
        <f t="shared" si="7"/>
        <v>0.84145096080023341</v>
      </c>
      <c r="E37" s="47">
        <f t="shared" si="8"/>
        <v>0.84241141934626773</v>
      </c>
      <c r="F37" s="47">
        <f t="shared" si="4"/>
        <v>9.6045854603432623E-4</v>
      </c>
      <c r="R37" s="27"/>
      <c r="S37" s="27"/>
      <c r="T37" s="27"/>
      <c r="U37" s="27"/>
      <c r="V37" s="27"/>
      <c r="W37" s="27"/>
      <c r="X37" s="27"/>
      <c r="Y37" s="27"/>
      <c r="Z37" s="27"/>
      <c r="AA37" s="27"/>
      <c r="AB37" s="27"/>
      <c r="AC37" s="27"/>
      <c r="AD37" s="27"/>
    </row>
    <row r="38" spans="1:30" x14ac:dyDescent="0.25">
      <c r="A38" s="48">
        <f t="shared" si="5"/>
        <v>44187.979166666584</v>
      </c>
      <c r="B38" s="47">
        <f t="shared" si="6"/>
        <v>0.23102441248716557</v>
      </c>
      <c r="C38" s="28">
        <f t="shared" si="3"/>
        <v>7662.9791550925929</v>
      </c>
      <c r="D38" s="47">
        <f t="shared" si="7"/>
        <v>0.8414774410024628</v>
      </c>
      <c r="E38" s="47">
        <f t="shared" si="8"/>
        <v>0.84242550943259387</v>
      </c>
      <c r="F38" s="47">
        <f t="shared" si="4"/>
        <v>9.4806843013106601E-4</v>
      </c>
      <c r="R38" s="27"/>
      <c r="S38" s="27"/>
      <c r="T38" s="27"/>
      <c r="U38" s="27"/>
      <c r="V38" s="27"/>
      <c r="W38" s="27"/>
      <c r="X38" s="27"/>
      <c r="Y38" s="27"/>
      <c r="Z38" s="27"/>
      <c r="AA38" s="27"/>
      <c r="AB38" s="27"/>
      <c r="AC38" s="27"/>
      <c r="AD38" s="27"/>
    </row>
    <row r="39" spans="1:30" x14ac:dyDescent="0.25">
      <c r="A39" s="48">
        <f t="shared" si="5"/>
        <v>44188.020833333248</v>
      </c>
      <c r="B39" s="47">
        <f t="shared" si="6"/>
        <v>0.27280515877013745</v>
      </c>
      <c r="C39" s="28">
        <f t="shared" si="3"/>
        <v>7663.020821759259</v>
      </c>
      <c r="D39" s="47">
        <f t="shared" si="7"/>
        <v>0.8415039580637611</v>
      </c>
      <c r="E39" s="47">
        <f t="shared" si="8"/>
        <v>0.84243962046794252</v>
      </c>
      <c r="F39" s="47">
        <f t="shared" si="4"/>
        <v>9.3566240418141433E-4</v>
      </c>
      <c r="R39" s="27"/>
      <c r="S39" s="27"/>
      <c r="T39" s="27"/>
      <c r="U39" s="27"/>
      <c r="V39" s="27"/>
      <c r="W39" s="27"/>
      <c r="X39" s="27"/>
      <c r="Y39" s="27"/>
      <c r="Z39" s="27"/>
      <c r="AA39" s="27"/>
      <c r="AB39" s="27"/>
      <c r="AC39" s="27"/>
      <c r="AD39" s="27"/>
    </row>
    <row r="40" spans="1:30" x14ac:dyDescent="0.25">
      <c r="A40" s="48">
        <f t="shared" si="5"/>
        <v>44188.062499999913</v>
      </c>
      <c r="B40" s="47">
        <f t="shared" si="6"/>
        <v>0.31458590499097</v>
      </c>
      <c r="C40" s="28">
        <f t="shared" si="3"/>
        <v>7663.0624884259259</v>
      </c>
      <c r="D40" s="47">
        <f t="shared" si="7"/>
        <v>0.84153050054817724</v>
      </c>
      <c r="E40" s="47">
        <f t="shared" si="8"/>
        <v>0.84245374622125468</v>
      </c>
      <c r="F40" s="47">
        <f t="shared" si="4"/>
        <v>9.232456730774441E-4</v>
      </c>
      <c r="R40" s="27"/>
      <c r="S40" s="27"/>
      <c r="T40" s="27"/>
      <c r="U40" s="27"/>
      <c r="V40" s="27"/>
      <c r="W40" s="27"/>
      <c r="X40" s="27"/>
      <c r="Y40" s="27"/>
      <c r="Z40" s="27"/>
      <c r="AA40" s="27"/>
      <c r="AB40" s="27"/>
      <c r="AC40" s="27"/>
      <c r="AD40" s="27"/>
    </row>
    <row r="41" spans="1:30" x14ac:dyDescent="0.25">
      <c r="A41" s="48">
        <f t="shared" si="5"/>
        <v>44188.104166666577</v>
      </c>
      <c r="B41" s="47">
        <f t="shared" si="6"/>
        <v>0.3563666512118025</v>
      </c>
      <c r="C41" s="28">
        <f t="shared" si="3"/>
        <v>7663.1041550925929</v>
      </c>
      <c r="D41" s="47">
        <f t="shared" si="7"/>
        <v>0.84155705554447857</v>
      </c>
      <c r="E41" s="47">
        <f t="shared" si="8"/>
        <v>0.84246787964333314</v>
      </c>
      <c r="F41" s="47">
        <f t="shared" si="4"/>
        <v>9.1082409885456794E-4</v>
      </c>
      <c r="R41" s="27"/>
      <c r="S41" s="27"/>
      <c r="T41" s="27"/>
      <c r="U41" s="27"/>
      <c r="V41" s="27"/>
      <c r="W41" s="27"/>
      <c r="X41" s="27"/>
      <c r="Y41" s="27"/>
      <c r="Z41" s="27"/>
      <c r="AA41" s="27"/>
      <c r="AB41" s="27"/>
      <c r="AC41" s="27"/>
      <c r="AD41" s="27"/>
    </row>
    <row r="42" spans="1:30" x14ac:dyDescent="0.25">
      <c r="A42" s="48">
        <f t="shared" si="5"/>
        <v>44188.145833333241</v>
      </c>
      <c r="B42" s="47">
        <f t="shared" si="6"/>
        <v>0.39814739743263505</v>
      </c>
      <c r="C42" s="28">
        <f t="shared" si="3"/>
        <v>7663.145821759259</v>
      </c>
      <c r="D42" s="47">
        <f t="shared" si="7"/>
        <v>0.84158360954946565</v>
      </c>
      <c r="E42" s="47">
        <f t="shared" si="8"/>
        <v>0.84248201334928419</v>
      </c>
      <c r="F42" s="47">
        <f t="shared" si="4"/>
        <v>8.984037998185368E-4</v>
      </c>
      <c r="R42" s="27"/>
      <c r="S42" s="27"/>
      <c r="T42" s="27"/>
      <c r="U42" s="27"/>
      <c r="V42" s="27"/>
      <c r="W42" s="27"/>
      <c r="X42" s="27"/>
      <c r="Y42" s="27"/>
      <c r="Z42" s="27"/>
      <c r="AA42" s="27"/>
      <c r="AB42" s="27"/>
      <c r="AC42" s="27"/>
      <c r="AD42" s="27"/>
    </row>
    <row r="43" spans="1:30" x14ac:dyDescent="0.25">
      <c r="A43" s="48">
        <f t="shared" si="5"/>
        <v>44188.187499999905</v>
      </c>
      <c r="B43" s="47">
        <f t="shared" si="6"/>
        <v>0.43992814365347233</v>
      </c>
      <c r="C43" s="28">
        <f t="shared" si="3"/>
        <v>7663.1874884259259</v>
      </c>
      <c r="D43" s="47">
        <f t="shared" si="7"/>
        <v>0.8416101493916911</v>
      </c>
      <c r="E43" s="47">
        <f t="shared" si="8"/>
        <v>0.84249614012390928</v>
      </c>
      <c r="F43" s="47">
        <f t="shared" si="4"/>
        <v>8.8599073221817815E-4</v>
      </c>
      <c r="R43" s="27"/>
      <c r="S43" s="27"/>
      <c r="T43" s="27"/>
      <c r="U43" s="27"/>
      <c r="V43" s="27"/>
      <c r="W43" s="27"/>
      <c r="X43" s="27"/>
      <c r="Y43" s="27"/>
      <c r="Z43" s="27"/>
      <c r="AA43" s="27"/>
      <c r="AB43" s="27"/>
      <c r="AC43" s="27"/>
      <c r="AD43" s="27"/>
    </row>
    <row r="44" spans="1:30" x14ac:dyDescent="0.25">
      <c r="A44" s="48">
        <f t="shared" si="5"/>
        <v>44188.22916666657</v>
      </c>
      <c r="B44" s="47">
        <f t="shared" si="6"/>
        <v>0.48170888987430488</v>
      </c>
      <c r="C44" s="28">
        <f t="shared" si="3"/>
        <v>7663.2291550925929</v>
      </c>
      <c r="D44" s="47">
        <f t="shared" si="7"/>
        <v>0.84163666313235042</v>
      </c>
      <c r="E44" s="47">
        <f t="shared" si="8"/>
        <v>0.84251025341543906</v>
      </c>
      <c r="F44" s="47">
        <f t="shared" si="4"/>
        <v>8.7359028308864328E-4</v>
      </c>
      <c r="R44" s="27"/>
      <c r="S44" s="27"/>
      <c r="T44" s="27"/>
      <c r="U44" s="27"/>
      <c r="V44" s="27"/>
      <c r="W44" s="27"/>
      <c r="X44" s="27"/>
      <c r="Y44" s="27"/>
      <c r="Z44" s="27"/>
      <c r="AA44" s="27"/>
      <c r="AB44" s="27"/>
      <c r="AC44" s="27"/>
      <c r="AD44" s="27"/>
    </row>
    <row r="45" spans="1:30" x14ac:dyDescent="0.25">
      <c r="A45" s="48">
        <f t="shared" si="5"/>
        <v>44188.270833333234</v>
      </c>
      <c r="B45" s="47">
        <f t="shared" si="6"/>
        <v>0.52348963609513743</v>
      </c>
      <c r="C45" s="28">
        <f t="shared" si="3"/>
        <v>7663.270821759259</v>
      </c>
      <c r="D45" s="47">
        <f t="shared" si="7"/>
        <v>0.84166314088170746</v>
      </c>
      <c r="E45" s="47">
        <f t="shared" si="8"/>
        <v>0.8425243477838017</v>
      </c>
      <c r="F45" s="47">
        <f t="shared" si="4"/>
        <v>8.6120690209423589E-4</v>
      </c>
      <c r="R45" s="27"/>
      <c r="S45" s="27"/>
      <c r="T45" s="27"/>
      <c r="U45" s="27"/>
      <c r="V45" s="27"/>
      <c r="W45" s="27"/>
      <c r="X45" s="27"/>
      <c r="Y45" s="27"/>
      <c r="Z45" s="27"/>
      <c r="AA45" s="27"/>
      <c r="AB45" s="27"/>
      <c r="AC45" s="27"/>
      <c r="AD45" s="27"/>
    </row>
    <row r="46" spans="1:30" x14ac:dyDescent="0.25">
      <c r="A46" s="48">
        <f t="shared" si="5"/>
        <v>44188.312499999898</v>
      </c>
      <c r="B46" s="47">
        <f t="shared" si="6"/>
        <v>0.56527038231596993</v>
      </c>
      <c r="C46" s="28">
        <f t="shared" si="3"/>
        <v>7663.3124884259259</v>
      </c>
      <c r="D46" s="47">
        <f t="shared" si="7"/>
        <v>0.84168957547520251</v>
      </c>
      <c r="E46" s="47">
        <f t="shared" si="8"/>
        <v>0.84253841927274364</v>
      </c>
      <c r="F46" s="47">
        <f t="shared" si="4"/>
        <v>8.4884379754113226E-4</v>
      </c>
      <c r="R46" s="27"/>
      <c r="S46" s="27"/>
      <c r="T46" s="27"/>
      <c r="U46" s="27"/>
      <c r="V46" s="27"/>
      <c r="W46" s="27"/>
      <c r="X46" s="27"/>
      <c r="Y46" s="27"/>
      <c r="Z46" s="27"/>
      <c r="AA46" s="27"/>
      <c r="AB46" s="27"/>
      <c r="AC46" s="27"/>
      <c r="AD46" s="27"/>
    </row>
    <row r="47" spans="1:30" x14ac:dyDescent="0.25">
      <c r="A47" s="48">
        <f t="shared" si="5"/>
        <v>44188.354166666562</v>
      </c>
      <c r="B47" s="47">
        <f t="shared" si="6"/>
        <v>0.60705112853680243</v>
      </c>
      <c r="C47" s="28">
        <f t="shared" si="3"/>
        <v>7663.3541550925929</v>
      </c>
      <c r="D47" s="47">
        <f t="shared" si="7"/>
        <v>0.84171596296299023</v>
      </c>
      <c r="E47" s="47">
        <f t="shared" si="8"/>
        <v>0.84255246568032116</v>
      </c>
      <c r="F47" s="47">
        <f t="shared" si="4"/>
        <v>8.3650271733093362E-4</v>
      </c>
      <c r="R47" s="27"/>
      <c r="S47" s="27"/>
      <c r="T47" s="27"/>
      <c r="U47" s="27"/>
      <c r="V47" s="27"/>
      <c r="W47" s="27"/>
      <c r="X47" s="27"/>
      <c r="Y47" s="27"/>
      <c r="Z47" s="27"/>
      <c r="AA47" s="27"/>
      <c r="AB47" s="27"/>
      <c r="AC47" s="27"/>
      <c r="AD47" s="27"/>
    </row>
    <row r="48" spans="1:30" x14ac:dyDescent="0.25">
      <c r="A48" s="48">
        <f t="shared" si="5"/>
        <v>44188.395833333227</v>
      </c>
      <c r="B48" s="47">
        <f t="shared" si="6"/>
        <v>0.64883187475763504</v>
      </c>
      <c r="C48" s="28">
        <f t="shared" si="3"/>
        <v>7663.395821759259</v>
      </c>
      <c r="D48" s="47">
        <f t="shared" si="7"/>
        <v>0.84174230287943164</v>
      </c>
      <c r="E48" s="47">
        <f t="shared" si="8"/>
        <v>0.84256648670924572</v>
      </c>
      <c r="F48" s="47">
        <f t="shared" si="4"/>
        <v>8.2418382981408467E-4</v>
      </c>
      <c r="R48" s="27"/>
      <c r="S48" s="27"/>
      <c r="T48" s="27"/>
      <c r="U48" s="27"/>
      <c r="V48" s="27"/>
      <c r="W48" s="27"/>
      <c r="X48" s="27"/>
      <c r="Y48" s="27"/>
      <c r="Z48" s="27"/>
      <c r="AA48" s="27"/>
      <c r="AB48" s="27"/>
      <c r="AC48" s="27"/>
      <c r="AD48" s="27"/>
    </row>
    <row r="49" spans="1:30" x14ac:dyDescent="0.25">
      <c r="A49" s="48">
        <f t="shared" si="5"/>
        <v>44188.437499999891</v>
      </c>
      <c r="B49" s="47">
        <f t="shared" si="6"/>
        <v>0.69061262097847231</v>
      </c>
      <c r="C49" s="28">
        <f t="shared" si="3"/>
        <v>7663.4374884259259</v>
      </c>
      <c r="D49" s="47">
        <f t="shared" si="7"/>
        <v>0.84176859827413542</v>
      </c>
      <c r="E49" s="47">
        <f t="shared" si="8"/>
        <v>0.84258048398681618</v>
      </c>
      <c r="F49" s="47">
        <f t="shared" si="4"/>
        <v>8.1188571268075993E-4</v>
      </c>
      <c r="R49" s="27"/>
      <c r="S49" s="27"/>
      <c r="T49" s="27"/>
      <c r="U49" s="27"/>
      <c r="V49" s="27"/>
      <c r="W49" s="27"/>
      <c r="X49" s="27"/>
      <c r="Y49" s="27"/>
      <c r="Z49" s="27"/>
      <c r="AA49" s="27"/>
      <c r="AB49" s="27"/>
      <c r="AC49" s="27"/>
      <c r="AD49" s="27"/>
    </row>
    <row r="50" spans="1:30" x14ac:dyDescent="0.25">
      <c r="A50" s="48">
        <f t="shared" si="5"/>
        <v>44188.479166666555</v>
      </c>
      <c r="B50" s="47">
        <f t="shared" si="6"/>
        <v>0.73239336719930481</v>
      </c>
      <c r="C50" s="28">
        <f t="shared" si="3"/>
        <v>7663.4791550925929</v>
      </c>
      <c r="D50" s="47">
        <f t="shared" si="7"/>
        <v>0.84179485550245181</v>
      </c>
      <c r="E50" s="47">
        <f t="shared" si="8"/>
        <v>0.84259446095306179</v>
      </c>
      <c r="F50" s="47">
        <f t="shared" si="4"/>
        <v>7.9960545060997479E-4</v>
      </c>
      <c r="R50" s="27"/>
      <c r="S50" s="27"/>
      <c r="T50" s="27"/>
      <c r="U50" s="27"/>
      <c r="V50" s="27"/>
      <c r="W50" s="27"/>
      <c r="X50" s="27"/>
      <c r="Y50" s="27"/>
      <c r="Z50" s="27"/>
      <c r="AA50" s="27"/>
      <c r="AB50" s="27"/>
      <c r="AC50" s="27"/>
      <c r="AD50" s="27"/>
    </row>
    <row r="51" spans="1:30" x14ac:dyDescent="0.25">
      <c r="A51" s="48">
        <f t="shared" si="5"/>
        <v>44188.520833333219</v>
      </c>
      <c r="B51" s="47">
        <f t="shared" si="6"/>
        <v>0.77417411342013731</v>
      </c>
      <c r="C51" s="28">
        <f t="shared" si="3"/>
        <v>7663.520821759259</v>
      </c>
      <c r="D51" s="47">
        <f t="shared" si="7"/>
        <v>0.8418210837897746</v>
      </c>
      <c r="E51" s="47">
        <f t="shared" si="8"/>
        <v>0.84260842262477464</v>
      </c>
      <c r="F51" s="47">
        <f t="shared" si="4"/>
        <v>7.8733883500003987E-4</v>
      </c>
      <c r="R51" s="27"/>
      <c r="S51" s="27"/>
      <c r="T51" s="27"/>
      <c r="U51" s="27"/>
      <c r="V51" s="27"/>
      <c r="W51" s="27"/>
      <c r="X51" s="27"/>
      <c r="Y51" s="27"/>
      <c r="Z51" s="27"/>
      <c r="AA51" s="27"/>
      <c r="AB51" s="27"/>
      <c r="AC51" s="27"/>
      <c r="AD51" s="27"/>
    </row>
    <row r="52" spans="1:30" x14ac:dyDescent="0.25">
      <c r="A52" s="48">
        <f t="shared" si="5"/>
        <v>44188.562499999884</v>
      </c>
      <c r="B52" s="47">
        <f t="shared" si="6"/>
        <v>0.81595485964096992</v>
      </c>
      <c r="C52" s="28">
        <f t="shared" si="3"/>
        <v>7663.5624884259259</v>
      </c>
      <c r="D52" s="47">
        <f t="shared" si="7"/>
        <v>0.84184729459952079</v>
      </c>
      <c r="E52" s="47">
        <f t="shared" si="8"/>
        <v>0.84262237525159978</v>
      </c>
      <c r="F52" s="47">
        <f t="shared" si="4"/>
        <v>7.7508065207898547E-4</v>
      </c>
      <c r="R52" s="27"/>
      <c r="S52" s="27"/>
      <c r="T52" s="27"/>
      <c r="U52" s="27"/>
      <c r="V52" s="27"/>
      <c r="W52" s="27"/>
      <c r="X52" s="27"/>
      <c r="Y52" s="27"/>
      <c r="Z52" s="27"/>
      <c r="AA52" s="27"/>
      <c r="AB52" s="27"/>
      <c r="AC52" s="27"/>
      <c r="AD52" s="27"/>
    </row>
    <row r="53" spans="1:30" x14ac:dyDescent="0.25">
      <c r="A53" s="48">
        <f t="shared" si="5"/>
        <v>44188.604166666548</v>
      </c>
      <c r="B53" s="47">
        <f t="shared" si="6"/>
        <v>0.85773560586180242</v>
      </c>
      <c r="C53" s="28">
        <f t="shared" si="3"/>
        <v>7663.6041550925929</v>
      </c>
      <c r="D53" s="47">
        <f t="shared" si="7"/>
        <v>0.84187350084803225</v>
      </c>
      <c r="E53" s="47">
        <f t="shared" si="8"/>
        <v>0.8426363258877354</v>
      </c>
      <c r="F53" s="47">
        <f t="shared" si="4"/>
        <v>7.6282503970315219E-4</v>
      </c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</row>
    <row r="54" spans="1:30" x14ac:dyDescent="0.25">
      <c r="A54" s="48">
        <f t="shared" si="5"/>
        <v>44188.645833333212</v>
      </c>
      <c r="B54" s="47">
        <f t="shared" si="6"/>
        <v>0.89951635208263492</v>
      </c>
      <c r="C54" s="28">
        <f t="shared" si="3"/>
        <v>7663.645821759259</v>
      </c>
      <c r="D54" s="47">
        <f t="shared" si="7"/>
        <v>0.84189971602016322</v>
      </c>
      <c r="E54" s="47">
        <f t="shared" si="8"/>
        <v>0.84265028190857238</v>
      </c>
      <c r="F54" s="47">
        <f t="shared" si="4"/>
        <v>7.5056588840916039E-4</v>
      </c>
      <c r="R54" s="27"/>
      <c r="S54" s="27"/>
      <c r="T54" s="27"/>
      <c r="U54" s="27"/>
      <c r="V54" s="27"/>
      <c r="W54" s="27"/>
      <c r="X54" s="27"/>
      <c r="Y54" s="27"/>
      <c r="Z54" s="27"/>
      <c r="AA54" s="27"/>
      <c r="AB54" s="27"/>
      <c r="AC54" s="27"/>
      <c r="AD54" s="27"/>
    </row>
    <row r="55" spans="1:30" x14ac:dyDescent="0.25">
      <c r="A55" s="48">
        <f t="shared" si="5"/>
        <v>44188.687499999876</v>
      </c>
      <c r="B55" s="47">
        <f t="shared" si="6"/>
        <v>0.94129709830347219</v>
      </c>
      <c r="C55" s="28">
        <f t="shared" si="3"/>
        <v>7663.6874884259259</v>
      </c>
      <c r="D55" s="47">
        <f t="shared" si="7"/>
        <v>0.84192595324607666</v>
      </c>
      <c r="E55" s="47">
        <f t="shared" si="8"/>
        <v>0.8426642505053823</v>
      </c>
      <c r="F55" s="47">
        <f t="shared" si="4"/>
        <v>7.3829725930563139E-4</v>
      </c>
      <c r="R55" s="27"/>
      <c r="S55" s="27"/>
      <c r="T55" s="27"/>
      <c r="U55" s="27"/>
      <c r="V55" s="27"/>
      <c r="W55" s="27"/>
      <c r="X55" s="27"/>
      <c r="Y55" s="27"/>
      <c r="Z55" s="27"/>
      <c r="AA55" s="27"/>
      <c r="AB55" s="27"/>
      <c r="AC55" s="27"/>
      <c r="AD55" s="27"/>
    </row>
    <row r="56" spans="1:30" x14ac:dyDescent="0.25">
      <c r="A56" s="48">
        <f t="shared" si="5"/>
        <v>44188.729166666541</v>
      </c>
      <c r="B56" s="47">
        <f t="shared" si="6"/>
        <v>0.9830778445243048</v>
      </c>
      <c r="C56" s="28">
        <f t="shared" si="3"/>
        <v>7663.7291550925929</v>
      </c>
      <c r="D56" s="47">
        <f t="shared" si="7"/>
        <v>0.841952224402434</v>
      </c>
      <c r="E56" s="47">
        <f t="shared" si="8"/>
        <v>0.84267823819264986</v>
      </c>
      <c r="F56" s="47">
        <f t="shared" si="4"/>
        <v>7.2601379021586254E-4</v>
      </c>
      <c r="R56" s="27"/>
      <c r="S56" s="27"/>
      <c r="T56" s="27"/>
      <c r="U56" s="27"/>
      <c r="V56" s="27"/>
      <c r="W56" s="27"/>
      <c r="X56" s="27"/>
      <c r="Y56" s="27"/>
      <c r="Z56" s="27"/>
      <c r="AA56" s="27"/>
      <c r="AB56" s="27"/>
      <c r="AC56" s="27"/>
      <c r="AD56" s="27"/>
    </row>
    <row r="57" spans="1:30" x14ac:dyDescent="0.25">
      <c r="A57" s="48">
        <f t="shared" si="5"/>
        <v>44188.770833333205</v>
      </c>
      <c r="B57" s="47">
        <f t="shared" si="6"/>
        <v>2.4858590745137285E-2</v>
      </c>
      <c r="C57" s="28">
        <f t="shared" si="3"/>
        <v>7663.770821759259</v>
      </c>
      <c r="D57" s="47">
        <f t="shared" si="7"/>
        <v>0.84197853929946653</v>
      </c>
      <c r="E57" s="47">
        <f t="shared" si="8"/>
        <v>0.84269225036177442</v>
      </c>
      <c r="F57" s="47">
        <f t="shared" si="4"/>
        <v>7.1371106230788683E-4</v>
      </c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</row>
    <row r="58" spans="1:30" x14ac:dyDescent="0.25">
      <c r="A58" s="48">
        <f t="shared" si="5"/>
        <v>44188.812499999869</v>
      </c>
      <c r="B58" s="47">
        <f t="shared" si="6"/>
        <v>6.6639336965969825E-2</v>
      </c>
      <c r="C58" s="28">
        <f t="shared" si="3"/>
        <v>7663.8124884259259</v>
      </c>
      <c r="D58" s="47">
        <f t="shared" si="7"/>
        <v>0.84200490500956748</v>
      </c>
      <c r="E58" s="47">
        <f t="shared" si="8"/>
        <v>0.84270629091171523</v>
      </c>
      <c r="F58" s="47">
        <f t="shared" si="4"/>
        <v>7.0138590214774421E-4</v>
      </c>
      <c r="R58" s="27"/>
      <c r="S58" s="27"/>
      <c r="T58" s="27"/>
      <c r="U58" s="27"/>
      <c r="V58" s="27"/>
      <c r="W58" s="27"/>
      <c r="X58" s="27"/>
      <c r="Y58" s="27"/>
      <c r="Z58" s="27"/>
      <c r="AA58" s="27"/>
      <c r="AB58" s="27"/>
      <c r="AC58" s="27"/>
      <c r="AD58" s="27"/>
    </row>
    <row r="59" spans="1:30" x14ac:dyDescent="0.25">
      <c r="A59" s="48">
        <f t="shared" si="5"/>
        <v>44188.854166666533</v>
      </c>
      <c r="B59" s="47">
        <f t="shared" si="6"/>
        <v>0.10842008318680235</v>
      </c>
      <c r="C59" s="28">
        <f t="shared" si="3"/>
        <v>7663.8541550925929</v>
      </c>
      <c r="D59" s="47">
        <f t="shared" si="7"/>
        <v>0.84203132538330583</v>
      </c>
      <c r="E59" s="47">
        <f t="shared" si="8"/>
        <v>0.84272036198184563</v>
      </c>
      <c r="F59" s="47">
        <f t="shared" si="4"/>
        <v>6.8903659853980503E-4</v>
      </c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</row>
    <row r="60" spans="1:30" x14ac:dyDescent="0.25">
      <c r="A60" s="48">
        <f t="shared" si="5"/>
        <v>44188.895833333198</v>
      </c>
      <c r="B60" s="47">
        <f t="shared" si="6"/>
        <v>0.15020082940763488</v>
      </c>
      <c r="C60" s="28">
        <f t="shared" si="3"/>
        <v>7663.895821759259</v>
      </c>
      <c r="D60" s="47">
        <f t="shared" si="7"/>
        <v>0.84205780078597237</v>
      </c>
      <c r="E60" s="47">
        <f t="shared" si="8"/>
        <v>0.84273446380530681</v>
      </c>
      <c r="F60" s="47">
        <f t="shared" si="4"/>
        <v>6.7666301933444473E-4</v>
      </c>
      <c r="R60" s="27"/>
      <c r="S60" s="27"/>
      <c r="T60" s="27"/>
      <c r="U60" s="27"/>
      <c r="V60" s="27"/>
      <c r="W60" s="27"/>
      <c r="X60" s="27"/>
      <c r="Y60" s="27"/>
      <c r="Z60" s="27"/>
      <c r="AA60" s="27"/>
      <c r="AB60" s="27"/>
      <c r="AC60" s="27"/>
      <c r="AD60" s="27"/>
    </row>
    <row r="61" spans="1:30" x14ac:dyDescent="0.25">
      <c r="A61" s="48">
        <f t="shared" si="5"/>
        <v>44188.937499999862</v>
      </c>
      <c r="B61" s="47">
        <f t="shared" si="6"/>
        <v>0.19198157562847218</v>
      </c>
      <c r="C61" s="28">
        <f t="shared" si="3"/>
        <v>7663.9374884259259</v>
      </c>
      <c r="D61" s="47">
        <f t="shared" si="7"/>
        <v>0.84208432807265499</v>
      </c>
      <c r="E61" s="47">
        <f t="shared" si="8"/>
        <v>0.84274859469290009</v>
      </c>
      <c r="F61" s="47">
        <f t="shared" si="4"/>
        <v>6.6426662024510197E-4</v>
      </c>
      <c r="R61" s="27"/>
      <c r="S61" s="27"/>
      <c r="T61" s="27"/>
      <c r="U61" s="27"/>
      <c r="V61" s="27"/>
      <c r="W61" s="27"/>
      <c r="X61" s="27"/>
      <c r="Y61" s="27"/>
      <c r="Z61" s="27"/>
      <c r="AA61" s="27"/>
      <c r="AB61" s="27"/>
      <c r="AC61" s="27"/>
      <c r="AD61" s="27"/>
    </row>
    <row r="62" spans="1:30" x14ac:dyDescent="0.25">
      <c r="A62" s="48">
        <f t="shared" si="5"/>
        <v>44188.979166666526</v>
      </c>
      <c r="B62" s="47">
        <f t="shared" si="6"/>
        <v>0.23376232184930471</v>
      </c>
      <c r="C62" s="28">
        <f t="shared" si="3"/>
        <v>7663.9791550925929</v>
      </c>
      <c r="D62" s="47">
        <f t="shared" si="7"/>
        <v>0.84211090080351647</v>
      </c>
      <c r="E62" s="47">
        <f t="shared" si="8"/>
        <v>0.84276275114860333</v>
      </c>
      <c r="F62" s="47">
        <f t="shared" si="4"/>
        <v>6.5185034508685735E-4</v>
      </c>
      <c r="R62" s="27"/>
      <c r="S62" s="27"/>
      <c r="T62" s="27"/>
      <c r="U62" s="27"/>
      <c r="V62" s="27"/>
      <c r="W62" s="27"/>
      <c r="X62" s="27"/>
      <c r="Y62" s="27"/>
      <c r="Z62" s="27"/>
      <c r="AA62" s="27"/>
      <c r="AB62" s="27"/>
      <c r="AC62" s="27"/>
      <c r="AD62" s="27"/>
    </row>
    <row r="63" spans="1:30" x14ac:dyDescent="0.25">
      <c r="A63" s="48">
        <f t="shared" si="5"/>
        <v>44189.02083333319</v>
      </c>
      <c r="B63" s="47">
        <f t="shared" si="6"/>
        <v>0.27554306813227658</v>
      </c>
      <c r="C63" s="28">
        <f t="shared" si="3"/>
        <v>7664.020821759259</v>
      </c>
      <c r="D63" s="47">
        <f t="shared" si="7"/>
        <v>0.84213750968450551</v>
      </c>
      <c r="E63" s="47">
        <f t="shared" si="8"/>
        <v>0.84277692810878824</v>
      </c>
      <c r="F63" s="47">
        <f t="shared" si="4"/>
        <v>6.3941842428272277E-4</v>
      </c>
      <c r="R63" s="27"/>
      <c r="S63" s="27"/>
      <c r="T63" s="27"/>
      <c r="U63" s="27"/>
      <c r="V63" s="27"/>
      <c r="W63" s="27"/>
      <c r="X63" s="27"/>
      <c r="Y63" s="27"/>
      <c r="Z63" s="27"/>
      <c r="AA63" s="27"/>
      <c r="AB63" s="27"/>
      <c r="AC63" s="27"/>
      <c r="AD63" s="27"/>
    </row>
    <row r="64" spans="1:30" x14ac:dyDescent="0.25">
      <c r="A64" s="48">
        <f t="shared" si="5"/>
        <v>44189.062499999854</v>
      </c>
      <c r="B64" s="47">
        <f t="shared" si="6"/>
        <v>0.31732381435310913</v>
      </c>
      <c r="C64" s="28">
        <f t="shared" si="3"/>
        <v>7664.0624884259259</v>
      </c>
      <c r="D64" s="47">
        <f t="shared" si="7"/>
        <v>0.84216414320333388</v>
      </c>
      <c r="E64" s="47">
        <f t="shared" si="8"/>
        <v>0.84279111928876405</v>
      </c>
      <c r="F64" s="47">
        <f t="shared" si="4"/>
        <v>6.2697608543016425E-4</v>
      </c>
      <c r="R64" s="27"/>
      <c r="S64" s="27"/>
      <c r="T64" s="27"/>
      <c r="U64" s="27"/>
      <c r="V64" s="27"/>
      <c r="W64" s="27"/>
      <c r="X64" s="27"/>
      <c r="Y64" s="27"/>
      <c r="Z64" s="27"/>
      <c r="AA64" s="27"/>
      <c r="AB64" s="27"/>
      <c r="AC64" s="27"/>
      <c r="AD64" s="27"/>
    </row>
    <row r="65" spans="1:30" x14ac:dyDescent="0.25">
      <c r="A65" s="48">
        <f t="shared" si="5"/>
        <v>44189.104166666519</v>
      </c>
      <c r="B65" s="47">
        <f t="shared" si="6"/>
        <v>0.35910456057394163</v>
      </c>
      <c r="C65" s="28">
        <f t="shared" si="3"/>
        <v>7664.1041550925929</v>
      </c>
      <c r="D65" s="47">
        <f t="shared" si="7"/>
        <v>0.84219078841715556</v>
      </c>
      <c r="E65" s="47">
        <f t="shared" si="8"/>
        <v>0.84280531761289967</v>
      </c>
      <c r="F65" s="47">
        <f t="shared" si="4"/>
        <v>6.1452919574411791E-4</v>
      </c>
      <c r="R65" s="27"/>
      <c r="S65" s="27"/>
      <c r="T65" s="27"/>
      <c r="U65" s="27"/>
      <c r="V65" s="27"/>
      <c r="W65" s="27"/>
      <c r="X65" s="27"/>
      <c r="Y65" s="27"/>
      <c r="Z65" s="27"/>
      <c r="AA65" s="27"/>
      <c r="AB65" s="27"/>
      <c r="AC65" s="27"/>
      <c r="AD65" s="27"/>
    </row>
    <row r="66" spans="1:30" x14ac:dyDescent="0.25">
      <c r="A66" s="48">
        <f t="shared" si="5"/>
        <v>44189.145833333183</v>
      </c>
      <c r="B66" s="47">
        <f t="shared" si="6"/>
        <v>0.40088530679477419</v>
      </c>
      <c r="C66" s="28">
        <f t="shared" si="3"/>
        <v>7664.145821759259</v>
      </c>
      <c r="D66" s="47">
        <f t="shared" si="7"/>
        <v>0.84221743183803832</v>
      </c>
      <c r="E66" s="47">
        <f t="shared" si="8"/>
        <v>0.84281951569886893</v>
      </c>
      <c r="F66" s="47">
        <f t="shared" si="4"/>
        <v>6.020838608306045E-4</v>
      </c>
      <c r="R66" s="27"/>
      <c r="S66" s="27"/>
      <c r="T66" s="27"/>
      <c r="U66" s="27"/>
      <c r="V66" s="27"/>
      <c r="W66" s="27"/>
      <c r="X66" s="27"/>
      <c r="Y66" s="27"/>
      <c r="Z66" s="27"/>
      <c r="AA66" s="27"/>
      <c r="AB66" s="27"/>
      <c r="AC66" s="27"/>
      <c r="AD66" s="27"/>
    </row>
    <row r="67" spans="1:30" x14ac:dyDescent="0.25">
      <c r="A67" s="48">
        <f t="shared" si="5"/>
        <v>44189.187499999847</v>
      </c>
      <c r="B67" s="47">
        <f t="shared" si="6"/>
        <v>0.44266605301561146</v>
      </c>
      <c r="C67" s="28">
        <f t="shared" si="3"/>
        <v>7664.1874884259259</v>
      </c>
      <c r="D67" s="47">
        <f t="shared" si="7"/>
        <v>0.84224406035562827</v>
      </c>
      <c r="E67" s="47">
        <f t="shared" si="8"/>
        <v>0.84283370636286137</v>
      </c>
      <c r="F67" s="47">
        <f t="shared" si="4"/>
        <v>5.8964600723310223E-4</v>
      </c>
      <c r="R67" s="27"/>
      <c r="S67" s="27"/>
      <c r="T67" s="27"/>
      <c r="U67" s="27"/>
      <c r="V67" s="27"/>
      <c r="W67" s="27"/>
      <c r="X67" s="27"/>
      <c r="Y67" s="27"/>
      <c r="Z67" s="27"/>
      <c r="AA67" s="27"/>
      <c r="AB67" s="27"/>
      <c r="AC67" s="27"/>
      <c r="AD67" s="27"/>
    </row>
    <row r="68" spans="1:30" x14ac:dyDescent="0.25">
      <c r="A68" s="48">
        <f t="shared" si="5"/>
        <v>44189.229166666511</v>
      </c>
      <c r="B68" s="47">
        <f t="shared" ref="B68:B99" si="9">vbLSTFromDt(A68,longi)/24</f>
        <v>0.48444679923644401</v>
      </c>
      <c r="C68" s="28">
        <f t="shared" si="3"/>
        <v>7664.2291550925929</v>
      </c>
      <c r="D68" s="47">
        <f t="shared" ref="D68:D99" si="10">vbplanetxyz(5, C68, 6,B68,lati, temp, pres)/360</f>
        <v>0.84227066213385282</v>
      </c>
      <c r="E68" s="47">
        <f t="shared" ref="E68:E99" si="11">vbplanetxyz(6, C68, 6,B68,lati, temp, pres)/360</f>
        <v>0.84284788311116643</v>
      </c>
      <c r="F68" s="47">
        <f t="shared" si="4"/>
        <v>5.7722097731360833E-4</v>
      </c>
    </row>
    <row r="69" spans="1:30" x14ac:dyDescent="0.25">
      <c r="A69" s="48">
        <f t="shared" si="5"/>
        <v>44189.270833333176</v>
      </c>
      <c r="B69" s="47">
        <f t="shared" si="9"/>
        <v>0.52622754545727657</v>
      </c>
      <c r="C69" s="28">
        <f t="shared" ref="C69:C114" si="12">vbastrodaysfromdt(A69)</f>
        <v>7664.270821759259</v>
      </c>
      <c r="D69" s="47">
        <f t="shared" si="10"/>
        <v>0.84229722742031554</v>
      </c>
      <c r="E69" s="47">
        <f t="shared" si="11"/>
        <v>0.84286204058446434</v>
      </c>
      <c r="F69" s="47">
        <f t="shared" ref="F69:F84" si="13">E69-D69</f>
        <v>5.64813164148803E-4</v>
      </c>
    </row>
    <row r="70" spans="1:30" x14ac:dyDescent="0.25">
      <c r="A70" s="48">
        <f t="shared" ref="A70:A114" si="14">A69+1/24</f>
        <v>44189.31249999984</v>
      </c>
      <c r="B70" s="47">
        <f t="shared" si="9"/>
        <v>0.56800829167810907</v>
      </c>
      <c r="C70" s="28">
        <f t="shared" si="12"/>
        <v>7664.3124884259259</v>
      </c>
      <c r="D70" s="47">
        <f t="shared" si="10"/>
        <v>0.84232374921300912</v>
      </c>
      <c r="E70" s="47">
        <f t="shared" si="11"/>
        <v>0.84287617492441458</v>
      </c>
      <c r="F70" s="47">
        <f t="shared" si="13"/>
        <v>5.524257114054576E-4</v>
      </c>
    </row>
    <row r="71" spans="1:30" x14ac:dyDescent="0.25">
      <c r="A71" s="48">
        <f t="shared" si="14"/>
        <v>44189.354166666504</v>
      </c>
      <c r="B71" s="47">
        <f t="shared" si="9"/>
        <v>0.60978903789894157</v>
      </c>
      <c r="C71" s="28">
        <f t="shared" si="12"/>
        <v>7664.3541550925929</v>
      </c>
      <c r="D71" s="47">
        <f t="shared" si="10"/>
        <v>0.84235022373873136</v>
      </c>
      <c r="E71" s="47">
        <f t="shared" si="11"/>
        <v>0.84289028403744415</v>
      </c>
      <c r="F71" s="47">
        <f t="shared" si="13"/>
        <v>5.400602987127856E-4</v>
      </c>
    </row>
    <row r="72" spans="1:30" x14ac:dyDescent="0.25">
      <c r="A72" s="48">
        <f t="shared" si="14"/>
        <v>44189.395833333168</v>
      </c>
      <c r="B72" s="47">
        <f t="shared" si="9"/>
        <v>0.65156978411977418</v>
      </c>
      <c r="C72" s="28">
        <f t="shared" si="12"/>
        <v>7664.395821759259</v>
      </c>
      <c r="D72" s="47">
        <f t="shared" si="10"/>
        <v>0.84237665071049783</v>
      </c>
      <c r="E72" s="47">
        <f t="shared" si="11"/>
        <v>0.84290436773767796</v>
      </c>
      <c r="F72" s="47">
        <f t="shared" si="13"/>
        <v>5.2771702718013014E-4</v>
      </c>
    </row>
    <row r="73" spans="1:30" x14ac:dyDescent="0.25">
      <c r="A73" s="48">
        <f t="shared" si="14"/>
        <v>44189.437499999833</v>
      </c>
      <c r="B73" s="47">
        <f t="shared" si="9"/>
        <v>0.69335053034061145</v>
      </c>
      <c r="C73" s="28">
        <f t="shared" si="12"/>
        <v>7664.4374884259259</v>
      </c>
      <c r="D73" s="47">
        <f t="shared" si="10"/>
        <v>0.84240303334637456</v>
      </c>
      <c r="E73" s="47">
        <f t="shared" si="11"/>
        <v>0.84291842775924042</v>
      </c>
      <c r="F73" s="47">
        <f t="shared" si="13"/>
        <v>5.1539441286585497E-4</v>
      </c>
    </row>
    <row r="74" spans="1:30" x14ac:dyDescent="0.25">
      <c r="A74" s="48">
        <f t="shared" si="14"/>
        <v>44189.479166666497</v>
      </c>
      <c r="B74" s="47">
        <f t="shared" si="9"/>
        <v>0.73513127656144395</v>
      </c>
      <c r="C74" s="28">
        <f t="shared" si="12"/>
        <v>7664.4791550925929</v>
      </c>
      <c r="D74" s="47">
        <f t="shared" si="10"/>
        <v>0.8424293781484492</v>
      </c>
      <c r="E74" s="47">
        <f t="shared" si="11"/>
        <v>0.84293246763709107</v>
      </c>
      <c r="F74" s="47">
        <f t="shared" si="13"/>
        <v>5.0308948864186132E-4</v>
      </c>
    </row>
    <row r="75" spans="1:30" x14ac:dyDescent="0.25">
      <c r="A75" s="48">
        <f t="shared" si="14"/>
        <v>44189.520833333161</v>
      </c>
      <c r="B75" s="47">
        <f t="shared" si="9"/>
        <v>0.77691202278227645</v>
      </c>
      <c r="C75" s="28">
        <f t="shared" si="12"/>
        <v>7664.520821759259</v>
      </c>
      <c r="D75" s="47">
        <f t="shared" si="10"/>
        <v>0.84245569445711477</v>
      </c>
      <c r="E75" s="47">
        <f t="shared" si="11"/>
        <v>0.84294649246455999</v>
      </c>
      <c r="F75" s="47">
        <f t="shared" si="13"/>
        <v>4.9079800744522561E-4</v>
      </c>
    </row>
    <row r="76" spans="1:30" x14ac:dyDescent="0.25">
      <c r="A76" s="48">
        <f t="shared" si="14"/>
        <v>44189.562499999825</v>
      </c>
      <c r="B76" s="47">
        <f t="shared" si="9"/>
        <v>0.81869276900310906</v>
      </c>
      <c r="C76" s="28">
        <f t="shared" si="12"/>
        <v>7664.5624884259259</v>
      </c>
      <c r="D76" s="47">
        <f t="shared" si="10"/>
        <v>0.84248199381118949</v>
      </c>
      <c r="E76" s="47">
        <f t="shared" si="11"/>
        <v>0.84296050854420268</v>
      </c>
      <c r="F76" s="47">
        <f t="shared" si="13"/>
        <v>4.7851473301319114E-4</v>
      </c>
    </row>
    <row r="77" spans="1:30" x14ac:dyDescent="0.25">
      <c r="A77" s="48">
        <f t="shared" si="14"/>
        <v>44189.60416666649</v>
      </c>
      <c r="B77" s="47">
        <f t="shared" si="9"/>
        <v>0.86047351522394155</v>
      </c>
      <c r="C77" s="28">
        <f t="shared" si="12"/>
        <v>7664.6041550925929</v>
      </c>
      <c r="D77" s="47">
        <f t="shared" si="10"/>
        <v>0.84250828915768017</v>
      </c>
      <c r="E77" s="47">
        <f t="shared" si="11"/>
        <v>0.84297452295588093</v>
      </c>
      <c r="F77" s="47">
        <f t="shared" si="13"/>
        <v>4.6623379820076583E-4</v>
      </c>
    </row>
    <row r="78" spans="1:30" x14ac:dyDescent="0.25">
      <c r="A78" s="48">
        <f t="shared" si="14"/>
        <v>44189.645833333154</v>
      </c>
      <c r="B78" s="47">
        <f t="shared" si="9"/>
        <v>0.90225426144477405</v>
      </c>
      <c r="C78" s="28">
        <f t="shared" si="12"/>
        <v>7664.645821759259</v>
      </c>
      <c r="D78" s="47">
        <f t="shared" si="10"/>
        <v>0.84253459396527686</v>
      </c>
      <c r="E78" s="47">
        <f t="shared" si="11"/>
        <v>0.8429885430716485</v>
      </c>
      <c r="F78" s="47">
        <f t="shared" si="13"/>
        <v>4.5394910637164276E-4</v>
      </c>
    </row>
    <row r="79" spans="1:30" x14ac:dyDescent="0.25">
      <c r="A79" s="48">
        <f t="shared" si="14"/>
        <v>44189.687499999818</v>
      </c>
      <c r="B79" s="47">
        <f t="shared" si="9"/>
        <v>0.94403500766561133</v>
      </c>
      <c r="C79" s="28">
        <f t="shared" si="12"/>
        <v>7664.6874884259259</v>
      </c>
      <c r="D79" s="47">
        <f t="shared" si="10"/>
        <v>0.84256092130227966</v>
      </c>
      <c r="E79" s="47">
        <f t="shared" si="11"/>
        <v>0.84300257605067741</v>
      </c>
      <c r="F79" s="47">
        <f t="shared" si="13"/>
        <v>4.4165474839774621E-4</v>
      </c>
    </row>
    <row r="80" spans="1:30" x14ac:dyDescent="0.25">
      <c r="A80" s="48">
        <f t="shared" si="14"/>
        <v>44189.729166666482</v>
      </c>
      <c r="B80" s="47">
        <f t="shared" si="9"/>
        <v>0.98581575388644394</v>
      </c>
      <c r="C80" s="28">
        <f t="shared" si="12"/>
        <v>7664.7291550925929</v>
      </c>
      <c r="D80" s="47">
        <f t="shared" si="10"/>
        <v>0.84258728294201957</v>
      </c>
      <c r="E80" s="47">
        <f t="shared" si="11"/>
        <v>0.84301662834877966</v>
      </c>
      <c r="F80" s="47">
        <f t="shared" si="13"/>
        <v>4.2934540676009547E-4</v>
      </c>
    </row>
    <row r="81" spans="1:6" x14ac:dyDescent="0.25">
      <c r="A81" s="48">
        <f t="shared" si="14"/>
        <v>44189.770833333147</v>
      </c>
      <c r="B81" s="47">
        <f t="shared" si="9"/>
        <v>2.759650010727642E-2</v>
      </c>
      <c r="C81" s="28">
        <f t="shared" si="12"/>
        <v>7664.770821759259</v>
      </c>
      <c r="D81" s="47">
        <f t="shared" si="10"/>
        <v>0.84261368855701291</v>
      </c>
      <c r="E81" s="47">
        <f t="shared" si="11"/>
        <v>0.84303070527614021</v>
      </c>
      <c r="F81" s="47">
        <f t="shared" si="13"/>
        <v>4.1701671912730554E-4</v>
      </c>
    </row>
    <row r="82" spans="1:6" x14ac:dyDescent="0.25">
      <c r="A82" s="48">
        <f t="shared" si="14"/>
        <v>44189.812499999811</v>
      </c>
      <c r="B82" s="47">
        <f t="shared" si="9"/>
        <v>6.937724632810896E-2</v>
      </c>
      <c r="C82" s="28">
        <f t="shared" si="12"/>
        <v>7664.8124884259259</v>
      </c>
      <c r="D82" s="47">
        <f t="shared" si="10"/>
        <v>0.84264014505697893</v>
      </c>
      <c r="E82" s="47">
        <f t="shared" si="11"/>
        <v>0.84304481063351555</v>
      </c>
      <c r="F82" s="47">
        <f t="shared" si="13"/>
        <v>4.046655765366225E-4</v>
      </c>
    </row>
    <row r="83" spans="1:6" x14ac:dyDescent="0.25">
      <c r="A83" s="48">
        <f t="shared" si="14"/>
        <v>44189.854166666475</v>
      </c>
      <c r="B83" s="47">
        <f t="shared" si="9"/>
        <v>0.11115799254894149</v>
      </c>
      <c r="C83" s="28">
        <f t="shared" si="12"/>
        <v>7664.8541550925929</v>
      </c>
      <c r="D83" s="47">
        <f t="shared" si="10"/>
        <v>0.84266665611598435</v>
      </c>
      <c r="E83" s="47">
        <f t="shared" si="11"/>
        <v>0.84305894645181112</v>
      </c>
      <c r="F83" s="47">
        <f t="shared" si="13"/>
        <v>3.9229033582677264E-4</v>
      </c>
    </row>
    <row r="84" spans="1:6" x14ac:dyDescent="0.25">
      <c r="A84" s="48">
        <f t="shared" si="14"/>
        <v>44189.895833333139</v>
      </c>
      <c r="B84" s="47">
        <f t="shared" si="9"/>
        <v>0.15293873876977401</v>
      </c>
      <c r="C84" s="28">
        <f t="shared" si="12"/>
        <v>7664.895821759259</v>
      </c>
      <c r="D84" s="47">
        <f t="shared" si="10"/>
        <v>0.84269322192106177</v>
      </c>
      <c r="E84" s="47">
        <f t="shared" si="11"/>
        <v>0.84307311285286379</v>
      </c>
      <c r="F84" s="47">
        <f t="shared" si="13"/>
        <v>3.7989093180201827E-4</v>
      </c>
    </row>
    <row r="85" spans="1:6" x14ac:dyDescent="0.25">
      <c r="A85" s="48">
        <f t="shared" si="14"/>
        <v>44189.937499999804</v>
      </c>
      <c r="B85" s="47">
        <f t="shared" si="9"/>
        <v>0.19471948499061131</v>
      </c>
      <c r="C85" s="28">
        <f t="shared" si="12"/>
        <v>7664.9374884259259</v>
      </c>
      <c r="D85" s="47">
        <f t="shared" si="10"/>
        <v>0.84271983915947979</v>
      </c>
      <c r="E85" s="47">
        <f t="shared" si="11"/>
        <v>0.84308730804095044</v>
      </c>
      <c r="F85" s="47">
        <f t="shared" ref="F85:F114" si="15">E85-D85</f>
        <v>3.6746888147065615E-4</v>
      </c>
    </row>
    <row r="86" spans="1:6" x14ac:dyDescent="0.25">
      <c r="A86" s="48">
        <f t="shared" si="14"/>
        <v>44189.979166666468</v>
      </c>
      <c r="B86" s="47">
        <f t="shared" si="9"/>
        <v>0.23650023121144384</v>
      </c>
      <c r="C86" s="28">
        <f t="shared" si="12"/>
        <v>7664.9791550925929</v>
      </c>
      <c r="D86" s="47">
        <f t="shared" si="10"/>
        <v>0.84274650124549133</v>
      </c>
      <c r="E86" s="47">
        <f t="shared" si="11"/>
        <v>0.84310152842559172</v>
      </c>
      <c r="F86" s="47">
        <f t="shared" si="15"/>
        <v>3.5502718010038681E-4</v>
      </c>
    </row>
    <row r="87" spans="1:6" x14ac:dyDescent="0.25">
      <c r="A87" s="48">
        <f t="shared" si="14"/>
        <v>44190.020833333132</v>
      </c>
      <c r="B87" s="47">
        <f t="shared" si="9"/>
        <v>0.27828097749441572</v>
      </c>
      <c r="C87" s="28">
        <f t="shared" si="12"/>
        <v>7665.020821759259</v>
      </c>
      <c r="D87" s="47">
        <f t="shared" si="10"/>
        <v>0.8427731987710203</v>
      </c>
      <c r="E87" s="47">
        <f t="shared" si="11"/>
        <v>0.84311576886723538</v>
      </c>
      <c r="F87" s="47">
        <f t="shared" si="15"/>
        <v>3.4257009621507795E-4</v>
      </c>
    </row>
    <row r="88" spans="1:6" x14ac:dyDescent="0.25">
      <c r="A88" s="48">
        <f t="shared" si="14"/>
        <v>44190.062499999796</v>
      </c>
      <c r="B88" s="47">
        <f t="shared" si="9"/>
        <v>0.32006172371524827</v>
      </c>
      <c r="C88" s="28">
        <f t="shared" si="12"/>
        <v>7665.0624884259259</v>
      </c>
      <c r="D88" s="47">
        <f t="shared" si="10"/>
        <v>0.84279992014942939</v>
      </c>
      <c r="E88" s="47">
        <f t="shared" si="11"/>
        <v>0.84313002302899331</v>
      </c>
      <c r="F88" s="47">
        <f t="shared" si="15"/>
        <v>3.3010287956392048E-4</v>
      </c>
    </row>
    <row r="89" spans="1:6" x14ac:dyDescent="0.25">
      <c r="A89" s="48">
        <f t="shared" si="14"/>
        <v>44190.104166666461</v>
      </c>
      <c r="B89" s="47">
        <f t="shared" si="9"/>
        <v>0.36184246993608077</v>
      </c>
      <c r="C89" s="28">
        <f t="shared" si="12"/>
        <v>7665.1041550925929</v>
      </c>
      <c r="D89" s="47">
        <f t="shared" si="10"/>
        <v>0.84282665240827692</v>
      </c>
      <c r="E89" s="47">
        <f t="shared" si="11"/>
        <v>0.84314428381033113</v>
      </c>
      <c r="F89" s="47">
        <f t="shared" si="15"/>
        <v>3.1763140205420815E-4</v>
      </c>
    </row>
    <row r="90" spans="1:6" x14ac:dyDescent="0.25">
      <c r="A90" s="48">
        <f t="shared" si="14"/>
        <v>44190.145833333125</v>
      </c>
      <c r="B90" s="47">
        <f t="shared" si="9"/>
        <v>0.40362321615691332</v>
      </c>
      <c r="C90" s="28">
        <f t="shared" si="12"/>
        <v>7665.145821759259</v>
      </c>
      <c r="D90" s="47">
        <f t="shared" si="10"/>
        <v>0.84285338207680205</v>
      </c>
      <c r="E90" s="47">
        <f t="shared" si="11"/>
        <v>0.84315854383301325</v>
      </c>
      <c r="F90" s="47">
        <f t="shared" si="15"/>
        <v>3.0516175621120301E-4</v>
      </c>
    </row>
    <row r="91" spans="1:6" x14ac:dyDescent="0.25">
      <c r="A91" s="48">
        <f t="shared" si="14"/>
        <v>44190.187499999789</v>
      </c>
      <c r="B91" s="47">
        <f t="shared" si="9"/>
        <v>0.4454039623777506</v>
      </c>
      <c r="C91" s="28">
        <f t="shared" si="12"/>
        <v>7665.1874884259259</v>
      </c>
      <c r="D91" s="47">
        <f t="shared" si="10"/>
        <v>0.842880096107407</v>
      </c>
      <c r="E91" s="47">
        <f t="shared" si="11"/>
        <v>0.84317279594603545</v>
      </c>
      <c r="F91" s="47">
        <f t="shared" si="15"/>
        <v>2.9269983862845184E-4</v>
      </c>
    </row>
    <row r="92" spans="1:6" x14ac:dyDescent="0.25">
      <c r="A92" s="48">
        <f t="shared" si="14"/>
        <v>44190.229166666453</v>
      </c>
      <c r="B92" s="47">
        <f t="shared" si="9"/>
        <v>0.48718470859858315</v>
      </c>
      <c r="C92" s="28">
        <f t="shared" si="12"/>
        <v>7665.2291550925929</v>
      </c>
      <c r="D92" s="47">
        <f t="shared" si="10"/>
        <v>0.84290678276806341</v>
      </c>
      <c r="E92" s="47">
        <f t="shared" si="11"/>
        <v>0.84318703371495296</v>
      </c>
      <c r="F92" s="47">
        <f t="shared" si="15"/>
        <v>2.8025094688954866E-4</v>
      </c>
    </row>
    <row r="93" spans="1:6" x14ac:dyDescent="0.25">
      <c r="A93" s="48">
        <f t="shared" si="14"/>
        <v>44190.270833333117</v>
      </c>
      <c r="B93" s="47">
        <f t="shared" si="9"/>
        <v>0.5289654548194157</v>
      </c>
      <c r="C93" s="28">
        <f t="shared" si="12"/>
        <v>7665.270821759259</v>
      </c>
      <c r="D93" s="47">
        <f t="shared" si="10"/>
        <v>0.84293343244457997</v>
      </c>
      <c r="E93" s="47">
        <f t="shared" si="11"/>
        <v>0.84320125186211448</v>
      </c>
      <c r="F93" s="47">
        <f t="shared" si="15"/>
        <v>2.6781941753450944E-4</v>
      </c>
    </row>
    <row r="94" spans="1:6" x14ac:dyDescent="0.25">
      <c r="A94" s="48">
        <f t="shared" si="14"/>
        <v>44190.312499999782</v>
      </c>
      <c r="B94" s="47">
        <f t="shared" si="9"/>
        <v>0.5707462010402482</v>
      </c>
      <c r="C94" s="28">
        <f t="shared" si="12"/>
        <v>7665.3124884259259</v>
      </c>
      <c r="D94" s="47">
        <f t="shared" si="10"/>
        <v>0.8429600382978657</v>
      </c>
      <c r="E94" s="47">
        <f t="shared" si="11"/>
        <v>0.84321544662765957</v>
      </c>
      <c r="F94" s="47">
        <f t="shared" si="15"/>
        <v>2.554083297938714E-4</v>
      </c>
    </row>
    <row r="95" spans="1:6" x14ac:dyDescent="0.25">
      <c r="A95" s="48">
        <f t="shared" si="14"/>
        <v>44190.354166666446</v>
      </c>
      <c r="B95" s="47">
        <f t="shared" si="9"/>
        <v>0.6125269472610807</v>
      </c>
      <c r="C95" s="28">
        <f t="shared" si="12"/>
        <v>7665.3541550925929</v>
      </c>
      <c r="D95" s="47">
        <f t="shared" si="10"/>
        <v>0.8429865967311978</v>
      </c>
      <c r="E95" s="47">
        <f t="shared" si="11"/>
        <v>0.84322961602656299</v>
      </c>
      <c r="F95" s="47">
        <f t="shared" si="15"/>
        <v>2.4301929536518774E-4</v>
      </c>
    </row>
    <row r="96" spans="1:6" x14ac:dyDescent="0.25">
      <c r="A96" s="48">
        <f t="shared" si="14"/>
        <v>44190.39583333311</v>
      </c>
      <c r="B96" s="47">
        <f t="shared" si="9"/>
        <v>0.65430769348191331</v>
      </c>
      <c r="C96" s="28">
        <f t="shared" si="12"/>
        <v>7665.395821759259</v>
      </c>
      <c r="D96" s="47">
        <f t="shared" si="10"/>
        <v>0.84301310763556969</v>
      </c>
      <c r="E96" s="47">
        <f t="shared" si="11"/>
        <v>0.84324375998413281</v>
      </c>
      <c r="F96" s="47">
        <f t="shared" si="15"/>
        <v>2.3065234856312067E-4</v>
      </c>
    </row>
    <row r="97" spans="1:6" x14ac:dyDescent="0.25">
      <c r="A97" s="48">
        <f t="shared" si="14"/>
        <v>44190.437499999774</v>
      </c>
      <c r="B97" s="47">
        <f t="shared" si="9"/>
        <v>0.69608843970275058</v>
      </c>
      <c r="C97" s="28">
        <f t="shared" si="12"/>
        <v>7665.4374884259259</v>
      </c>
      <c r="D97" s="47">
        <f t="shared" si="10"/>
        <v>0.84303957439635502</v>
      </c>
      <c r="E97" s="47">
        <f t="shared" si="11"/>
        <v>0.84325788034070792</v>
      </c>
      <c r="F97" s="47">
        <f t="shared" si="15"/>
        <v>2.183059443529034E-4</v>
      </c>
    </row>
    <row r="98" spans="1:6" x14ac:dyDescent="0.25">
      <c r="A98" s="48">
        <f t="shared" si="14"/>
        <v>44190.479166666439</v>
      </c>
      <c r="B98" s="47">
        <f t="shared" si="9"/>
        <v>0.73786918592358308</v>
      </c>
      <c r="C98" s="28">
        <f t="shared" si="12"/>
        <v>7665.4791550925929</v>
      </c>
      <c r="D98" s="47">
        <f t="shared" si="10"/>
        <v>0.84306600366084328</v>
      </c>
      <c r="E98" s="47">
        <f t="shared" si="11"/>
        <v>0.84327198072521825</v>
      </c>
      <c r="F98" s="47">
        <f t="shared" si="15"/>
        <v>2.0597706437497365E-4</v>
      </c>
    </row>
    <row r="99" spans="1:6" x14ac:dyDescent="0.25">
      <c r="A99" s="48">
        <f t="shared" si="14"/>
        <v>44190.520833333103</v>
      </c>
      <c r="B99" s="47">
        <f t="shared" si="9"/>
        <v>0.77964993214441558</v>
      </c>
      <c r="C99" s="28">
        <f t="shared" si="12"/>
        <v>7665.520821759259</v>
      </c>
      <c r="D99" s="47">
        <f t="shared" si="10"/>
        <v>0.84309240488260273</v>
      </c>
      <c r="E99" s="47">
        <f t="shared" si="11"/>
        <v>0.84328606630629332</v>
      </c>
      <c r="F99" s="47">
        <f t="shared" si="15"/>
        <v>1.9366142369059425E-4</v>
      </c>
    </row>
    <row r="100" spans="1:6" x14ac:dyDescent="0.25">
      <c r="A100" s="48">
        <f t="shared" si="14"/>
        <v>44190.562499999767</v>
      </c>
      <c r="B100" s="47">
        <f t="shared" ref="B100:B114" si="16">vbLSTFromDt(A100,longi)/24</f>
        <v>0.82143067836524819</v>
      </c>
      <c r="C100" s="28">
        <f t="shared" si="12"/>
        <v>7665.5624884259259</v>
      </c>
      <c r="D100" s="47">
        <f t="shared" ref="D100:D114" si="17">vbplanetxyz(5, C100, 6,B100,lati, temp, pres)/360</f>
        <v>0.84311878967387088</v>
      </c>
      <c r="E100" s="47">
        <f t="shared" ref="E100:E114" si="18">vbplanetxyz(6, C100, 6,B100,lati, temp, pres)/360</f>
        <v>0.84330014343796678</v>
      </c>
      <c r="F100" s="47">
        <f t="shared" si="15"/>
        <v>1.8135376409589288E-4</v>
      </c>
    </row>
    <row r="101" spans="1:6" x14ac:dyDescent="0.25">
      <c r="A101" s="48">
        <f t="shared" si="14"/>
        <v>44190.604166666431</v>
      </c>
      <c r="B101" s="47">
        <f t="shared" si="16"/>
        <v>0.86321142458608069</v>
      </c>
      <c r="C101" s="28">
        <f t="shared" si="12"/>
        <v>7665.6041550925929</v>
      </c>
      <c r="D101" s="47">
        <f t="shared" si="17"/>
        <v>0.84314517101030884</v>
      </c>
      <c r="E101" s="47">
        <f t="shared" si="18"/>
        <v>0.84331421922423588</v>
      </c>
      <c r="F101" s="47">
        <f t="shared" si="15"/>
        <v>1.6904821392704772E-4</v>
      </c>
    </row>
    <row r="102" spans="1:6" x14ac:dyDescent="0.25">
      <c r="A102" s="48">
        <f t="shared" si="14"/>
        <v>44190.645833333096</v>
      </c>
      <c r="B102" s="47">
        <f t="shared" si="16"/>
        <v>0.90499217080691319</v>
      </c>
      <c r="C102" s="28">
        <f t="shared" si="12"/>
        <v>7665.645821759259</v>
      </c>
      <c r="D102" s="47">
        <f t="shared" si="17"/>
        <v>0.8431715623425502</v>
      </c>
      <c r="E102" s="47">
        <f t="shared" si="18"/>
        <v>0.84332830103229872</v>
      </c>
      <c r="F102" s="47">
        <f t="shared" si="15"/>
        <v>1.5673868974852567E-4</v>
      </c>
    </row>
    <row r="103" spans="1:6" x14ac:dyDescent="0.25">
      <c r="A103" s="48">
        <f t="shared" si="14"/>
        <v>44190.68749999976</v>
      </c>
      <c r="B103" s="47">
        <f t="shared" si="16"/>
        <v>0.94677291702775046</v>
      </c>
      <c r="C103" s="28">
        <f t="shared" si="12"/>
        <v>7665.6874884259259</v>
      </c>
      <c r="D103" s="47">
        <f t="shared" si="17"/>
        <v>0.84319797667537288</v>
      </c>
      <c r="E103" s="47">
        <f t="shared" si="18"/>
        <v>0.84334239598781502</v>
      </c>
      <c r="F103" s="47">
        <f t="shared" si="15"/>
        <v>1.4441931244213446E-4</v>
      </c>
    </row>
    <row r="104" spans="1:6" x14ac:dyDescent="0.25">
      <c r="A104" s="48">
        <f t="shared" si="14"/>
        <v>44190.729166666424</v>
      </c>
      <c r="B104" s="47">
        <f t="shared" si="16"/>
        <v>0.98855366324858307</v>
      </c>
      <c r="C104" s="28">
        <f t="shared" si="12"/>
        <v>7665.7291550925929</v>
      </c>
      <c r="D104" s="47">
        <f t="shared" si="17"/>
        <v>0.84322442567747724</v>
      </c>
      <c r="E104" s="47">
        <f t="shared" si="18"/>
        <v>0.84335651048673155</v>
      </c>
      <c r="F104" s="47">
        <f t="shared" si="15"/>
        <v>1.3208480925430699E-4</v>
      </c>
    </row>
    <row r="105" spans="1:6" x14ac:dyDescent="0.25">
      <c r="A105" s="48">
        <f t="shared" si="14"/>
        <v>44190.770833333088</v>
      </c>
      <c r="B105" s="47">
        <f t="shared" si="16"/>
        <v>3.0334409469415555E-2</v>
      </c>
      <c r="C105" s="28">
        <f t="shared" si="12"/>
        <v>7665.770821759259</v>
      </c>
      <c r="D105" s="47">
        <f t="shared" si="17"/>
        <v>0.84325091888280801</v>
      </c>
      <c r="E105" s="47">
        <f t="shared" si="18"/>
        <v>0.84337064975710507</v>
      </c>
      <c r="F105" s="47">
        <f t="shared" si="15"/>
        <v>1.1973087429706375E-4</v>
      </c>
    </row>
    <row r="106" spans="1:6" x14ac:dyDescent="0.25">
      <c r="A106" s="48">
        <f t="shared" si="14"/>
        <v>44190.812499999753</v>
      </c>
      <c r="B106" s="47">
        <f t="shared" si="16"/>
        <v>7.2115155690248095E-2</v>
      </c>
      <c r="C106" s="28">
        <f t="shared" si="12"/>
        <v>7665.8124884259259</v>
      </c>
      <c r="D106" s="47">
        <f t="shared" si="17"/>
        <v>0.84327746303805129</v>
      </c>
      <c r="E106" s="47">
        <f t="shared" si="18"/>
        <v>0.84338481750093275</v>
      </c>
      <c r="F106" s="47">
        <f t="shared" si="15"/>
        <v>1.0735446288145933E-4</v>
      </c>
    </row>
    <row r="107" spans="1:6" x14ac:dyDescent="0.25">
      <c r="A107" s="48">
        <f t="shared" si="14"/>
        <v>44190.854166666417</v>
      </c>
      <c r="B107" s="47">
        <f t="shared" si="16"/>
        <v>0.11389590191108062</v>
      </c>
      <c r="C107" s="28">
        <f t="shared" si="12"/>
        <v>7665.8541550925929</v>
      </c>
      <c r="D107" s="47">
        <f t="shared" si="17"/>
        <v>0.84330406164094107</v>
      </c>
      <c r="E107" s="47">
        <f t="shared" si="18"/>
        <v>0.84339901564048914</v>
      </c>
      <c r="F107" s="47">
        <f t="shared" si="15"/>
        <v>9.4953999548064161E-5</v>
      </c>
    </row>
    <row r="108" spans="1:6" x14ac:dyDescent="0.25">
      <c r="A108" s="48">
        <f t="shared" si="14"/>
        <v>44190.895833333081</v>
      </c>
      <c r="B108" s="47">
        <f t="shared" si="16"/>
        <v>0.15567664813191315</v>
      </c>
      <c r="C108" s="28">
        <f t="shared" si="12"/>
        <v>7665.895821759259</v>
      </c>
      <c r="D108" s="47">
        <f t="shared" si="17"/>
        <v>0.84333071470093202</v>
      </c>
      <c r="E108" s="47">
        <f t="shared" si="18"/>
        <v>0.8434132441865414</v>
      </c>
      <c r="F108" s="47">
        <f t="shared" si="15"/>
        <v>8.252948560938389E-5</v>
      </c>
    </row>
    <row r="109" spans="1:6" x14ac:dyDescent="0.25">
      <c r="A109" s="48">
        <f t="shared" si="14"/>
        <v>44190.937499999745</v>
      </c>
      <c r="B109" s="47">
        <f t="shared" si="16"/>
        <v>0.19745739435275045</v>
      </c>
      <c r="C109" s="28">
        <f t="shared" si="12"/>
        <v>7665.9374884259259</v>
      </c>
      <c r="D109" s="47">
        <f t="shared" si="17"/>
        <v>0.84335741873862224</v>
      </c>
      <c r="E109" s="47">
        <f t="shared" si="18"/>
        <v>0.84342750123746213</v>
      </c>
      <c r="F109" s="47">
        <f t="shared" si="15"/>
        <v>7.0082498839885154E-5</v>
      </c>
    </row>
    <row r="110" spans="1:6" x14ac:dyDescent="0.25">
      <c r="A110" s="48">
        <f t="shared" si="14"/>
        <v>44190.97916666641</v>
      </c>
      <c r="B110" s="47">
        <f t="shared" si="16"/>
        <v>0.23923814057358297</v>
      </c>
      <c r="C110" s="28">
        <f t="shared" si="12"/>
        <v>7665.9791550925929</v>
      </c>
      <c r="D110" s="47">
        <f t="shared" si="17"/>
        <v>0.84338416702388863</v>
      </c>
      <c r="E110" s="47">
        <f t="shared" si="18"/>
        <v>0.84344178310928153</v>
      </c>
      <c r="F110" s="47">
        <f t="shared" si="15"/>
        <v>5.7616085392897531E-5</v>
      </c>
    </row>
    <row r="111" spans="1:6" x14ac:dyDescent="0.25">
      <c r="A111" s="48">
        <f t="shared" si="14"/>
        <v>44191.020833333074</v>
      </c>
      <c r="B111" s="47">
        <f t="shared" si="16"/>
        <v>0.28101888685655724</v>
      </c>
      <c r="C111" s="28">
        <f t="shared" si="12"/>
        <v>7666.020821759259</v>
      </c>
      <c r="D111" s="47">
        <f t="shared" si="17"/>
        <v>0.84341095003644995</v>
      </c>
      <c r="E111" s="47">
        <f t="shared" si="18"/>
        <v>0.84345608458776489</v>
      </c>
      <c r="F111" s="47">
        <f t="shared" si="15"/>
        <v>4.5134551314940374E-5</v>
      </c>
    </row>
    <row r="112" spans="1:6" x14ac:dyDescent="0.25">
      <c r="A112" s="48">
        <f t="shared" si="14"/>
        <v>44191.062499999738</v>
      </c>
      <c r="B112" s="47">
        <f t="shared" si="16"/>
        <v>0.32279963307738974</v>
      </c>
      <c r="C112" s="28">
        <f t="shared" si="12"/>
        <v>7666.0624884259259</v>
      </c>
      <c r="D112" s="47">
        <f t="shared" si="17"/>
        <v>0.84343775611729732</v>
      </c>
      <c r="E112" s="47">
        <f t="shared" si="18"/>
        <v>0.84347039928525891</v>
      </c>
      <c r="F112" s="47">
        <f t="shared" si="15"/>
        <v>3.2643167961587949E-5</v>
      </c>
    </row>
    <row r="113" spans="1:6" x14ac:dyDescent="0.25">
      <c r="A113" s="48">
        <f t="shared" si="14"/>
        <v>44191.104166666402</v>
      </c>
      <c r="B113" s="47">
        <f t="shared" si="16"/>
        <v>0.36458037929822468</v>
      </c>
      <c r="C113" s="28">
        <f t="shared" si="12"/>
        <v>7666.1041550925929</v>
      </c>
      <c r="D113" s="47">
        <f t="shared" si="17"/>
        <v>0.8434645722663936</v>
      </c>
      <c r="E113" s="47">
        <f t="shared" si="18"/>
        <v>0.8434847200778538</v>
      </c>
      <c r="F113" s="47">
        <f t="shared" si="15"/>
        <v>2.0147811460202725E-5</v>
      </c>
    </row>
    <row r="114" spans="1:6" x14ac:dyDescent="0.25">
      <c r="A114" s="48">
        <f t="shared" si="14"/>
        <v>44191.145833333067</v>
      </c>
      <c r="B114" s="47">
        <f t="shared" si="16"/>
        <v>0.40636112551905718</v>
      </c>
      <c r="C114" s="28">
        <f t="shared" si="12"/>
        <v>7666.145821759259</v>
      </c>
      <c r="D114" s="47">
        <f t="shared" si="17"/>
        <v>0.84349138503203691</v>
      </c>
      <c r="E114" s="47">
        <f t="shared" si="18"/>
        <v>0.8434990395929246</v>
      </c>
      <c r="F114" s="47">
        <f t="shared" si="15"/>
        <v>7.6545608876932292E-6</v>
      </c>
    </row>
    <row r="115" spans="1:6" x14ac:dyDescent="0.25">
      <c r="A115" s="48"/>
      <c r="B115" s="47"/>
      <c r="D115" s="47"/>
      <c r="E115" s="47"/>
      <c r="F115" s="47"/>
    </row>
    <row r="116" spans="1:6" x14ac:dyDescent="0.25">
      <c r="A116" s="48"/>
      <c r="B116" s="47"/>
      <c r="D116" s="47"/>
      <c r="E116" s="47"/>
      <c r="F116" s="47"/>
    </row>
    <row r="117" spans="1:6" x14ac:dyDescent="0.25">
      <c r="A117" s="48"/>
      <c r="B117" s="47"/>
      <c r="D117" s="47"/>
      <c r="E117" s="47"/>
      <c r="F117" s="47"/>
    </row>
    <row r="118" spans="1:6" x14ac:dyDescent="0.25">
      <c r="A118" s="48"/>
      <c r="B118" s="47"/>
      <c r="D118" s="47"/>
      <c r="E118" s="47"/>
      <c r="F118" s="47"/>
    </row>
    <row r="119" spans="1:6" x14ac:dyDescent="0.25">
      <c r="A119" s="48"/>
      <c r="B119" s="47"/>
      <c r="D119" s="47"/>
      <c r="E119" s="47"/>
      <c r="F119" s="47"/>
    </row>
    <row r="120" spans="1:6" x14ac:dyDescent="0.25">
      <c r="A120" s="48"/>
      <c r="B120" s="47"/>
      <c r="D120" s="47"/>
      <c r="E120" s="47"/>
      <c r="F120" s="47"/>
    </row>
    <row r="121" spans="1:6" x14ac:dyDescent="0.25">
      <c r="A121" s="48"/>
      <c r="B121" s="47"/>
      <c r="D121" s="47"/>
      <c r="E121" s="47"/>
      <c r="F121" s="47"/>
    </row>
    <row r="122" spans="1:6" x14ac:dyDescent="0.25">
      <c r="A122" s="48"/>
      <c r="B122" s="47"/>
      <c r="D122" s="47"/>
      <c r="E122" s="47"/>
      <c r="F122" s="47"/>
    </row>
    <row r="123" spans="1:6" x14ac:dyDescent="0.25">
      <c r="A123" s="48"/>
      <c r="B123" s="47"/>
      <c r="D123" s="47"/>
      <c r="E123" s="47"/>
      <c r="F123" s="47"/>
    </row>
    <row r="124" spans="1:6" x14ac:dyDescent="0.25">
      <c r="A124" s="48"/>
      <c r="B124" s="47"/>
      <c r="D124" s="47"/>
      <c r="E124" s="47"/>
      <c r="F124" s="47"/>
    </row>
    <row r="125" spans="1:6" x14ac:dyDescent="0.25">
      <c r="A125" s="48"/>
      <c r="B125" s="47"/>
      <c r="D125" s="47"/>
      <c r="E125" s="47"/>
      <c r="F125" s="47"/>
    </row>
    <row r="126" spans="1:6" x14ac:dyDescent="0.25">
      <c r="A126" s="48"/>
      <c r="B126" s="47"/>
      <c r="D126" s="47"/>
      <c r="E126" s="47"/>
      <c r="F126" s="47"/>
    </row>
    <row r="127" spans="1:6" x14ac:dyDescent="0.25">
      <c r="A127" s="48"/>
      <c r="B127" s="47"/>
      <c r="D127" s="47"/>
      <c r="E127" s="47"/>
      <c r="F127" s="47"/>
    </row>
    <row r="128" spans="1:6" x14ac:dyDescent="0.25">
      <c r="A128" s="48"/>
      <c r="B128" s="47"/>
      <c r="D128" s="47"/>
      <c r="E128" s="47"/>
      <c r="F128" s="47"/>
    </row>
    <row r="129" spans="1:6" x14ac:dyDescent="0.25">
      <c r="A129" s="48"/>
      <c r="B129" s="47"/>
      <c r="D129" s="47"/>
      <c r="E129" s="47"/>
      <c r="F129" s="47"/>
    </row>
    <row r="130" spans="1:6" x14ac:dyDescent="0.25">
      <c r="A130" s="48"/>
      <c r="B130" s="47"/>
      <c r="D130" s="47"/>
      <c r="E130" s="47"/>
      <c r="F130" s="47"/>
    </row>
    <row r="131" spans="1:6" x14ac:dyDescent="0.25">
      <c r="A131" s="48"/>
      <c r="B131" s="47"/>
      <c r="D131" s="47"/>
      <c r="E131" s="47"/>
      <c r="F131" s="47"/>
    </row>
    <row r="132" spans="1:6" x14ac:dyDescent="0.25">
      <c r="A132" s="48"/>
      <c r="B132" s="47"/>
      <c r="D132" s="47"/>
      <c r="E132" s="47"/>
      <c r="F132" s="47"/>
    </row>
    <row r="133" spans="1:6" x14ac:dyDescent="0.25">
      <c r="A133" s="48"/>
      <c r="B133" s="47"/>
      <c r="D133" s="47"/>
      <c r="E133" s="47"/>
      <c r="F133" s="47"/>
    </row>
    <row r="134" spans="1:6" x14ac:dyDescent="0.25">
      <c r="A134" s="48"/>
      <c r="B134" s="47"/>
      <c r="D134" s="47"/>
      <c r="E134" s="47"/>
      <c r="F134" s="47"/>
    </row>
    <row r="135" spans="1:6" x14ac:dyDescent="0.25">
      <c r="A135" s="48"/>
      <c r="B135" s="47"/>
      <c r="D135" s="47"/>
      <c r="E135" s="47"/>
      <c r="F135" s="47"/>
    </row>
    <row r="136" spans="1:6" x14ac:dyDescent="0.25">
      <c r="A136" s="48"/>
      <c r="B136" s="47"/>
      <c r="D136" s="47"/>
      <c r="E136" s="47"/>
      <c r="F136" s="47"/>
    </row>
    <row r="137" spans="1:6" x14ac:dyDescent="0.25">
      <c r="A137" s="48"/>
      <c r="B137" s="47"/>
      <c r="D137" s="47"/>
      <c r="E137" s="47"/>
      <c r="F137" s="47"/>
    </row>
    <row r="138" spans="1:6" x14ac:dyDescent="0.25">
      <c r="A138" s="48"/>
      <c r="B138" s="47"/>
      <c r="D138" s="47"/>
      <c r="E138" s="47"/>
      <c r="F138" s="47"/>
    </row>
    <row r="139" spans="1:6" x14ac:dyDescent="0.25">
      <c r="A139" s="48"/>
      <c r="B139" s="47"/>
      <c r="D139" s="47"/>
      <c r="E139" s="47"/>
      <c r="F139" s="47"/>
    </row>
    <row r="140" spans="1:6" x14ac:dyDescent="0.25">
      <c r="A140" s="48"/>
      <c r="B140" s="47"/>
      <c r="D140" s="47"/>
      <c r="E140" s="47"/>
      <c r="F140" s="47"/>
    </row>
    <row r="141" spans="1:6" x14ac:dyDescent="0.25">
      <c r="A141" s="48"/>
      <c r="B141" s="47"/>
      <c r="D141" s="47"/>
      <c r="E141" s="47"/>
      <c r="F141" s="47"/>
    </row>
    <row r="142" spans="1:6" x14ac:dyDescent="0.25">
      <c r="A142" s="48"/>
      <c r="B142" s="47"/>
      <c r="D142" s="47"/>
      <c r="E142" s="47"/>
      <c r="F142" s="47"/>
    </row>
    <row r="143" spans="1:6" x14ac:dyDescent="0.25">
      <c r="A143" s="48"/>
      <c r="B143" s="47"/>
      <c r="D143" s="47"/>
      <c r="E143" s="47"/>
      <c r="F143" s="47"/>
    </row>
    <row r="144" spans="1:6" x14ac:dyDescent="0.25">
      <c r="A144" s="48"/>
      <c r="B144" s="47"/>
      <c r="D144" s="47"/>
      <c r="E144" s="47"/>
      <c r="F144" s="47"/>
    </row>
    <row r="145" spans="1:6" x14ac:dyDescent="0.25">
      <c r="A145" s="48"/>
      <c r="B145" s="47"/>
      <c r="D145" s="47"/>
      <c r="E145" s="47"/>
      <c r="F145" s="47"/>
    </row>
    <row r="146" spans="1:6" x14ac:dyDescent="0.25">
      <c r="A146" s="48"/>
      <c r="B146" s="47"/>
      <c r="D146" s="47"/>
      <c r="E146" s="47"/>
      <c r="F146" s="47"/>
    </row>
    <row r="147" spans="1:6" x14ac:dyDescent="0.25">
      <c r="A147" s="48"/>
      <c r="B147" s="47"/>
      <c r="D147" s="47"/>
      <c r="E147" s="47"/>
      <c r="F147" s="47"/>
    </row>
    <row r="148" spans="1:6" x14ac:dyDescent="0.25">
      <c r="A148" s="48"/>
      <c r="B148" s="47"/>
      <c r="D148" s="47"/>
      <c r="E148" s="47"/>
      <c r="F148" s="47"/>
    </row>
    <row r="149" spans="1:6" x14ac:dyDescent="0.25">
      <c r="A149" s="48"/>
      <c r="B149" s="47"/>
      <c r="D149" s="47"/>
      <c r="E149" s="47"/>
      <c r="F149" s="47"/>
    </row>
    <row r="150" spans="1:6" x14ac:dyDescent="0.25">
      <c r="A150" s="48"/>
      <c r="B150" s="47"/>
      <c r="D150" s="47"/>
      <c r="E150" s="47"/>
      <c r="F150" s="47"/>
    </row>
    <row r="151" spans="1:6" x14ac:dyDescent="0.25">
      <c r="A151" s="48"/>
      <c r="B151" s="47"/>
      <c r="D151" s="47"/>
      <c r="E151" s="47"/>
      <c r="F151" s="47"/>
    </row>
    <row r="152" spans="1:6" x14ac:dyDescent="0.25">
      <c r="A152" s="48"/>
      <c r="B152" s="47"/>
      <c r="D152" s="47"/>
      <c r="E152" s="47"/>
      <c r="F152" s="47"/>
    </row>
    <row r="153" spans="1:6" x14ac:dyDescent="0.25">
      <c r="A153" s="48"/>
      <c r="B153" s="47"/>
      <c r="D153" s="47"/>
      <c r="E153" s="47"/>
      <c r="F153" s="47"/>
    </row>
    <row r="154" spans="1:6" x14ac:dyDescent="0.25">
      <c r="A154" s="48"/>
      <c r="B154" s="47"/>
      <c r="D154" s="47"/>
      <c r="E154" s="47"/>
      <c r="F154" s="47"/>
    </row>
    <row r="155" spans="1:6" x14ac:dyDescent="0.25">
      <c r="A155" s="48"/>
      <c r="B155" s="47"/>
      <c r="D155" s="47"/>
      <c r="E155" s="47"/>
      <c r="F155" s="47"/>
    </row>
    <row r="156" spans="1:6" x14ac:dyDescent="0.25">
      <c r="A156" s="48"/>
      <c r="B156" s="47"/>
      <c r="D156" s="47"/>
      <c r="E156" s="47"/>
      <c r="F156" s="47"/>
    </row>
    <row r="157" spans="1:6" x14ac:dyDescent="0.25">
      <c r="A157" s="48"/>
      <c r="B157" s="47"/>
      <c r="D157" s="47"/>
      <c r="E157" s="47"/>
      <c r="F157" s="47"/>
    </row>
    <row r="158" spans="1:6" x14ac:dyDescent="0.25">
      <c r="A158" s="48"/>
      <c r="B158" s="47"/>
      <c r="D158" s="47"/>
      <c r="E158" s="47"/>
      <c r="F158" s="47"/>
    </row>
    <row r="159" spans="1:6" x14ac:dyDescent="0.25">
      <c r="A159" s="48"/>
      <c r="B159" s="47"/>
      <c r="D159" s="47"/>
      <c r="E159" s="47"/>
      <c r="F159" s="47"/>
    </row>
    <row r="160" spans="1:6" x14ac:dyDescent="0.25">
      <c r="A160" s="48"/>
      <c r="B160" s="47"/>
      <c r="D160" s="47"/>
      <c r="E160" s="47"/>
      <c r="F160" s="47"/>
    </row>
    <row r="161" spans="1:6" x14ac:dyDescent="0.25">
      <c r="A161" s="48"/>
      <c r="B161" s="47"/>
      <c r="D161" s="47"/>
      <c r="E161" s="47"/>
      <c r="F161" s="47"/>
    </row>
    <row r="162" spans="1:6" x14ac:dyDescent="0.25">
      <c r="A162" s="48"/>
      <c r="B162" s="47"/>
      <c r="D162" s="47"/>
      <c r="E162" s="47"/>
      <c r="F162" s="47"/>
    </row>
    <row r="163" spans="1:6" x14ac:dyDescent="0.25">
      <c r="A163" s="48"/>
      <c r="B163" s="47"/>
      <c r="D163" s="47"/>
      <c r="E163" s="47"/>
      <c r="F163" s="47"/>
    </row>
    <row r="164" spans="1:6" x14ac:dyDescent="0.25">
      <c r="A164" s="48"/>
      <c r="B164" s="47"/>
      <c r="D164" s="47"/>
      <c r="E164" s="47"/>
      <c r="F164" s="47"/>
    </row>
    <row r="165" spans="1:6" x14ac:dyDescent="0.25">
      <c r="A165" s="48"/>
      <c r="B165" s="47"/>
      <c r="D165" s="47"/>
      <c r="E165" s="47"/>
      <c r="F165" s="47"/>
    </row>
    <row r="166" spans="1:6" x14ac:dyDescent="0.25">
      <c r="A166" s="48"/>
      <c r="B166" s="47"/>
      <c r="D166" s="47"/>
      <c r="E166" s="47"/>
      <c r="F166" s="47"/>
    </row>
    <row r="167" spans="1:6" x14ac:dyDescent="0.25">
      <c r="A167" s="48"/>
      <c r="B167" s="47"/>
      <c r="D167" s="47"/>
      <c r="E167" s="47"/>
      <c r="F167" s="47"/>
    </row>
    <row r="168" spans="1:6" x14ac:dyDescent="0.25">
      <c r="A168" s="48"/>
      <c r="B168" s="47"/>
      <c r="D168" s="47"/>
      <c r="E168" s="47"/>
      <c r="F168" s="47"/>
    </row>
    <row r="169" spans="1:6" x14ac:dyDescent="0.25">
      <c r="A169" s="48"/>
      <c r="B169" s="47"/>
      <c r="D169" s="47"/>
      <c r="E169" s="47"/>
      <c r="F169" s="47"/>
    </row>
    <row r="170" spans="1:6" x14ac:dyDescent="0.25">
      <c r="A170" s="48"/>
      <c r="B170" s="47"/>
      <c r="D170" s="47"/>
      <c r="E170" s="47"/>
      <c r="F170" s="47"/>
    </row>
    <row r="171" spans="1:6" x14ac:dyDescent="0.25">
      <c r="A171" s="48"/>
      <c r="B171" s="47"/>
      <c r="D171" s="47"/>
      <c r="E171" s="47"/>
      <c r="F171" s="47"/>
    </row>
    <row r="172" spans="1:6" x14ac:dyDescent="0.25">
      <c r="A172" s="48"/>
      <c r="B172" s="47"/>
      <c r="D172" s="47"/>
      <c r="E172" s="47"/>
      <c r="F172" s="47"/>
    </row>
    <row r="173" spans="1:6" x14ac:dyDescent="0.25">
      <c r="A173" s="48"/>
      <c r="B173" s="47"/>
      <c r="D173" s="47"/>
      <c r="E173" s="47"/>
      <c r="F173" s="47"/>
    </row>
    <row r="174" spans="1:6" x14ac:dyDescent="0.25">
      <c r="A174" s="48"/>
      <c r="B174" s="47"/>
      <c r="D174" s="47"/>
      <c r="E174" s="47"/>
      <c r="F174" s="47"/>
    </row>
    <row r="175" spans="1:6" x14ac:dyDescent="0.25">
      <c r="A175" s="48"/>
      <c r="B175" s="47"/>
      <c r="D175" s="47"/>
      <c r="E175" s="47"/>
      <c r="F175" s="47"/>
    </row>
    <row r="176" spans="1:6" x14ac:dyDescent="0.25">
      <c r="A176" s="48"/>
      <c r="B176" s="47"/>
      <c r="D176" s="47"/>
      <c r="E176" s="47"/>
      <c r="F176" s="47"/>
    </row>
    <row r="177" spans="1:6" x14ac:dyDescent="0.25">
      <c r="A177" s="48"/>
      <c r="B177" s="47"/>
      <c r="D177" s="47"/>
      <c r="E177" s="47"/>
      <c r="F177" s="47"/>
    </row>
    <row r="178" spans="1:6" x14ac:dyDescent="0.25">
      <c r="A178" s="48"/>
      <c r="B178" s="47"/>
      <c r="D178" s="47"/>
      <c r="E178" s="47"/>
      <c r="F178" s="47"/>
    </row>
    <row r="179" spans="1:6" x14ac:dyDescent="0.25">
      <c r="A179" s="48"/>
      <c r="B179" s="47"/>
      <c r="D179" s="47"/>
      <c r="E179" s="47"/>
      <c r="F179" s="47"/>
    </row>
    <row r="180" spans="1:6" x14ac:dyDescent="0.25">
      <c r="A180" s="48"/>
      <c r="B180" s="47"/>
      <c r="D180" s="47"/>
      <c r="E180" s="47"/>
      <c r="F180" s="47"/>
    </row>
    <row r="181" spans="1:6" x14ac:dyDescent="0.25">
      <c r="A181" s="48"/>
      <c r="B181" s="47"/>
      <c r="D181" s="47"/>
      <c r="E181" s="47"/>
      <c r="F181" s="47"/>
    </row>
    <row r="182" spans="1:6" x14ac:dyDescent="0.25">
      <c r="A182" s="48"/>
      <c r="B182" s="47"/>
      <c r="D182" s="47"/>
      <c r="E182" s="47"/>
      <c r="F182" s="47"/>
    </row>
    <row r="183" spans="1:6" x14ac:dyDescent="0.25">
      <c r="A183" s="48"/>
      <c r="B183" s="47"/>
      <c r="D183" s="47"/>
      <c r="E183" s="47"/>
      <c r="F183" s="47"/>
    </row>
    <row r="184" spans="1:6" x14ac:dyDescent="0.25">
      <c r="A184" s="48"/>
      <c r="B184" s="47"/>
      <c r="D184" s="47"/>
      <c r="E184" s="47"/>
      <c r="F184" s="47"/>
    </row>
    <row r="185" spans="1:6" x14ac:dyDescent="0.25">
      <c r="A185" s="48"/>
      <c r="B185" s="47"/>
      <c r="D185" s="47"/>
      <c r="E185" s="47"/>
      <c r="F185" s="47"/>
    </row>
    <row r="186" spans="1:6" x14ac:dyDescent="0.25">
      <c r="A186" s="48"/>
      <c r="B186" s="47"/>
      <c r="D186" s="47"/>
      <c r="E186" s="47"/>
      <c r="F186" s="47"/>
    </row>
    <row r="187" spans="1:6" x14ac:dyDescent="0.25">
      <c r="A187" s="48"/>
      <c r="B187" s="47"/>
      <c r="D187" s="47"/>
      <c r="E187" s="47"/>
      <c r="F187" s="47"/>
    </row>
    <row r="188" spans="1:6" x14ac:dyDescent="0.25">
      <c r="A188" s="48"/>
      <c r="B188" s="47"/>
      <c r="D188" s="47"/>
      <c r="E188" s="47"/>
      <c r="F188" s="47"/>
    </row>
    <row r="189" spans="1:6" x14ac:dyDescent="0.25">
      <c r="A189" s="48"/>
      <c r="B189" s="47"/>
      <c r="D189" s="47"/>
      <c r="E189" s="47"/>
      <c r="F189" s="47"/>
    </row>
    <row r="190" spans="1:6" x14ac:dyDescent="0.25">
      <c r="A190" s="48"/>
      <c r="B190" s="47"/>
      <c r="D190" s="47"/>
      <c r="E190" s="47"/>
      <c r="F190" s="47"/>
    </row>
    <row r="191" spans="1:6" x14ac:dyDescent="0.25">
      <c r="A191" s="48"/>
      <c r="B191" s="47"/>
      <c r="D191" s="47"/>
      <c r="E191" s="47"/>
      <c r="F191" s="47"/>
    </row>
    <row r="192" spans="1:6" x14ac:dyDescent="0.25">
      <c r="A192" s="48"/>
      <c r="B192" s="47"/>
      <c r="D192" s="47"/>
      <c r="E192" s="47"/>
      <c r="F192" s="47"/>
    </row>
    <row r="193" spans="1:6" x14ac:dyDescent="0.25">
      <c r="A193" s="48"/>
      <c r="B193" s="47"/>
      <c r="D193" s="47"/>
      <c r="E193" s="47"/>
      <c r="F193" s="47"/>
    </row>
    <row r="194" spans="1:6" x14ac:dyDescent="0.25">
      <c r="A194" s="48"/>
      <c r="B194" s="47"/>
      <c r="D194" s="47"/>
      <c r="E194" s="47"/>
      <c r="F194" s="47"/>
    </row>
    <row r="195" spans="1:6" x14ac:dyDescent="0.25">
      <c r="A195" s="48"/>
      <c r="B195" s="47"/>
      <c r="D195" s="47"/>
      <c r="E195" s="47"/>
      <c r="F195" s="47"/>
    </row>
    <row r="196" spans="1:6" x14ac:dyDescent="0.25">
      <c r="A196" s="48"/>
      <c r="B196" s="47"/>
      <c r="D196" s="47"/>
      <c r="E196" s="47"/>
      <c r="F196" s="47"/>
    </row>
    <row r="197" spans="1:6" x14ac:dyDescent="0.25">
      <c r="A197" s="48"/>
      <c r="B197" s="47"/>
      <c r="D197" s="47"/>
      <c r="E197" s="47"/>
      <c r="F197" s="47"/>
    </row>
    <row r="198" spans="1:6" x14ac:dyDescent="0.25">
      <c r="A198" s="48"/>
      <c r="B198" s="47"/>
      <c r="D198" s="47"/>
      <c r="E198" s="47"/>
      <c r="F198" s="47"/>
    </row>
    <row r="199" spans="1:6" x14ac:dyDescent="0.25">
      <c r="A199" s="48"/>
      <c r="B199" s="47"/>
      <c r="D199" s="47"/>
      <c r="E199" s="47"/>
      <c r="F199" s="47"/>
    </row>
    <row r="200" spans="1:6" x14ac:dyDescent="0.25">
      <c r="A200" s="48"/>
      <c r="B200" s="47"/>
      <c r="D200" s="47"/>
      <c r="E200" s="47"/>
      <c r="F200" s="47"/>
    </row>
    <row r="201" spans="1:6" x14ac:dyDescent="0.25">
      <c r="A201" s="48"/>
      <c r="B201" s="47"/>
      <c r="D201" s="47"/>
      <c r="E201" s="47"/>
      <c r="F201" s="47"/>
    </row>
    <row r="202" spans="1:6" x14ac:dyDescent="0.25">
      <c r="A202" s="48"/>
      <c r="B202" s="47"/>
      <c r="D202" s="47"/>
      <c r="E202" s="47"/>
      <c r="F202" s="47"/>
    </row>
    <row r="203" spans="1:6" x14ac:dyDescent="0.25">
      <c r="A203" s="48"/>
      <c r="B203" s="47"/>
      <c r="D203" s="47"/>
      <c r="E203" s="47"/>
      <c r="F203" s="47"/>
    </row>
    <row r="204" spans="1:6" x14ac:dyDescent="0.25">
      <c r="A204" s="48"/>
      <c r="B204" s="47"/>
      <c r="D204" s="47"/>
      <c r="E204" s="47"/>
      <c r="F204" s="47"/>
    </row>
    <row r="205" spans="1:6" x14ac:dyDescent="0.25">
      <c r="A205" s="48"/>
      <c r="B205" s="47"/>
      <c r="D205" s="47"/>
      <c r="E205" s="47"/>
      <c r="F205" s="47"/>
    </row>
    <row r="206" spans="1:6" x14ac:dyDescent="0.25">
      <c r="A206" s="48"/>
      <c r="B206" s="47"/>
      <c r="D206" s="47"/>
      <c r="E206" s="47"/>
      <c r="F206" s="47"/>
    </row>
    <row r="207" spans="1:6" x14ac:dyDescent="0.25">
      <c r="A207" s="48"/>
      <c r="B207" s="47"/>
      <c r="D207" s="47"/>
      <c r="E207" s="47"/>
      <c r="F207" s="47"/>
    </row>
    <row r="208" spans="1:6" x14ac:dyDescent="0.25">
      <c r="A208" s="48"/>
      <c r="B208" s="47"/>
      <c r="D208" s="47"/>
      <c r="E208" s="47"/>
      <c r="F208" s="47"/>
    </row>
    <row r="209" spans="1:6" x14ac:dyDescent="0.25">
      <c r="A209" s="48"/>
      <c r="B209" s="47"/>
      <c r="D209" s="47"/>
      <c r="E209" s="47"/>
      <c r="F209" s="47"/>
    </row>
    <row r="210" spans="1:6" x14ac:dyDescent="0.25">
      <c r="A210" s="48"/>
      <c r="B210" s="47"/>
      <c r="D210" s="47"/>
      <c r="E210" s="47"/>
      <c r="F210" s="47"/>
    </row>
    <row r="211" spans="1:6" x14ac:dyDescent="0.25">
      <c r="A211" s="48"/>
      <c r="B211" s="47"/>
      <c r="D211" s="47"/>
      <c r="E211" s="47"/>
      <c r="F211" s="47"/>
    </row>
    <row r="212" spans="1:6" x14ac:dyDescent="0.25">
      <c r="A212" s="48"/>
      <c r="B212" s="47"/>
      <c r="D212" s="47"/>
      <c r="E212" s="47"/>
      <c r="F212" s="47"/>
    </row>
    <row r="213" spans="1:6" x14ac:dyDescent="0.25">
      <c r="A213" s="48"/>
      <c r="B213" s="47"/>
      <c r="D213" s="47"/>
      <c r="E213" s="47"/>
      <c r="F213" s="47"/>
    </row>
    <row r="214" spans="1:6" x14ac:dyDescent="0.25">
      <c r="A214" s="48"/>
      <c r="B214" s="47"/>
      <c r="D214" s="47"/>
      <c r="E214" s="47"/>
      <c r="F214" s="47"/>
    </row>
    <row r="215" spans="1:6" x14ac:dyDescent="0.25">
      <c r="A215" s="48"/>
      <c r="B215" s="47"/>
      <c r="D215" s="47"/>
      <c r="E215" s="47"/>
      <c r="F215" s="47"/>
    </row>
    <row r="216" spans="1:6" x14ac:dyDescent="0.25">
      <c r="A216" s="48"/>
      <c r="B216" s="47"/>
      <c r="D216" s="47"/>
      <c r="E216" s="47"/>
      <c r="F216" s="47"/>
    </row>
    <row r="217" spans="1:6" x14ac:dyDescent="0.25">
      <c r="A217" s="48"/>
      <c r="B217" s="47"/>
      <c r="D217" s="47"/>
      <c r="E217" s="47"/>
      <c r="F217" s="47"/>
    </row>
    <row r="218" spans="1:6" x14ac:dyDescent="0.25">
      <c r="A218" s="48"/>
      <c r="B218" s="47"/>
      <c r="D218" s="47"/>
      <c r="E218" s="47"/>
      <c r="F218" s="47"/>
    </row>
    <row r="219" spans="1:6" x14ac:dyDescent="0.25">
      <c r="A219" s="48"/>
      <c r="B219" s="47"/>
      <c r="D219" s="47"/>
      <c r="E219" s="47"/>
      <c r="F219" s="47"/>
    </row>
    <row r="220" spans="1:6" x14ac:dyDescent="0.25">
      <c r="A220" s="48"/>
      <c r="B220" s="47"/>
      <c r="D220" s="47"/>
      <c r="E220" s="47"/>
      <c r="F220" s="47"/>
    </row>
    <row r="221" spans="1:6" x14ac:dyDescent="0.25">
      <c r="A221" s="48"/>
      <c r="B221" s="47"/>
      <c r="D221" s="47"/>
      <c r="E221" s="47"/>
      <c r="F221" s="47"/>
    </row>
    <row r="222" spans="1:6" x14ac:dyDescent="0.25">
      <c r="A222" s="48"/>
      <c r="B222" s="47"/>
      <c r="D222" s="47"/>
      <c r="E222" s="47"/>
      <c r="F222" s="47"/>
    </row>
    <row r="223" spans="1:6" x14ac:dyDescent="0.25">
      <c r="A223" s="48"/>
      <c r="B223" s="47"/>
      <c r="D223" s="47"/>
      <c r="E223" s="47"/>
      <c r="F223" s="47"/>
    </row>
    <row r="224" spans="1:6" x14ac:dyDescent="0.25">
      <c r="A224" s="48"/>
      <c r="B224" s="47"/>
      <c r="D224" s="47"/>
      <c r="E224" s="47"/>
      <c r="F224" s="47"/>
    </row>
    <row r="225" spans="1:6" x14ac:dyDescent="0.25">
      <c r="A225" s="48"/>
      <c r="B225" s="47"/>
      <c r="D225" s="47"/>
      <c r="E225" s="47"/>
      <c r="F225" s="47"/>
    </row>
    <row r="226" spans="1:6" x14ac:dyDescent="0.25">
      <c r="A226" s="48"/>
      <c r="B226" s="47"/>
      <c r="D226" s="47"/>
      <c r="E226" s="47"/>
      <c r="F226" s="47"/>
    </row>
    <row r="227" spans="1:6" x14ac:dyDescent="0.25">
      <c r="A227" s="48"/>
      <c r="B227" s="47"/>
      <c r="D227" s="47"/>
      <c r="E227" s="47"/>
      <c r="F227" s="47"/>
    </row>
    <row r="228" spans="1:6" x14ac:dyDescent="0.25">
      <c r="A228" s="48"/>
      <c r="B228" s="47"/>
      <c r="D228" s="47"/>
      <c r="E228" s="47"/>
      <c r="F228" s="47"/>
    </row>
    <row r="229" spans="1:6" x14ac:dyDescent="0.25">
      <c r="A229" s="48"/>
      <c r="B229" s="47"/>
      <c r="D229" s="47"/>
      <c r="E229" s="47"/>
      <c r="F229" s="47"/>
    </row>
    <row r="230" spans="1:6" x14ac:dyDescent="0.25">
      <c r="A230" s="48"/>
      <c r="B230" s="47"/>
      <c r="D230" s="47"/>
      <c r="E230" s="47"/>
      <c r="F230" s="47"/>
    </row>
    <row r="231" spans="1:6" x14ac:dyDescent="0.25">
      <c r="A231" s="48"/>
      <c r="B231" s="47"/>
      <c r="D231" s="47"/>
      <c r="E231" s="47"/>
      <c r="F231" s="47"/>
    </row>
    <row r="232" spans="1:6" x14ac:dyDescent="0.25">
      <c r="A232" s="48"/>
      <c r="B232" s="47"/>
      <c r="D232" s="47"/>
      <c r="E232" s="47"/>
      <c r="F232" s="47"/>
    </row>
    <row r="233" spans="1:6" x14ac:dyDescent="0.25">
      <c r="A233" s="48"/>
      <c r="B233" s="47"/>
      <c r="D233" s="47"/>
      <c r="E233" s="47"/>
      <c r="F233" s="47"/>
    </row>
    <row r="234" spans="1:6" x14ac:dyDescent="0.25">
      <c r="A234" s="48"/>
      <c r="B234" s="47"/>
      <c r="D234" s="47"/>
      <c r="E234" s="47"/>
      <c r="F234" s="47"/>
    </row>
    <row r="235" spans="1:6" x14ac:dyDescent="0.25">
      <c r="A235" s="48"/>
      <c r="B235" s="47"/>
      <c r="D235" s="47"/>
      <c r="E235" s="47"/>
      <c r="F235" s="47"/>
    </row>
    <row r="236" spans="1:6" x14ac:dyDescent="0.25">
      <c r="A236" s="48"/>
      <c r="B236" s="47"/>
      <c r="D236" s="47"/>
      <c r="E236" s="47"/>
      <c r="F236" s="47"/>
    </row>
    <row r="237" spans="1:6" x14ac:dyDescent="0.25">
      <c r="A237" s="48"/>
      <c r="B237" s="47"/>
      <c r="D237" s="47"/>
      <c r="E237" s="47"/>
      <c r="F237" s="47"/>
    </row>
    <row r="238" spans="1:6" x14ac:dyDescent="0.25">
      <c r="A238" s="48"/>
      <c r="B238" s="47"/>
      <c r="D238" s="47"/>
      <c r="E238" s="47"/>
      <c r="F238" s="47"/>
    </row>
    <row r="239" spans="1:6" x14ac:dyDescent="0.25">
      <c r="A239" s="48"/>
      <c r="B239" s="47"/>
      <c r="D239" s="47"/>
      <c r="E239" s="47"/>
      <c r="F239" s="47"/>
    </row>
    <row r="240" spans="1:6" x14ac:dyDescent="0.25">
      <c r="A240" s="48"/>
      <c r="B240" s="47"/>
      <c r="D240" s="47"/>
      <c r="E240" s="47"/>
      <c r="F240" s="47"/>
    </row>
    <row r="241" spans="1:6" x14ac:dyDescent="0.25">
      <c r="A241" s="48"/>
      <c r="B241" s="47"/>
      <c r="D241" s="47"/>
      <c r="E241" s="47"/>
      <c r="F241" s="47"/>
    </row>
    <row r="242" spans="1:6" x14ac:dyDescent="0.25">
      <c r="A242" s="48"/>
      <c r="B242" s="47"/>
      <c r="D242" s="47"/>
      <c r="E242" s="47"/>
      <c r="F242" s="47"/>
    </row>
    <row r="243" spans="1:6" x14ac:dyDescent="0.25">
      <c r="A243" s="48"/>
      <c r="B243" s="47"/>
      <c r="D243" s="47"/>
      <c r="E243" s="47"/>
      <c r="F243" s="47"/>
    </row>
    <row r="244" spans="1:6" x14ac:dyDescent="0.25">
      <c r="A244" s="48"/>
      <c r="B244" s="47"/>
      <c r="D244" s="47"/>
      <c r="E244" s="47"/>
      <c r="F244" s="47"/>
    </row>
    <row r="245" spans="1:6" x14ac:dyDescent="0.25">
      <c r="A245" s="48"/>
      <c r="B245" s="47"/>
      <c r="D245" s="47"/>
      <c r="E245" s="47"/>
      <c r="F245" s="47"/>
    </row>
    <row r="246" spans="1:6" x14ac:dyDescent="0.25">
      <c r="A246" s="48"/>
      <c r="B246" s="47"/>
      <c r="D246" s="47"/>
      <c r="E246" s="47"/>
      <c r="F246" s="47"/>
    </row>
    <row r="247" spans="1:6" x14ac:dyDescent="0.25">
      <c r="A247" s="48"/>
      <c r="B247" s="47"/>
      <c r="D247" s="47"/>
      <c r="E247" s="47"/>
      <c r="F247" s="47"/>
    </row>
    <row r="248" spans="1:6" x14ac:dyDescent="0.25">
      <c r="A248" s="48"/>
      <c r="B248" s="47"/>
      <c r="D248" s="47"/>
      <c r="E248" s="47"/>
      <c r="F248" s="47"/>
    </row>
    <row r="249" spans="1:6" x14ac:dyDescent="0.25">
      <c r="A249" s="48"/>
      <c r="B249" s="47"/>
      <c r="D249" s="47"/>
      <c r="E249" s="47"/>
      <c r="F249" s="47"/>
    </row>
    <row r="250" spans="1:6" x14ac:dyDescent="0.25">
      <c r="A250" s="48"/>
      <c r="B250" s="47"/>
      <c r="D250" s="47"/>
      <c r="E250" s="47"/>
      <c r="F250" s="47"/>
    </row>
    <row r="251" spans="1:6" x14ac:dyDescent="0.25">
      <c r="A251" s="48"/>
      <c r="B251" s="47"/>
      <c r="D251" s="47"/>
      <c r="E251" s="47"/>
      <c r="F251" s="47"/>
    </row>
    <row r="252" spans="1:6" x14ac:dyDescent="0.25">
      <c r="A252" s="48"/>
      <c r="B252" s="47"/>
      <c r="D252" s="47"/>
      <c r="E252" s="47"/>
      <c r="F252" s="47"/>
    </row>
    <row r="253" spans="1:6" x14ac:dyDescent="0.25">
      <c r="A253" s="48"/>
      <c r="B253" s="47"/>
      <c r="D253" s="47"/>
      <c r="E253" s="47"/>
      <c r="F253" s="47"/>
    </row>
    <row r="254" spans="1:6" x14ac:dyDescent="0.25">
      <c r="A254" s="48"/>
      <c r="B254" s="47"/>
      <c r="D254" s="47"/>
      <c r="E254" s="47"/>
      <c r="F254" s="47"/>
    </row>
    <row r="255" spans="1:6" x14ac:dyDescent="0.25">
      <c r="A255" s="48"/>
      <c r="B255" s="47"/>
      <c r="D255" s="47"/>
      <c r="E255" s="47"/>
      <c r="F255" s="47"/>
    </row>
    <row r="256" spans="1:6" x14ac:dyDescent="0.25">
      <c r="A256" s="48"/>
      <c r="B256" s="47"/>
      <c r="D256" s="47"/>
      <c r="E256" s="47"/>
      <c r="F256" s="47"/>
    </row>
    <row r="257" spans="1:6" x14ac:dyDescent="0.25">
      <c r="A257" s="48"/>
      <c r="B257" s="47"/>
      <c r="D257" s="47"/>
      <c r="E257" s="47"/>
      <c r="F257" s="47"/>
    </row>
    <row r="258" spans="1:6" x14ac:dyDescent="0.25">
      <c r="A258" s="48"/>
      <c r="B258" s="47"/>
      <c r="D258" s="47"/>
      <c r="E258" s="47"/>
      <c r="F258" s="47"/>
    </row>
    <row r="259" spans="1:6" x14ac:dyDescent="0.25">
      <c r="A259" s="48"/>
      <c r="B259" s="47"/>
      <c r="D259" s="47"/>
      <c r="E259" s="47"/>
      <c r="F259" s="47"/>
    </row>
    <row r="260" spans="1:6" x14ac:dyDescent="0.25">
      <c r="A260" s="48"/>
      <c r="B260" s="47"/>
      <c r="D260" s="47"/>
      <c r="E260" s="47"/>
      <c r="F260" s="47"/>
    </row>
    <row r="261" spans="1:6" x14ac:dyDescent="0.25">
      <c r="A261" s="48"/>
      <c r="B261" s="47"/>
      <c r="D261" s="47"/>
      <c r="E261" s="47"/>
      <c r="F261" s="47"/>
    </row>
    <row r="262" spans="1:6" x14ac:dyDescent="0.25">
      <c r="A262" s="48"/>
      <c r="B262" s="47"/>
      <c r="D262" s="47"/>
      <c r="E262" s="47"/>
      <c r="F262" s="47"/>
    </row>
    <row r="263" spans="1:6" x14ac:dyDescent="0.25">
      <c r="A263" s="48"/>
      <c r="B263" s="47"/>
      <c r="D263" s="47"/>
      <c r="E263" s="47"/>
      <c r="F263" s="47"/>
    </row>
    <row r="264" spans="1:6" x14ac:dyDescent="0.25">
      <c r="A264" s="48"/>
      <c r="B264" s="47"/>
      <c r="D264" s="47"/>
      <c r="E264" s="47"/>
      <c r="F264" s="47"/>
    </row>
    <row r="265" spans="1:6" x14ac:dyDescent="0.25">
      <c r="A265" s="48"/>
      <c r="B265" s="47"/>
      <c r="D265" s="47"/>
      <c r="E265" s="47"/>
      <c r="F265" s="47"/>
    </row>
    <row r="266" spans="1:6" x14ac:dyDescent="0.25">
      <c r="A266" s="48"/>
      <c r="B266" s="47"/>
      <c r="D266" s="47"/>
      <c r="E266" s="47"/>
      <c r="F266" s="47"/>
    </row>
    <row r="267" spans="1:6" x14ac:dyDescent="0.25">
      <c r="A267" s="48"/>
      <c r="B267" s="47"/>
      <c r="D267" s="47"/>
      <c r="E267" s="47"/>
      <c r="F267" s="47"/>
    </row>
    <row r="268" spans="1:6" x14ac:dyDescent="0.25">
      <c r="A268" s="48"/>
      <c r="B268" s="47"/>
      <c r="D268" s="47"/>
      <c r="E268" s="47"/>
      <c r="F268" s="47"/>
    </row>
    <row r="269" spans="1:6" x14ac:dyDescent="0.25">
      <c r="A269" s="48"/>
      <c r="B269" s="47"/>
      <c r="D269" s="47"/>
      <c r="E269" s="47"/>
      <c r="F269" s="47"/>
    </row>
    <row r="270" spans="1:6" x14ac:dyDescent="0.25">
      <c r="A270" s="48"/>
      <c r="B270" s="47"/>
      <c r="D270" s="47"/>
      <c r="E270" s="47"/>
      <c r="F270" s="47"/>
    </row>
    <row r="271" spans="1:6" x14ac:dyDescent="0.25">
      <c r="A271" s="48"/>
      <c r="B271" s="47"/>
      <c r="D271" s="47"/>
      <c r="E271" s="47"/>
      <c r="F271" s="47"/>
    </row>
    <row r="272" spans="1:6" x14ac:dyDescent="0.25">
      <c r="A272" s="48"/>
      <c r="B272" s="47"/>
      <c r="D272" s="47"/>
      <c r="E272" s="47"/>
      <c r="F272" s="47"/>
    </row>
    <row r="273" spans="1:6" x14ac:dyDescent="0.25">
      <c r="A273" s="48"/>
      <c r="B273" s="47"/>
      <c r="D273" s="47"/>
      <c r="E273" s="47"/>
      <c r="F273" s="47"/>
    </row>
    <row r="274" spans="1:6" x14ac:dyDescent="0.25">
      <c r="A274" s="48"/>
      <c r="B274" s="47"/>
      <c r="D274" s="47"/>
      <c r="E274" s="47"/>
      <c r="F274" s="47"/>
    </row>
    <row r="275" spans="1:6" x14ac:dyDescent="0.25">
      <c r="A275" s="48"/>
      <c r="B275" s="47"/>
      <c r="D275" s="47"/>
      <c r="E275" s="47"/>
      <c r="F275" s="47"/>
    </row>
    <row r="276" spans="1:6" x14ac:dyDescent="0.25">
      <c r="A276" s="48"/>
      <c r="B276" s="47"/>
      <c r="D276" s="47"/>
      <c r="E276" s="47"/>
      <c r="F276" s="47"/>
    </row>
    <row r="277" spans="1:6" x14ac:dyDescent="0.25">
      <c r="A277" s="48"/>
      <c r="B277" s="47"/>
      <c r="D277" s="47"/>
      <c r="E277" s="47"/>
      <c r="F277" s="47"/>
    </row>
    <row r="278" spans="1:6" x14ac:dyDescent="0.25">
      <c r="A278" s="48"/>
      <c r="B278" s="47"/>
      <c r="D278" s="47"/>
      <c r="E278" s="47"/>
      <c r="F278" s="47"/>
    </row>
    <row r="279" spans="1:6" x14ac:dyDescent="0.25">
      <c r="A279" s="48"/>
      <c r="B279" s="47"/>
      <c r="D279" s="47"/>
      <c r="E279" s="47"/>
      <c r="F279" s="47"/>
    </row>
    <row r="280" spans="1:6" x14ac:dyDescent="0.25">
      <c r="A280" s="48"/>
      <c r="B280" s="47"/>
      <c r="D280" s="47"/>
      <c r="E280" s="47"/>
      <c r="F280" s="47"/>
    </row>
    <row r="281" spans="1:6" x14ac:dyDescent="0.25">
      <c r="A281" s="48"/>
      <c r="B281" s="47"/>
      <c r="D281" s="47"/>
      <c r="E281" s="47"/>
      <c r="F281" s="47"/>
    </row>
    <row r="282" spans="1:6" x14ac:dyDescent="0.25">
      <c r="A282" s="48"/>
      <c r="B282" s="47"/>
      <c r="D282" s="47"/>
      <c r="E282" s="47"/>
      <c r="F282" s="47"/>
    </row>
    <row r="283" spans="1:6" x14ac:dyDescent="0.25">
      <c r="A283" s="48"/>
      <c r="B283" s="47"/>
      <c r="D283" s="47"/>
      <c r="E283" s="47"/>
      <c r="F283" s="47"/>
    </row>
    <row r="284" spans="1:6" x14ac:dyDescent="0.25">
      <c r="A284" s="48"/>
      <c r="B284" s="47"/>
      <c r="D284" s="47"/>
      <c r="E284" s="47"/>
      <c r="F284" s="47"/>
    </row>
    <row r="285" spans="1:6" x14ac:dyDescent="0.25">
      <c r="A285" s="48"/>
      <c r="B285" s="47"/>
      <c r="D285" s="47"/>
      <c r="E285" s="47"/>
      <c r="F285" s="47"/>
    </row>
    <row r="286" spans="1:6" x14ac:dyDescent="0.25">
      <c r="A286" s="48"/>
      <c r="B286" s="47"/>
      <c r="D286" s="47"/>
      <c r="E286" s="47"/>
      <c r="F286" s="47"/>
    </row>
    <row r="287" spans="1:6" x14ac:dyDescent="0.25">
      <c r="A287" s="48"/>
      <c r="B287" s="47"/>
      <c r="D287" s="47"/>
      <c r="E287" s="47"/>
      <c r="F287" s="47"/>
    </row>
    <row r="288" spans="1:6" x14ac:dyDescent="0.25">
      <c r="A288" s="48"/>
      <c r="B288" s="47"/>
      <c r="D288" s="47"/>
      <c r="E288" s="47"/>
      <c r="F288" s="47"/>
    </row>
    <row r="289" spans="1:6" x14ac:dyDescent="0.25">
      <c r="A289" s="48"/>
      <c r="B289" s="47"/>
      <c r="D289" s="47"/>
      <c r="E289" s="47"/>
      <c r="F289" s="47"/>
    </row>
    <row r="290" spans="1:6" x14ac:dyDescent="0.25">
      <c r="A290" s="48"/>
      <c r="B290" s="47"/>
      <c r="D290" s="47"/>
      <c r="E290" s="47"/>
      <c r="F290" s="47"/>
    </row>
    <row r="291" spans="1:6" x14ac:dyDescent="0.25">
      <c r="A291" s="48"/>
      <c r="B291" s="47"/>
      <c r="D291" s="47"/>
      <c r="E291" s="47"/>
      <c r="F291" s="47"/>
    </row>
    <row r="292" spans="1:6" x14ac:dyDescent="0.25">
      <c r="A292" s="48"/>
      <c r="B292" s="47"/>
      <c r="D292" s="47"/>
      <c r="E292" s="47"/>
      <c r="F292" s="47"/>
    </row>
    <row r="293" spans="1:6" x14ac:dyDescent="0.25">
      <c r="A293" s="48"/>
      <c r="B293" s="47"/>
      <c r="D293" s="47"/>
      <c r="E293" s="47"/>
      <c r="F293" s="47"/>
    </row>
    <row r="294" spans="1:6" x14ac:dyDescent="0.25">
      <c r="A294" s="48"/>
      <c r="B294" s="47"/>
      <c r="D294" s="47"/>
      <c r="E294" s="47"/>
      <c r="F294" s="47"/>
    </row>
    <row r="295" spans="1:6" x14ac:dyDescent="0.25">
      <c r="A295" s="48"/>
      <c r="B295" s="47"/>
      <c r="D295" s="47"/>
      <c r="E295" s="47"/>
      <c r="F295" s="47"/>
    </row>
    <row r="296" spans="1:6" x14ac:dyDescent="0.25">
      <c r="A296" s="48"/>
      <c r="B296" s="47"/>
      <c r="D296" s="47"/>
      <c r="E296" s="47"/>
      <c r="F296" s="47"/>
    </row>
    <row r="297" spans="1:6" x14ac:dyDescent="0.25">
      <c r="A297" s="48"/>
      <c r="B297" s="47"/>
      <c r="D297" s="47"/>
      <c r="E297" s="47"/>
      <c r="F297" s="47"/>
    </row>
    <row r="298" spans="1:6" x14ac:dyDescent="0.25">
      <c r="A298" s="48"/>
      <c r="B298" s="47"/>
      <c r="D298" s="47"/>
      <c r="E298" s="47"/>
      <c r="F298" s="47"/>
    </row>
  </sheetData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T19"/>
  <sheetViews>
    <sheetView workbookViewId="0">
      <selection activeCell="J13" sqref="J13"/>
    </sheetView>
  </sheetViews>
  <sheetFormatPr defaultRowHeight="15" x14ac:dyDescent="0.25"/>
  <cols>
    <col min="1" max="1" width="9.28515625" bestFit="1" customWidth="1"/>
    <col min="2" max="2" width="14.28515625" bestFit="1" customWidth="1"/>
    <col min="3" max="3" width="10.28515625" bestFit="1" customWidth="1"/>
    <col min="4" max="5" width="9" bestFit="1" customWidth="1"/>
    <col min="6" max="6" width="11.140625" bestFit="1" customWidth="1"/>
    <col min="7" max="7" width="8" bestFit="1" customWidth="1"/>
    <col min="8" max="8" width="9" bestFit="1" customWidth="1"/>
    <col min="9" max="9" width="8" bestFit="1" customWidth="1"/>
    <col min="10" max="10" width="12.7109375" bestFit="1" customWidth="1"/>
    <col min="11" max="11" width="9.5703125" bestFit="1" customWidth="1"/>
    <col min="12" max="12" width="12" bestFit="1" customWidth="1"/>
    <col min="13" max="13" width="8.42578125" bestFit="1" customWidth="1"/>
    <col min="14" max="14" width="14.7109375" bestFit="1" customWidth="1"/>
    <col min="15" max="15" width="11" bestFit="1" customWidth="1"/>
  </cols>
  <sheetData>
    <row r="1" spans="1:20" x14ac:dyDescent="0.25">
      <c r="A1" t="s">
        <v>78</v>
      </c>
      <c r="B1" t="s">
        <v>79</v>
      </c>
      <c r="C1" t="s">
        <v>80</v>
      </c>
      <c r="D1" t="s">
        <v>82</v>
      </c>
      <c r="E1" t="s">
        <v>81</v>
      </c>
      <c r="F1" t="s">
        <v>75</v>
      </c>
      <c r="G1" t="s">
        <v>60</v>
      </c>
      <c r="H1" t="s">
        <v>83</v>
      </c>
      <c r="I1" t="s">
        <v>84</v>
      </c>
      <c r="J1" t="s">
        <v>85</v>
      </c>
      <c r="K1" t="s">
        <v>86</v>
      </c>
      <c r="L1" t="s">
        <v>87</v>
      </c>
      <c r="P1" t="s">
        <v>96</v>
      </c>
      <c r="Q1" t="s">
        <v>98</v>
      </c>
      <c r="R1" t="s">
        <v>10</v>
      </c>
      <c r="S1" t="s">
        <v>99</v>
      </c>
      <c r="T1" t="s">
        <v>100</v>
      </c>
    </row>
    <row r="2" spans="1:20" x14ac:dyDescent="0.25">
      <c r="A2" t="s">
        <v>102</v>
      </c>
      <c r="B2">
        <v>2019</v>
      </c>
      <c r="C2">
        <v>2</v>
      </c>
      <c r="D2">
        <v>11.4899</v>
      </c>
      <c r="E2">
        <v>2.5903350000000001</v>
      </c>
      <c r="F2">
        <v>0.313245</v>
      </c>
      <c r="G2">
        <v>333.29419999999999</v>
      </c>
      <c r="H2">
        <v>40.0486</v>
      </c>
      <c r="I2">
        <v>2.601</v>
      </c>
      <c r="J2">
        <v>20180427</v>
      </c>
      <c r="K2">
        <v>11.5</v>
      </c>
      <c r="L2">
        <v>4</v>
      </c>
      <c r="M2" t="s">
        <v>103</v>
      </c>
      <c r="N2" t="s">
        <v>104</v>
      </c>
      <c r="O2" t="s">
        <v>105</v>
      </c>
      <c r="P2">
        <v>2.72</v>
      </c>
      <c r="Q2">
        <v>1.85</v>
      </c>
      <c r="R2">
        <v>17.18</v>
      </c>
      <c r="S2">
        <f>12+46/60+4/3600</f>
        <v>12.767777777777779</v>
      </c>
      <c r="T2">
        <f>143+11/60+25/3600</f>
        <v>143.19027777777779</v>
      </c>
    </row>
    <row r="4" spans="1:20" x14ac:dyDescent="0.25">
      <c r="B4">
        <v>2018</v>
      </c>
      <c r="C4">
        <v>9</v>
      </c>
      <c r="D4">
        <v>23</v>
      </c>
    </row>
    <row r="8" spans="1:20" x14ac:dyDescent="0.25">
      <c r="A8" t="s">
        <v>89</v>
      </c>
      <c r="C8">
        <v>1</v>
      </c>
      <c r="D8">
        <v>2</v>
      </c>
      <c r="E8">
        <v>3</v>
      </c>
      <c r="F8">
        <v>4</v>
      </c>
    </row>
    <row r="9" spans="1:20" x14ac:dyDescent="0.25">
      <c r="B9" t="s">
        <v>90</v>
      </c>
      <c r="C9" t="str">
        <f>N2</f>
        <v>R2 (Lagerkvist)</v>
      </c>
    </row>
    <row r="10" spans="1:20" x14ac:dyDescent="0.25">
      <c r="B10" t="s">
        <v>83</v>
      </c>
      <c r="C10">
        <f>H2</f>
        <v>40.0486</v>
      </c>
      <c r="D10">
        <f>C10/180*PI()</f>
        <v>0.69897993081420107</v>
      </c>
      <c r="I10" t="s">
        <v>97</v>
      </c>
      <c r="J10" s="32">
        <f>vbcometperiod(F2,E2)/365.24</f>
        <v>7.3257357387130044</v>
      </c>
      <c r="K10" s="36">
        <f>J10*365.24</f>
        <v>2675.6517212075378</v>
      </c>
    </row>
    <row r="11" spans="1:20" x14ac:dyDescent="0.25">
      <c r="B11" t="s">
        <v>91</v>
      </c>
      <c r="C11">
        <f>I2</f>
        <v>2.601</v>
      </c>
      <c r="D11">
        <f>C11/180*PI()</f>
        <v>4.5396013844372508E-2</v>
      </c>
      <c r="I11" t="s">
        <v>96</v>
      </c>
      <c r="J11" s="33">
        <f>vbCometSunDist(E2,F2,B4,C4,D4,B2,C2,D2)</f>
        <v>2.7215246244873956</v>
      </c>
      <c r="K11" s="29"/>
      <c r="L11" s="28">
        <f>P2</f>
        <v>2.72</v>
      </c>
      <c r="M11" s="34">
        <f>L11/J11-1</f>
        <v>-5.6020969778391994E-4</v>
      </c>
    </row>
    <row r="12" spans="1:20" x14ac:dyDescent="0.25">
      <c r="B12" t="s">
        <v>92</v>
      </c>
      <c r="C12">
        <f>G2</f>
        <v>333.29419999999999</v>
      </c>
      <c r="D12">
        <f>C12/180*PI()</f>
        <v>5.8170811678004846</v>
      </c>
      <c r="I12" t="s">
        <v>101</v>
      </c>
      <c r="J12" s="35">
        <f>vbCometEarthDist(E2,F2,B4,C4,D4,B2,C2,D2,D10,D12,D11)</f>
        <v>1.8476264231492454</v>
      </c>
      <c r="L12" s="28">
        <f>Q2</f>
        <v>1.85</v>
      </c>
      <c r="M12" s="34">
        <f>L12/J12-1</f>
        <v>1.2846627548814826E-3</v>
      </c>
    </row>
    <row r="13" spans="1:20" x14ac:dyDescent="0.25">
      <c r="B13" t="s">
        <v>88</v>
      </c>
      <c r="C13" s="30">
        <f>vbCometSemiMajorAxis(F2,E2)</f>
        <v>3.7718473109041799</v>
      </c>
      <c r="I13" t="s">
        <v>10</v>
      </c>
      <c r="J13" s="31" t="e">
        <f>vbCometMagnitude(C16,D16,J11,J12)</f>
        <v>#VALUE!</v>
      </c>
      <c r="L13">
        <f>R2</f>
        <v>17.18</v>
      </c>
      <c r="M13" s="34" t="e">
        <f>L13/J13-1</f>
        <v>#VALUE!</v>
      </c>
    </row>
    <row r="14" spans="1:20" x14ac:dyDescent="0.25">
      <c r="B14" t="s">
        <v>93</v>
      </c>
      <c r="C14">
        <f>F2</f>
        <v>0.313245</v>
      </c>
    </row>
    <row r="15" spans="1:20" x14ac:dyDescent="0.25">
      <c r="B15" t="s">
        <v>59</v>
      </c>
      <c r="C15">
        <f>vbCometMeanAnomaly(B4,C4,D4,J10*365.24,B2,C2,D2)*PI()/180</f>
        <v>5.9509271034799074</v>
      </c>
    </row>
    <row r="16" spans="1:20" x14ac:dyDescent="0.25">
      <c r="B16" t="s">
        <v>94</v>
      </c>
      <c r="C16">
        <f>K2</f>
        <v>11.5</v>
      </c>
      <c r="D16">
        <v>4</v>
      </c>
    </row>
    <row r="17" spans="2:10" x14ac:dyDescent="0.25">
      <c r="B17" t="s">
        <v>95</v>
      </c>
      <c r="C17">
        <v>0</v>
      </c>
    </row>
    <row r="18" spans="2:10" x14ac:dyDescent="0.25">
      <c r="B18" t="s">
        <v>85</v>
      </c>
      <c r="C18">
        <v>2000</v>
      </c>
      <c r="D18">
        <v>0</v>
      </c>
      <c r="E18">
        <v>0</v>
      </c>
      <c r="J18" s="32"/>
    </row>
    <row r="19" spans="2:10" x14ac:dyDescent="0.25">
      <c r="J19" s="31"/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12</vt:i4>
      </vt:variant>
    </vt:vector>
  </HeadingPairs>
  <TitlesOfParts>
    <vt:vector size="15" baseType="lpstr">
      <vt:lpstr>BestVisibility</vt:lpstr>
      <vt:lpstr>Sheet1</vt:lpstr>
      <vt:lpstr>Comets</vt:lpstr>
      <vt:lpstr>ddval</vt:lpstr>
      <vt:lpstr>intvl</vt:lpstr>
      <vt:lpstr>lati</vt:lpstr>
      <vt:lpstr>longi</vt:lpstr>
      <vt:lpstr>lst</vt:lpstr>
      <vt:lpstr>planetno</vt:lpstr>
      <vt:lpstr>planlookup</vt:lpstr>
      <vt:lpstr>pres</vt:lpstr>
      <vt:lpstr>BestVisibility!Print_Area</vt:lpstr>
      <vt:lpstr>pval</vt:lpstr>
      <vt:lpstr>temp</vt:lpstr>
      <vt:lpstr>unt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McIntyre</dc:creator>
  <cp:lastModifiedBy>Mark McIntyre</cp:lastModifiedBy>
  <cp:lastPrinted>2018-03-08T22:15:10Z</cp:lastPrinted>
  <dcterms:created xsi:type="dcterms:W3CDTF">2018-02-24T15:57:37Z</dcterms:created>
  <dcterms:modified xsi:type="dcterms:W3CDTF">2020-12-21T09:55:29Z</dcterms:modified>
</cp:coreProperties>
</file>