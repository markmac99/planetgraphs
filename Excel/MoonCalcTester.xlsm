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/>
  <workbookPr defaultThemeVersion="166925"/>
  <mc:AlternateContent xmlns:mc="http://schemas.openxmlformats.org/markup-compatibility/2006">
    <mc:Choice Requires="x15">
      <x15ac:absPath xmlns:x15ac="http://schemas.microsoft.com/office/spreadsheetml/2010/11/ac" url="E:\dev\planetgraphs\Excel\"/>
    </mc:Choice>
  </mc:AlternateContent>
  <xr:revisionPtr revIDLastSave="0" documentId="13_ncr:1_{861E0F2E-429D-4391-AD9B-D59459A6B946}" xr6:coauthVersionLast="45" xr6:coauthVersionMax="45" xr10:uidLastSave="{00000000-0000-0000-0000-000000000000}"/>
  <bookViews>
    <workbookView xWindow="-120" yWindow="-120" windowWidth="20730" windowHeight="11160" xr2:uid="{834A89FB-9504-4FCF-85EB-F55AA8D38154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7" i="1" l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Q11" i="1"/>
  <c r="Q10" i="1"/>
  <c r="Q9" i="1"/>
  <c r="Q8" i="1"/>
  <c r="Q7" i="1"/>
  <c r="Q6" i="1"/>
  <c r="Q5" i="1"/>
  <c r="P60" i="1"/>
  <c r="P59" i="1"/>
  <c r="P58" i="1"/>
  <c r="P57" i="1"/>
  <c r="P56" i="1"/>
  <c r="P55" i="1"/>
  <c r="P54" i="1"/>
  <c r="P53" i="1"/>
  <c r="P52" i="1"/>
  <c r="P51" i="1"/>
  <c r="P50" i="1"/>
  <c r="P49" i="1"/>
  <c r="P48" i="1"/>
  <c r="P47" i="1"/>
  <c r="P46" i="1"/>
  <c r="P45" i="1"/>
  <c r="P44" i="1"/>
  <c r="P43" i="1"/>
  <c r="P42" i="1"/>
  <c r="P41" i="1"/>
  <c r="P40" i="1"/>
  <c r="P39" i="1"/>
  <c r="P38" i="1"/>
  <c r="P37" i="1"/>
  <c r="P36" i="1"/>
  <c r="P35" i="1"/>
  <c r="P34" i="1"/>
  <c r="P33" i="1"/>
  <c r="P32" i="1"/>
  <c r="P31" i="1"/>
  <c r="P30" i="1"/>
  <c r="P29" i="1"/>
  <c r="P28" i="1"/>
  <c r="P27" i="1"/>
  <c r="P26" i="1"/>
  <c r="P25" i="1"/>
  <c r="P24" i="1"/>
  <c r="P23" i="1"/>
  <c r="P22" i="1"/>
  <c r="P21" i="1"/>
  <c r="P20" i="1"/>
  <c r="P19" i="1"/>
  <c r="P18" i="1"/>
  <c r="P17" i="1"/>
  <c r="P16" i="1"/>
  <c r="P15" i="1"/>
  <c r="P14" i="1"/>
  <c r="P13" i="1"/>
  <c r="P12" i="1"/>
  <c r="P11" i="1"/>
  <c r="P10" i="1"/>
  <c r="P9" i="1"/>
  <c r="P8" i="1"/>
  <c r="P7" i="1"/>
  <c r="P6" i="1"/>
  <c r="P5" i="1"/>
</calcChain>
</file>

<file path=xl/sharedStrings.xml><?xml version="1.0" encoding="utf-8"?>
<sst xmlns="http://schemas.openxmlformats.org/spreadsheetml/2006/main" count="244" uniqueCount="156">
  <si>
    <t>-</t>
  </si>
  <si>
    <r>
      <t>↑</t>
    </r>
    <r>
      <rPr>
        <sz val="11"/>
        <color rgb="FF454545"/>
        <rFont val="Arial"/>
        <family val="2"/>
      </rPr>
      <t> </t>
    </r>
    <r>
      <rPr>
        <sz val="10"/>
        <color rgb="FF777777"/>
        <rFont val="Arial"/>
        <family val="2"/>
      </rPr>
      <t>(313°)</t>
    </r>
  </si>
  <si>
    <r>
      <t>↑</t>
    </r>
    <r>
      <rPr>
        <sz val="11"/>
        <color rgb="FF454545"/>
        <rFont val="Arial"/>
        <family val="2"/>
      </rPr>
      <t> </t>
    </r>
    <r>
      <rPr>
        <sz val="10"/>
        <color rgb="FF777777"/>
        <rFont val="Arial"/>
        <family val="2"/>
      </rPr>
      <t>(47°)</t>
    </r>
  </si>
  <si>
    <t>(62.2°)</t>
  </si>
  <si>
    <r>
      <t>↑</t>
    </r>
    <r>
      <rPr>
        <sz val="11"/>
        <color rgb="FF454545"/>
        <rFont val="Arial"/>
        <family val="2"/>
      </rPr>
      <t> </t>
    </r>
    <r>
      <rPr>
        <sz val="10"/>
        <color rgb="FF777777"/>
        <rFont val="Arial"/>
        <family val="2"/>
      </rPr>
      <t>(312°)</t>
    </r>
  </si>
  <si>
    <r>
      <t>↑</t>
    </r>
    <r>
      <rPr>
        <sz val="11"/>
        <color rgb="FF454545"/>
        <rFont val="Arial"/>
        <family val="2"/>
      </rPr>
      <t> </t>
    </r>
    <r>
      <rPr>
        <sz val="10"/>
        <color rgb="FF777777"/>
        <rFont val="Arial"/>
        <family val="2"/>
      </rPr>
      <t>(49°)</t>
    </r>
  </si>
  <si>
    <t>(62.4°)</t>
  </si>
  <si>
    <r>
      <t>↑</t>
    </r>
    <r>
      <rPr>
        <sz val="11"/>
        <color rgb="FF454545"/>
        <rFont val="Arial"/>
        <family val="2"/>
      </rPr>
      <t> </t>
    </r>
    <r>
      <rPr>
        <sz val="10"/>
        <color rgb="FF777777"/>
        <rFont val="Arial"/>
        <family val="2"/>
      </rPr>
      <t>(309°)</t>
    </r>
  </si>
  <si>
    <r>
      <t>↑</t>
    </r>
    <r>
      <rPr>
        <sz val="11"/>
        <color rgb="FF454545"/>
        <rFont val="Arial"/>
        <family val="2"/>
      </rPr>
      <t> </t>
    </r>
    <r>
      <rPr>
        <sz val="10"/>
        <color rgb="FF777777"/>
        <rFont val="Arial"/>
        <family val="2"/>
      </rPr>
      <t>(53°)</t>
    </r>
  </si>
  <si>
    <t>(61.3°)</t>
  </si>
  <si>
    <r>
      <t>↑</t>
    </r>
    <r>
      <rPr>
        <sz val="11"/>
        <color rgb="FF454545"/>
        <rFont val="Arial"/>
        <family val="2"/>
      </rPr>
      <t> </t>
    </r>
    <r>
      <rPr>
        <sz val="10"/>
        <color rgb="FF777777"/>
        <rFont val="Arial"/>
        <family val="2"/>
      </rPr>
      <t>(303°)</t>
    </r>
  </si>
  <si>
    <r>
      <t>↑</t>
    </r>
    <r>
      <rPr>
        <sz val="11"/>
        <color rgb="FF454545"/>
        <rFont val="Arial"/>
        <family val="2"/>
      </rPr>
      <t> </t>
    </r>
    <r>
      <rPr>
        <sz val="10"/>
        <color rgb="FF777777"/>
        <rFont val="Arial"/>
        <family val="2"/>
      </rPr>
      <t>(59°)</t>
    </r>
  </si>
  <si>
    <t>(58.7°)</t>
  </si>
  <si>
    <r>
      <t>↑</t>
    </r>
    <r>
      <rPr>
        <sz val="11"/>
        <color rgb="FF454545"/>
        <rFont val="Arial"/>
        <family val="2"/>
      </rPr>
      <t> </t>
    </r>
    <r>
      <rPr>
        <sz val="10"/>
        <color rgb="FF777777"/>
        <rFont val="Arial"/>
        <family val="2"/>
      </rPr>
      <t>(296°)</t>
    </r>
  </si>
  <si>
    <t>(54.8°)</t>
  </si>
  <si>
    <r>
      <t>↑</t>
    </r>
    <r>
      <rPr>
        <sz val="11"/>
        <color rgb="FF454545"/>
        <rFont val="Arial"/>
        <family val="2"/>
      </rPr>
      <t> </t>
    </r>
    <r>
      <rPr>
        <sz val="10"/>
        <color rgb="FF777777"/>
        <rFont val="Arial"/>
        <family val="2"/>
      </rPr>
      <t>(67°)</t>
    </r>
  </si>
  <si>
    <r>
      <t>↑</t>
    </r>
    <r>
      <rPr>
        <sz val="11"/>
        <color rgb="FF454545"/>
        <rFont val="Arial"/>
        <family val="2"/>
      </rPr>
      <t> </t>
    </r>
    <r>
      <rPr>
        <sz val="10"/>
        <color rgb="FF777777"/>
        <rFont val="Arial"/>
        <family val="2"/>
      </rPr>
      <t>(287°)</t>
    </r>
  </si>
  <si>
    <t>(49.9°)</t>
  </si>
  <si>
    <r>
      <t>↑</t>
    </r>
    <r>
      <rPr>
        <sz val="11"/>
        <color rgb="FF454545"/>
        <rFont val="Arial"/>
        <family val="2"/>
      </rPr>
      <t> </t>
    </r>
    <r>
      <rPr>
        <sz val="10"/>
        <color rgb="FF777777"/>
        <rFont val="Arial"/>
        <family val="2"/>
      </rPr>
      <t>(77°)</t>
    </r>
  </si>
  <si>
    <r>
      <t>↑</t>
    </r>
    <r>
      <rPr>
        <sz val="11"/>
        <color rgb="FF454545"/>
        <rFont val="Arial"/>
        <family val="2"/>
      </rPr>
      <t> </t>
    </r>
    <r>
      <rPr>
        <sz val="10"/>
        <color rgb="FF777777"/>
        <rFont val="Arial"/>
        <family val="2"/>
      </rPr>
      <t>(278°)</t>
    </r>
  </si>
  <si>
    <t>(44.0°)</t>
  </si>
  <si>
    <r>
      <t>↑</t>
    </r>
    <r>
      <rPr>
        <sz val="11"/>
        <color rgb="FF454545"/>
        <rFont val="Arial"/>
        <family val="2"/>
      </rPr>
      <t> </t>
    </r>
    <r>
      <rPr>
        <sz val="10"/>
        <color rgb="FF777777"/>
        <rFont val="Arial"/>
        <family val="2"/>
      </rPr>
      <t>(87°)</t>
    </r>
  </si>
  <si>
    <r>
      <t>↑</t>
    </r>
    <r>
      <rPr>
        <sz val="11"/>
        <color rgb="FF454545"/>
        <rFont val="Arial"/>
        <family val="2"/>
      </rPr>
      <t> </t>
    </r>
    <r>
      <rPr>
        <sz val="10"/>
        <color rgb="FF777777"/>
        <rFont val="Arial"/>
        <family val="2"/>
      </rPr>
      <t>(268°)</t>
    </r>
  </si>
  <si>
    <t>(37.6°)</t>
  </si>
  <si>
    <r>
      <t>↑</t>
    </r>
    <r>
      <rPr>
        <sz val="11"/>
        <color rgb="FF454545"/>
        <rFont val="Arial"/>
        <family val="2"/>
      </rPr>
      <t> </t>
    </r>
    <r>
      <rPr>
        <sz val="10"/>
        <color rgb="FF777777"/>
        <rFont val="Arial"/>
        <family val="2"/>
      </rPr>
      <t>(98°)</t>
    </r>
  </si>
  <si>
    <r>
      <t>↑</t>
    </r>
    <r>
      <rPr>
        <sz val="11"/>
        <color rgb="FF454545"/>
        <rFont val="Arial"/>
        <family val="2"/>
      </rPr>
      <t> </t>
    </r>
    <r>
      <rPr>
        <sz val="10"/>
        <color rgb="FF777777"/>
        <rFont val="Arial"/>
        <family val="2"/>
      </rPr>
      <t>(257°)</t>
    </r>
  </si>
  <si>
    <t>(31.1°)</t>
  </si>
  <si>
    <r>
      <t>↑</t>
    </r>
    <r>
      <rPr>
        <sz val="11"/>
        <color rgb="FF454545"/>
        <rFont val="Arial"/>
        <family val="2"/>
      </rPr>
      <t> </t>
    </r>
    <r>
      <rPr>
        <sz val="10"/>
        <color rgb="FF777777"/>
        <rFont val="Arial"/>
        <family val="2"/>
      </rPr>
      <t>(108°)</t>
    </r>
  </si>
  <si>
    <r>
      <t>↑</t>
    </r>
    <r>
      <rPr>
        <sz val="11"/>
        <color rgb="FF454545"/>
        <rFont val="Arial"/>
        <family val="2"/>
      </rPr>
      <t> </t>
    </r>
    <r>
      <rPr>
        <sz val="10"/>
        <color rgb="FF777777"/>
        <rFont val="Arial"/>
        <family val="2"/>
      </rPr>
      <t>(248°)</t>
    </r>
  </si>
  <si>
    <t>(24.9°)</t>
  </si>
  <si>
    <r>
      <t>↑</t>
    </r>
    <r>
      <rPr>
        <sz val="11"/>
        <color rgb="FF454545"/>
        <rFont val="Arial"/>
        <family val="2"/>
      </rPr>
      <t> </t>
    </r>
    <r>
      <rPr>
        <sz val="10"/>
        <color rgb="FF777777"/>
        <rFont val="Arial"/>
        <family val="2"/>
      </rPr>
      <t>(118°)</t>
    </r>
  </si>
  <si>
    <r>
      <t>↑</t>
    </r>
    <r>
      <rPr>
        <sz val="11"/>
        <color rgb="FF454545"/>
        <rFont val="Arial"/>
        <family val="2"/>
      </rPr>
      <t> </t>
    </r>
    <r>
      <rPr>
        <sz val="10"/>
        <color rgb="FF777777"/>
        <rFont val="Arial"/>
        <family val="2"/>
      </rPr>
      <t>(239°)</t>
    </r>
  </si>
  <si>
    <t>(19.5°)</t>
  </si>
  <si>
    <r>
      <t>↑</t>
    </r>
    <r>
      <rPr>
        <sz val="11"/>
        <color rgb="FF454545"/>
        <rFont val="Arial"/>
        <family val="2"/>
      </rPr>
      <t> </t>
    </r>
    <r>
      <rPr>
        <sz val="10"/>
        <color rgb="FF777777"/>
        <rFont val="Arial"/>
        <family val="2"/>
      </rPr>
      <t>(126°)</t>
    </r>
  </si>
  <si>
    <r>
      <t>↑</t>
    </r>
    <r>
      <rPr>
        <sz val="11"/>
        <color rgb="FF454545"/>
        <rFont val="Arial"/>
        <family val="2"/>
      </rPr>
      <t> </t>
    </r>
    <r>
      <rPr>
        <sz val="10"/>
        <color rgb="FF777777"/>
        <rFont val="Arial"/>
        <family val="2"/>
      </rPr>
      <t>(232°)</t>
    </r>
  </si>
  <si>
    <t>(15.4°)</t>
  </si>
  <si>
    <r>
      <t>↑</t>
    </r>
    <r>
      <rPr>
        <sz val="11"/>
        <color rgb="FF454545"/>
        <rFont val="Arial"/>
        <family val="2"/>
      </rPr>
      <t> </t>
    </r>
    <r>
      <rPr>
        <sz val="10"/>
        <color rgb="FF777777"/>
        <rFont val="Arial"/>
        <family val="2"/>
      </rPr>
      <t>(131°)</t>
    </r>
  </si>
  <si>
    <r>
      <t>↑</t>
    </r>
    <r>
      <rPr>
        <sz val="11"/>
        <color rgb="FF454545"/>
        <rFont val="Arial"/>
        <family val="2"/>
      </rPr>
      <t> </t>
    </r>
    <r>
      <rPr>
        <sz val="10"/>
        <color rgb="FF777777"/>
        <rFont val="Arial"/>
        <family val="2"/>
      </rPr>
      <t>(228°)</t>
    </r>
  </si>
  <si>
    <t>(13.0°)</t>
  </si>
  <si>
    <r>
      <t>↑</t>
    </r>
    <r>
      <rPr>
        <sz val="11"/>
        <color rgb="FF454545"/>
        <rFont val="Arial"/>
        <family val="2"/>
      </rPr>
      <t> </t>
    </r>
    <r>
      <rPr>
        <sz val="10"/>
        <color rgb="FF777777"/>
        <rFont val="Arial"/>
        <family val="2"/>
      </rPr>
      <t>(133°)</t>
    </r>
  </si>
  <si>
    <r>
      <t>↑</t>
    </r>
    <r>
      <rPr>
        <sz val="11"/>
        <color rgb="FF454545"/>
        <rFont val="Arial"/>
        <family val="2"/>
      </rPr>
      <t> </t>
    </r>
    <r>
      <rPr>
        <sz val="10"/>
        <color rgb="FF777777"/>
        <rFont val="Arial"/>
        <family val="2"/>
      </rPr>
      <t>(227°)</t>
    </r>
  </si>
  <si>
    <t>(12.4°)</t>
  </si>
  <si>
    <r>
      <t>↑</t>
    </r>
    <r>
      <rPr>
        <sz val="11"/>
        <color rgb="FF454545"/>
        <rFont val="Arial"/>
        <family val="2"/>
      </rPr>
      <t> </t>
    </r>
    <r>
      <rPr>
        <sz val="10"/>
        <color rgb="FF777777"/>
        <rFont val="Arial"/>
        <family val="2"/>
      </rPr>
      <t>(132°)</t>
    </r>
  </si>
  <si>
    <r>
      <t>↑</t>
    </r>
    <r>
      <rPr>
        <sz val="11"/>
        <color rgb="FF454545"/>
        <rFont val="Arial"/>
        <family val="2"/>
      </rPr>
      <t> </t>
    </r>
    <r>
      <rPr>
        <sz val="10"/>
        <color rgb="FF777777"/>
        <rFont val="Arial"/>
        <family val="2"/>
      </rPr>
      <t>(230°)</t>
    </r>
  </si>
  <si>
    <t>(13.5°)</t>
  </si>
  <si>
    <r>
      <t>↑</t>
    </r>
    <r>
      <rPr>
        <sz val="11"/>
        <color rgb="FF454545"/>
        <rFont val="Arial"/>
        <family val="2"/>
      </rPr>
      <t> </t>
    </r>
    <r>
      <rPr>
        <sz val="10"/>
        <color rgb="FF777777"/>
        <rFont val="Arial"/>
        <family val="2"/>
      </rPr>
      <t>(127°)</t>
    </r>
  </si>
  <si>
    <r>
      <t>↑</t>
    </r>
    <r>
      <rPr>
        <sz val="11"/>
        <color rgb="FF454545"/>
        <rFont val="Arial"/>
        <family val="2"/>
      </rPr>
      <t> </t>
    </r>
    <r>
      <rPr>
        <sz val="10"/>
        <color rgb="FF777777"/>
        <rFont val="Arial"/>
        <family val="2"/>
      </rPr>
      <t>(235°)</t>
    </r>
  </si>
  <si>
    <t>(16.0°)</t>
  </si>
  <si>
    <r>
      <t>↑</t>
    </r>
    <r>
      <rPr>
        <sz val="11"/>
        <color rgb="FF454545"/>
        <rFont val="Arial"/>
        <family val="2"/>
      </rPr>
      <t> </t>
    </r>
    <r>
      <rPr>
        <sz val="10"/>
        <color rgb="FF777777"/>
        <rFont val="Arial"/>
        <family val="2"/>
      </rPr>
      <t>(121°)</t>
    </r>
  </si>
  <si>
    <r>
      <t>↑</t>
    </r>
    <r>
      <rPr>
        <sz val="11"/>
        <color rgb="FF454545"/>
        <rFont val="Arial"/>
        <family val="2"/>
      </rPr>
      <t> </t>
    </r>
    <r>
      <rPr>
        <sz val="10"/>
        <color rgb="FF777777"/>
        <rFont val="Arial"/>
        <family val="2"/>
      </rPr>
      <t>(242°)</t>
    </r>
  </si>
  <si>
    <r>
      <t>↑</t>
    </r>
    <r>
      <rPr>
        <sz val="11"/>
        <color rgb="FF454545"/>
        <rFont val="Arial"/>
        <family val="2"/>
      </rPr>
      <t> </t>
    </r>
    <r>
      <rPr>
        <sz val="10"/>
        <color rgb="FF777777"/>
        <rFont val="Arial"/>
        <family val="2"/>
      </rPr>
      <t>(114°)</t>
    </r>
  </si>
  <si>
    <r>
      <t>↑</t>
    </r>
    <r>
      <rPr>
        <sz val="11"/>
        <color rgb="FF454545"/>
        <rFont val="Arial"/>
        <family val="2"/>
      </rPr>
      <t> </t>
    </r>
    <r>
      <rPr>
        <sz val="10"/>
        <color rgb="FF777777"/>
        <rFont val="Arial"/>
        <family val="2"/>
      </rPr>
      <t>(249°)</t>
    </r>
  </si>
  <si>
    <t>(23.8°)</t>
  </si>
  <si>
    <r>
      <t>↑</t>
    </r>
    <r>
      <rPr>
        <sz val="11"/>
        <color rgb="FF454545"/>
        <rFont val="Arial"/>
        <family val="2"/>
      </rPr>
      <t> </t>
    </r>
    <r>
      <rPr>
        <sz val="10"/>
        <color rgb="FF777777"/>
        <rFont val="Arial"/>
        <family val="2"/>
      </rPr>
      <t>(106°)</t>
    </r>
  </si>
  <si>
    <t>(28.6°)</t>
  </si>
  <si>
    <t>(33.7°)</t>
  </si>
  <si>
    <r>
      <t>↑</t>
    </r>
    <r>
      <rPr>
        <sz val="11"/>
        <color rgb="FF454545"/>
        <rFont val="Arial"/>
        <family val="2"/>
      </rPr>
      <t> </t>
    </r>
    <r>
      <rPr>
        <sz val="10"/>
        <color rgb="FF777777"/>
        <rFont val="Arial"/>
        <family val="2"/>
      </rPr>
      <t>(266°)</t>
    </r>
  </si>
  <si>
    <r>
      <t>↑</t>
    </r>
    <r>
      <rPr>
        <sz val="11"/>
        <color rgb="FF454545"/>
        <rFont val="Arial"/>
        <family val="2"/>
      </rPr>
      <t> </t>
    </r>
    <r>
      <rPr>
        <sz val="10"/>
        <color rgb="FF777777"/>
        <rFont val="Arial"/>
        <family val="2"/>
      </rPr>
      <t>(90°)</t>
    </r>
  </si>
  <si>
    <t>(38.8°)</t>
  </si>
  <si>
    <r>
      <t>↑</t>
    </r>
    <r>
      <rPr>
        <sz val="11"/>
        <color rgb="FF454545"/>
        <rFont val="Arial"/>
        <family val="2"/>
      </rPr>
      <t> </t>
    </r>
    <r>
      <rPr>
        <sz val="10"/>
        <color rgb="FF777777"/>
        <rFont val="Arial"/>
        <family val="2"/>
      </rPr>
      <t>(274°)</t>
    </r>
  </si>
  <si>
    <r>
      <t>↑</t>
    </r>
    <r>
      <rPr>
        <sz val="11"/>
        <color rgb="FF454545"/>
        <rFont val="Arial"/>
        <family val="2"/>
      </rPr>
      <t> </t>
    </r>
    <r>
      <rPr>
        <sz val="10"/>
        <color rgb="FF777777"/>
        <rFont val="Arial"/>
        <family val="2"/>
      </rPr>
      <t>(82°)</t>
    </r>
  </si>
  <si>
    <t>(43.9°)</t>
  </si>
  <si>
    <r>
      <t>↑</t>
    </r>
    <r>
      <rPr>
        <sz val="11"/>
        <color rgb="FF454545"/>
        <rFont val="Arial"/>
        <family val="2"/>
      </rPr>
      <t> </t>
    </r>
    <r>
      <rPr>
        <sz val="10"/>
        <color rgb="FF777777"/>
        <rFont val="Arial"/>
        <family val="2"/>
      </rPr>
      <t>(283°)</t>
    </r>
  </si>
  <si>
    <r>
      <t>↑</t>
    </r>
    <r>
      <rPr>
        <sz val="11"/>
        <color rgb="FF454545"/>
        <rFont val="Arial"/>
        <family val="2"/>
      </rPr>
      <t> </t>
    </r>
    <r>
      <rPr>
        <sz val="10"/>
        <color rgb="FF777777"/>
        <rFont val="Arial"/>
        <family val="2"/>
      </rPr>
      <t>(74°)</t>
    </r>
  </si>
  <si>
    <t>(48.8°)</t>
  </si>
  <si>
    <r>
      <t>↑</t>
    </r>
    <r>
      <rPr>
        <sz val="11"/>
        <color rgb="FF454545"/>
        <rFont val="Arial"/>
        <family val="2"/>
      </rPr>
      <t> </t>
    </r>
    <r>
      <rPr>
        <sz val="10"/>
        <color rgb="FF777777"/>
        <rFont val="Arial"/>
        <family val="2"/>
      </rPr>
      <t>(291°)</t>
    </r>
  </si>
  <si>
    <r>
      <t>↑</t>
    </r>
    <r>
      <rPr>
        <sz val="11"/>
        <color rgb="FF454545"/>
        <rFont val="Arial"/>
        <family val="2"/>
      </rPr>
      <t> </t>
    </r>
    <r>
      <rPr>
        <sz val="10"/>
        <color rgb="FF777777"/>
        <rFont val="Arial"/>
        <family val="2"/>
      </rPr>
      <t>(66°)</t>
    </r>
  </si>
  <si>
    <t>(53.2°)</t>
  </si>
  <si>
    <r>
      <t>↑</t>
    </r>
    <r>
      <rPr>
        <sz val="11"/>
        <color rgb="FF454545"/>
        <rFont val="Arial"/>
        <family val="2"/>
      </rPr>
      <t> </t>
    </r>
    <r>
      <rPr>
        <sz val="10"/>
        <color rgb="FF777777"/>
        <rFont val="Arial"/>
        <family val="2"/>
      </rPr>
      <t>(298°)</t>
    </r>
  </si>
  <si>
    <r>
      <t>↑</t>
    </r>
    <r>
      <rPr>
        <sz val="11"/>
        <color rgb="FF454545"/>
        <rFont val="Arial"/>
        <family val="2"/>
      </rPr>
      <t> </t>
    </r>
    <r>
      <rPr>
        <sz val="10"/>
        <color rgb="FF777777"/>
        <rFont val="Arial"/>
        <family val="2"/>
      </rPr>
      <t>(60°)</t>
    </r>
  </si>
  <si>
    <t>(57.1°)</t>
  </si>
  <si>
    <r>
      <t>↑</t>
    </r>
    <r>
      <rPr>
        <sz val="11"/>
        <color rgb="FF454545"/>
        <rFont val="Arial"/>
        <family val="2"/>
      </rPr>
      <t> </t>
    </r>
    <r>
      <rPr>
        <sz val="10"/>
        <color rgb="FF777777"/>
        <rFont val="Arial"/>
        <family val="2"/>
      </rPr>
      <t>(304°)</t>
    </r>
  </si>
  <si>
    <r>
      <t>↑</t>
    </r>
    <r>
      <rPr>
        <sz val="11"/>
        <color rgb="FF454545"/>
        <rFont val="Arial"/>
        <family val="2"/>
      </rPr>
      <t> </t>
    </r>
    <r>
      <rPr>
        <sz val="10"/>
        <color rgb="FF777777"/>
        <rFont val="Arial"/>
        <family val="2"/>
      </rPr>
      <t>(54°)</t>
    </r>
  </si>
  <si>
    <t>Moon does not pass the meridian on this </t>
  </si>
  <si>
    <t>Day</t>
  </si>
  <si>
    <t>Rise</t>
  </si>
  <si>
    <t>Bearing</t>
  </si>
  <si>
    <t>Set</t>
  </si>
  <si>
    <t>Transit</t>
  </si>
  <si>
    <t>bearing</t>
  </si>
  <si>
    <t>Size</t>
  </si>
  <si>
    <t>Phase</t>
  </si>
  <si>
    <t>(60.0°)</t>
  </si>
  <si>
    <t>(62.0°)</t>
  </si>
  <si>
    <r>
      <t>↑</t>
    </r>
    <r>
      <rPr>
        <sz val="11"/>
        <color rgb="FF454545"/>
        <rFont val="Arial"/>
        <family val="2"/>
      </rPr>
      <t> </t>
    </r>
    <r>
      <rPr>
        <sz val="10"/>
        <color rgb="FF777777"/>
        <rFont val="Arial"/>
        <family val="2"/>
      </rPr>
      <t>(48°)</t>
    </r>
  </si>
  <si>
    <t>(62.6°)</t>
  </si>
  <si>
    <r>
      <t>↑</t>
    </r>
    <r>
      <rPr>
        <sz val="11"/>
        <color rgb="FF454545"/>
        <rFont val="Arial"/>
        <family val="2"/>
      </rPr>
      <t> </t>
    </r>
    <r>
      <rPr>
        <sz val="10"/>
        <color rgb="FF777777"/>
        <rFont val="Arial"/>
        <family val="2"/>
      </rPr>
      <t>(310°)</t>
    </r>
  </si>
  <si>
    <r>
      <t>↑</t>
    </r>
    <r>
      <rPr>
        <sz val="11"/>
        <color rgb="FF454545"/>
        <rFont val="Arial"/>
        <family val="2"/>
      </rPr>
      <t> </t>
    </r>
    <r>
      <rPr>
        <sz val="10"/>
        <color rgb="FF777777"/>
        <rFont val="Arial"/>
        <family val="2"/>
      </rPr>
      <t>(51°)</t>
    </r>
  </si>
  <si>
    <t>(61.8°)</t>
  </si>
  <si>
    <r>
      <t>↑</t>
    </r>
    <r>
      <rPr>
        <sz val="11"/>
        <color rgb="FF454545"/>
        <rFont val="Arial"/>
        <family val="2"/>
      </rPr>
      <t> </t>
    </r>
    <r>
      <rPr>
        <sz val="10"/>
        <color rgb="FF777777"/>
        <rFont val="Arial"/>
        <family val="2"/>
      </rPr>
      <t>(305°)</t>
    </r>
  </si>
  <si>
    <r>
      <t>↑</t>
    </r>
    <r>
      <rPr>
        <sz val="11"/>
        <color rgb="FF454545"/>
        <rFont val="Arial"/>
        <family val="2"/>
      </rPr>
      <t> </t>
    </r>
    <r>
      <rPr>
        <sz val="10"/>
        <color rgb="FF777777"/>
        <rFont val="Arial"/>
        <family val="2"/>
      </rPr>
      <t>(57°)</t>
    </r>
  </si>
  <si>
    <t>(59.7°)</t>
  </si>
  <si>
    <r>
      <t>↑</t>
    </r>
    <r>
      <rPr>
        <sz val="11"/>
        <color rgb="FF454545"/>
        <rFont val="Arial"/>
        <family val="2"/>
      </rPr>
      <t> </t>
    </r>
    <r>
      <rPr>
        <sz val="10"/>
        <color rgb="FF777777"/>
        <rFont val="Arial"/>
        <family val="2"/>
      </rPr>
      <t>(299°)</t>
    </r>
  </si>
  <si>
    <r>
      <t>↑</t>
    </r>
    <r>
      <rPr>
        <sz val="11"/>
        <color rgb="FF454545"/>
        <rFont val="Arial"/>
        <family val="2"/>
      </rPr>
      <t> </t>
    </r>
    <r>
      <rPr>
        <sz val="10"/>
        <color rgb="FF777777"/>
        <rFont val="Arial"/>
        <family val="2"/>
      </rPr>
      <t>(64°)</t>
    </r>
  </si>
  <si>
    <t>(56.3°)</t>
  </si>
  <si>
    <r>
      <t>↑</t>
    </r>
    <r>
      <rPr>
        <sz val="11"/>
        <color rgb="FF454545"/>
        <rFont val="Arial"/>
        <family val="2"/>
      </rPr>
      <t> </t>
    </r>
    <r>
      <rPr>
        <sz val="10"/>
        <color rgb="FF777777"/>
        <rFont val="Arial"/>
        <family val="2"/>
      </rPr>
      <t>(73°)</t>
    </r>
  </si>
  <si>
    <t>(51.8°)</t>
  </si>
  <si>
    <r>
      <t>↑</t>
    </r>
    <r>
      <rPr>
        <sz val="11"/>
        <color rgb="FF454545"/>
        <rFont val="Arial"/>
        <family val="2"/>
      </rPr>
      <t> </t>
    </r>
    <r>
      <rPr>
        <sz val="10"/>
        <color rgb="FF777777"/>
        <rFont val="Arial"/>
        <family val="2"/>
      </rPr>
      <t>(282°)</t>
    </r>
  </si>
  <si>
    <t>(46.4°)</t>
  </si>
  <si>
    <r>
      <t>↑</t>
    </r>
    <r>
      <rPr>
        <sz val="11"/>
        <color rgb="FF454545"/>
        <rFont val="Arial"/>
        <family val="2"/>
      </rPr>
      <t> </t>
    </r>
    <r>
      <rPr>
        <sz val="10"/>
        <color rgb="FF777777"/>
        <rFont val="Arial"/>
        <family val="2"/>
      </rPr>
      <t>(83°)</t>
    </r>
  </si>
  <si>
    <r>
      <t>↑</t>
    </r>
    <r>
      <rPr>
        <sz val="11"/>
        <color rgb="FF454545"/>
        <rFont val="Arial"/>
        <family val="2"/>
      </rPr>
      <t> </t>
    </r>
    <r>
      <rPr>
        <sz val="10"/>
        <color rgb="FF777777"/>
        <rFont val="Arial"/>
        <family val="2"/>
      </rPr>
      <t>(272°)</t>
    </r>
  </si>
  <si>
    <t>(40.4°)</t>
  </si>
  <si>
    <r>
      <t>↑</t>
    </r>
    <r>
      <rPr>
        <sz val="11"/>
        <color rgb="FF454545"/>
        <rFont val="Arial"/>
        <family val="2"/>
      </rPr>
      <t> </t>
    </r>
    <r>
      <rPr>
        <sz val="10"/>
        <color rgb="FF777777"/>
        <rFont val="Arial"/>
        <family val="2"/>
      </rPr>
      <t>(93°)</t>
    </r>
  </si>
  <si>
    <r>
      <t>↑</t>
    </r>
    <r>
      <rPr>
        <sz val="11"/>
        <color rgb="FF454545"/>
        <rFont val="Arial"/>
        <family val="2"/>
      </rPr>
      <t> </t>
    </r>
    <r>
      <rPr>
        <sz val="10"/>
        <color rgb="FF777777"/>
        <rFont val="Arial"/>
        <family val="2"/>
      </rPr>
      <t>(262°)</t>
    </r>
  </si>
  <si>
    <t>(34.1°)</t>
  </si>
  <si>
    <r>
      <t>↑</t>
    </r>
    <r>
      <rPr>
        <sz val="11"/>
        <color rgb="FF454545"/>
        <rFont val="Arial"/>
        <family val="2"/>
      </rPr>
      <t> </t>
    </r>
    <r>
      <rPr>
        <sz val="10"/>
        <color rgb="FF777777"/>
        <rFont val="Arial"/>
        <family val="2"/>
      </rPr>
      <t>(103°)</t>
    </r>
  </si>
  <si>
    <r>
      <t>↑</t>
    </r>
    <r>
      <rPr>
        <sz val="11"/>
        <color rgb="FF454545"/>
        <rFont val="Arial"/>
        <family val="2"/>
      </rPr>
      <t> </t>
    </r>
    <r>
      <rPr>
        <sz val="10"/>
        <color rgb="FF777777"/>
        <rFont val="Arial"/>
        <family val="2"/>
      </rPr>
      <t>(252°)</t>
    </r>
  </si>
  <si>
    <t>(27.9°)</t>
  </si>
  <si>
    <r>
      <t>↑</t>
    </r>
    <r>
      <rPr>
        <sz val="11"/>
        <color rgb="FF454545"/>
        <rFont val="Arial"/>
        <family val="2"/>
      </rPr>
      <t> </t>
    </r>
    <r>
      <rPr>
        <sz val="10"/>
        <color rgb="FF777777"/>
        <rFont val="Arial"/>
        <family val="2"/>
      </rPr>
      <t>(113°)</t>
    </r>
  </si>
  <si>
    <r>
      <t>↑</t>
    </r>
    <r>
      <rPr>
        <sz val="11"/>
        <color rgb="FF454545"/>
        <rFont val="Arial"/>
        <family val="2"/>
      </rPr>
      <t> </t>
    </r>
    <r>
      <rPr>
        <sz val="10"/>
        <color rgb="FF777777"/>
        <rFont val="Arial"/>
        <family val="2"/>
      </rPr>
      <t>(243°)</t>
    </r>
  </si>
  <si>
    <t>(22.2°)</t>
  </si>
  <si>
    <r>
      <t>↑</t>
    </r>
    <r>
      <rPr>
        <sz val="11"/>
        <color rgb="FF454545"/>
        <rFont val="Arial"/>
        <family val="2"/>
      </rPr>
      <t> </t>
    </r>
    <r>
      <rPr>
        <sz val="10"/>
        <color rgb="FF777777"/>
        <rFont val="Arial"/>
        <family val="2"/>
      </rPr>
      <t>(122°)</t>
    </r>
  </si>
  <si>
    <t>(17.4°)</t>
  </si>
  <si>
    <r>
      <t>↑</t>
    </r>
    <r>
      <rPr>
        <sz val="11"/>
        <color rgb="FF454545"/>
        <rFont val="Arial"/>
        <family val="2"/>
      </rPr>
      <t> </t>
    </r>
    <r>
      <rPr>
        <sz val="10"/>
        <color rgb="FF777777"/>
        <rFont val="Arial"/>
        <family val="2"/>
      </rPr>
      <t>(129°)</t>
    </r>
  </si>
  <si>
    <r>
      <t>↑</t>
    </r>
    <r>
      <rPr>
        <sz val="11"/>
        <color rgb="FF454545"/>
        <rFont val="Arial"/>
        <family val="2"/>
      </rPr>
      <t> </t>
    </r>
    <r>
      <rPr>
        <sz val="10"/>
        <color rgb="FF777777"/>
        <rFont val="Arial"/>
        <family val="2"/>
      </rPr>
      <t>(229°)</t>
    </r>
  </si>
  <si>
    <t>(14.1°)</t>
  </si>
  <si>
    <t>(12.5°)</t>
  </si>
  <si>
    <t>(12.7°)</t>
  </si>
  <si>
    <r>
      <t>↑</t>
    </r>
    <r>
      <rPr>
        <sz val="11"/>
        <color rgb="FF454545"/>
        <rFont val="Arial"/>
        <family val="2"/>
      </rPr>
      <t> </t>
    </r>
    <r>
      <rPr>
        <sz val="10"/>
        <color rgb="FF777777"/>
        <rFont val="Arial"/>
        <family val="2"/>
      </rPr>
      <t>(130°)</t>
    </r>
  </si>
  <si>
    <t>(14.6°)</t>
  </si>
  <si>
    <r>
      <t>↑</t>
    </r>
    <r>
      <rPr>
        <sz val="11"/>
        <color rgb="FF454545"/>
        <rFont val="Arial"/>
        <family val="2"/>
      </rPr>
      <t> </t>
    </r>
    <r>
      <rPr>
        <sz val="10"/>
        <color rgb="FF777777"/>
        <rFont val="Arial"/>
        <family val="2"/>
      </rPr>
      <t>(124°)</t>
    </r>
  </si>
  <si>
    <r>
      <t>↑</t>
    </r>
    <r>
      <rPr>
        <sz val="11"/>
        <color rgb="FF454545"/>
        <rFont val="Arial"/>
        <family val="2"/>
      </rPr>
      <t> </t>
    </r>
    <r>
      <rPr>
        <sz val="10"/>
        <color rgb="FF777777"/>
        <rFont val="Arial"/>
        <family val="2"/>
      </rPr>
      <t>(238°)</t>
    </r>
  </si>
  <si>
    <t>(17.7°)</t>
  </si>
  <si>
    <r>
      <t>↑</t>
    </r>
    <r>
      <rPr>
        <sz val="11"/>
        <color rgb="FF454545"/>
        <rFont val="Arial"/>
        <family val="2"/>
      </rPr>
      <t> </t>
    </r>
    <r>
      <rPr>
        <sz val="10"/>
        <color rgb="FF777777"/>
        <rFont val="Arial"/>
        <family val="2"/>
      </rPr>
      <t>(117°)</t>
    </r>
  </si>
  <si>
    <r>
      <t>↑</t>
    </r>
    <r>
      <rPr>
        <sz val="11"/>
        <color rgb="FF454545"/>
        <rFont val="Arial"/>
        <family val="2"/>
      </rPr>
      <t> </t>
    </r>
    <r>
      <rPr>
        <sz val="10"/>
        <color rgb="FF777777"/>
        <rFont val="Arial"/>
        <family val="2"/>
      </rPr>
      <t>(246°)</t>
    </r>
  </si>
  <si>
    <t>(21.9°)</t>
  </si>
  <si>
    <r>
      <t>↑</t>
    </r>
    <r>
      <rPr>
        <sz val="11"/>
        <color rgb="FF454545"/>
        <rFont val="Arial"/>
        <family val="2"/>
      </rPr>
      <t> </t>
    </r>
    <r>
      <rPr>
        <sz val="10"/>
        <color rgb="FF777777"/>
        <rFont val="Arial"/>
        <family val="2"/>
      </rPr>
      <t>(109°)</t>
    </r>
  </si>
  <si>
    <r>
      <t>↑</t>
    </r>
    <r>
      <rPr>
        <sz val="11"/>
        <color rgb="FF454545"/>
        <rFont val="Arial"/>
        <family val="2"/>
      </rPr>
      <t> </t>
    </r>
    <r>
      <rPr>
        <sz val="10"/>
        <color rgb="FF777777"/>
        <rFont val="Arial"/>
        <family val="2"/>
      </rPr>
      <t>(254°)</t>
    </r>
  </si>
  <si>
    <t>(26.6°)</t>
  </si>
  <si>
    <r>
      <t>↑</t>
    </r>
    <r>
      <rPr>
        <sz val="11"/>
        <color rgb="FF454545"/>
        <rFont val="Arial"/>
        <family val="2"/>
      </rPr>
      <t> </t>
    </r>
    <r>
      <rPr>
        <sz val="10"/>
        <color rgb="FF777777"/>
        <rFont val="Arial"/>
        <family val="2"/>
      </rPr>
      <t>(101°)</t>
    </r>
  </si>
  <si>
    <r>
      <t>↑</t>
    </r>
    <r>
      <rPr>
        <sz val="11"/>
        <color rgb="FF454545"/>
        <rFont val="Arial"/>
        <family val="2"/>
      </rPr>
      <t> </t>
    </r>
    <r>
      <rPr>
        <sz val="10"/>
        <color rgb="FF777777"/>
        <rFont val="Arial"/>
        <family val="2"/>
      </rPr>
      <t>(263°)</t>
    </r>
  </si>
  <si>
    <t>(31.7°)</t>
  </si>
  <si>
    <t>(36.9°)</t>
  </si>
  <si>
    <r>
      <t>↑</t>
    </r>
    <r>
      <rPr>
        <sz val="11"/>
        <color rgb="FF454545"/>
        <rFont val="Arial"/>
        <family val="2"/>
      </rPr>
      <t> </t>
    </r>
    <r>
      <rPr>
        <sz val="10"/>
        <color rgb="FF777777"/>
        <rFont val="Arial"/>
        <family val="2"/>
      </rPr>
      <t>(271°)</t>
    </r>
  </si>
  <si>
    <r>
      <t>↑</t>
    </r>
    <r>
      <rPr>
        <sz val="11"/>
        <color rgb="FF454545"/>
        <rFont val="Arial"/>
        <family val="2"/>
      </rPr>
      <t> </t>
    </r>
    <r>
      <rPr>
        <sz val="10"/>
        <color rgb="FF777777"/>
        <rFont val="Arial"/>
        <family val="2"/>
      </rPr>
      <t>(85°)</t>
    </r>
  </si>
  <si>
    <t>(42.0°)</t>
  </si>
  <si>
    <r>
      <t>↑</t>
    </r>
    <r>
      <rPr>
        <sz val="11"/>
        <color rgb="FF454545"/>
        <rFont val="Arial"/>
        <family val="2"/>
      </rPr>
      <t> </t>
    </r>
    <r>
      <rPr>
        <sz val="10"/>
        <color rgb="FF777777"/>
        <rFont val="Arial"/>
        <family val="2"/>
      </rPr>
      <t>(279°)</t>
    </r>
  </si>
  <si>
    <t>(47.0°)</t>
  </si>
  <si>
    <r>
      <t>↑</t>
    </r>
    <r>
      <rPr>
        <sz val="11"/>
        <color rgb="FF454545"/>
        <rFont val="Arial"/>
        <family val="2"/>
      </rPr>
      <t> </t>
    </r>
    <r>
      <rPr>
        <sz val="10"/>
        <color rgb="FF777777"/>
        <rFont val="Arial"/>
        <family val="2"/>
      </rPr>
      <t>(288°)</t>
    </r>
  </si>
  <si>
    <r>
      <t>↑</t>
    </r>
    <r>
      <rPr>
        <sz val="11"/>
        <color rgb="FF454545"/>
        <rFont val="Arial"/>
        <family val="2"/>
      </rPr>
      <t> </t>
    </r>
    <r>
      <rPr>
        <sz val="10"/>
        <color rgb="FF777777"/>
        <rFont val="Arial"/>
        <family val="2"/>
      </rPr>
      <t>(69°)</t>
    </r>
  </si>
  <si>
    <t>(51.6°)</t>
  </si>
  <si>
    <r>
      <t>↑</t>
    </r>
    <r>
      <rPr>
        <sz val="11"/>
        <color rgb="FF454545"/>
        <rFont val="Arial"/>
        <family val="2"/>
      </rPr>
      <t> </t>
    </r>
    <r>
      <rPr>
        <sz val="10"/>
        <color rgb="FF777777"/>
        <rFont val="Arial"/>
        <family val="2"/>
      </rPr>
      <t>(295°)</t>
    </r>
  </si>
  <si>
    <r>
      <t>↑</t>
    </r>
    <r>
      <rPr>
        <sz val="11"/>
        <color rgb="FF454545"/>
        <rFont val="Arial"/>
        <family val="2"/>
      </rPr>
      <t> </t>
    </r>
    <r>
      <rPr>
        <sz val="10"/>
        <color rgb="FF777777"/>
        <rFont val="Arial"/>
        <family val="2"/>
      </rPr>
      <t>(62°)</t>
    </r>
  </si>
  <si>
    <t>(55.7°)</t>
  </si>
  <si>
    <r>
      <t>↑</t>
    </r>
    <r>
      <rPr>
        <sz val="11"/>
        <color rgb="FF454545"/>
        <rFont val="Arial"/>
        <family val="2"/>
      </rPr>
      <t> </t>
    </r>
    <r>
      <rPr>
        <sz val="10"/>
        <color rgb="FF777777"/>
        <rFont val="Arial"/>
        <family val="2"/>
      </rPr>
      <t>(302°)</t>
    </r>
  </si>
  <si>
    <r>
      <t>↑</t>
    </r>
    <r>
      <rPr>
        <sz val="11"/>
        <color rgb="FF454545"/>
        <rFont val="Arial"/>
        <family val="2"/>
      </rPr>
      <t> </t>
    </r>
    <r>
      <rPr>
        <sz val="10"/>
        <color rgb="FF777777"/>
        <rFont val="Arial"/>
        <family val="2"/>
      </rPr>
      <t>(56°)</t>
    </r>
  </si>
  <si>
    <t>(59.0°)</t>
  </si>
  <si>
    <r>
      <t>↑</t>
    </r>
    <r>
      <rPr>
        <sz val="11"/>
        <color rgb="FF454545"/>
        <rFont val="Arial"/>
        <family val="2"/>
      </rPr>
      <t> </t>
    </r>
    <r>
      <rPr>
        <sz val="10"/>
        <color rgb="FF777777"/>
        <rFont val="Arial"/>
        <family val="2"/>
      </rPr>
      <t>(308°)</t>
    </r>
  </si>
  <si>
    <t>(61.4°)</t>
  </si>
  <si>
    <r>
      <t>↑</t>
    </r>
    <r>
      <rPr>
        <sz val="11"/>
        <color rgb="FF454545"/>
        <rFont val="Arial"/>
        <family val="2"/>
      </rPr>
      <t> </t>
    </r>
    <r>
      <rPr>
        <sz val="10"/>
        <color rgb="FF777777"/>
        <rFont val="Arial"/>
        <family val="2"/>
      </rPr>
      <t>(311°)</t>
    </r>
  </si>
  <si>
    <t>Moon does not pass the meridian on this day.</t>
  </si>
  <si>
    <t>(62.5°)</t>
  </si>
  <si>
    <r>
      <t>↑</t>
    </r>
    <r>
      <rPr>
        <sz val="11"/>
        <color rgb="FF454545"/>
        <rFont val="Arial"/>
        <family val="2"/>
      </rPr>
      <t> </t>
    </r>
    <r>
      <rPr>
        <sz val="10"/>
        <color rgb="FF777777"/>
        <rFont val="Arial"/>
        <family val="2"/>
      </rPr>
      <t>(50°)</t>
    </r>
  </si>
  <si>
    <t>Date</t>
  </si>
  <si>
    <t>Rise Diff</t>
  </si>
  <si>
    <t>Set Diff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</si>
</sst>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rgb="FF454545"/>
      <name val="Arial"/>
      <family val="2"/>
    </font>
    <font>
      <sz val="11"/>
      <color rgb="FF454545"/>
      <name val="Arial"/>
      <family val="2"/>
    </font>
    <font>
      <sz val="15.4"/>
      <color rgb="FF454545"/>
      <name val="Lucida Sans Unicode"/>
      <family val="2"/>
    </font>
    <font>
      <sz val="10"/>
      <color rgb="FF777777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7F7F7"/>
        <bgColor indexed="64"/>
      </patternFill>
    </fill>
  </fills>
  <borders count="18">
    <border>
      <left/>
      <right/>
      <top/>
      <bottom/>
      <diagonal/>
    </border>
    <border>
      <left style="medium">
        <color rgb="FFCCCCCC"/>
      </left>
      <right/>
      <top/>
      <bottom/>
      <diagonal/>
    </border>
    <border>
      <left style="thick">
        <color rgb="FFCCCCCC"/>
      </left>
      <right/>
      <top/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/>
      <right/>
      <top style="medium">
        <color rgb="FFCCCCCC"/>
      </top>
      <bottom/>
      <diagonal/>
    </border>
    <border>
      <left style="thick">
        <color rgb="FFCCCCCC"/>
      </left>
      <right/>
      <top style="medium">
        <color rgb="FFCCCCCC"/>
      </top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DDDDDD"/>
      </top>
      <bottom style="medium">
        <color rgb="FFDDDDDD"/>
      </bottom>
      <diagonal/>
    </border>
    <border>
      <left style="medium">
        <color rgb="FFCCCCCC"/>
      </left>
      <right style="medium">
        <color rgb="FFCCCCCC"/>
      </right>
      <top/>
      <bottom/>
      <diagonal/>
    </border>
    <border>
      <left style="medium">
        <color rgb="FFCCCCCC"/>
      </left>
      <right/>
      <top style="medium">
        <color rgb="FFDDDDDD"/>
      </top>
      <bottom style="medium">
        <color rgb="FFCCCCCC"/>
      </bottom>
      <diagonal/>
    </border>
    <border>
      <left style="medium">
        <color rgb="FFCCCCCC"/>
      </left>
      <right/>
      <top/>
      <bottom style="medium">
        <color rgb="FFCCCCCC"/>
      </bottom>
      <diagonal/>
    </border>
    <border>
      <left/>
      <right/>
      <top/>
      <bottom style="medium">
        <color rgb="FFCCCCCC"/>
      </bottom>
      <diagonal/>
    </border>
    <border>
      <left style="thick">
        <color rgb="FFCCCCCC"/>
      </left>
      <right/>
      <top/>
      <bottom style="medium">
        <color rgb="FFCCCCCC"/>
      </bottom>
      <diagonal/>
    </border>
    <border>
      <left/>
      <right style="medium">
        <color rgb="FFCCCCCC"/>
      </right>
      <top/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/>
      <diagonal/>
    </border>
    <border>
      <left/>
      <right style="medium">
        <color rgb="FFCCCCCC"/>
      </right>
      <top/>
      <bottom/>
      <diagonal/>
    </border>
    <border>
      <left/>
      <right style="thick">
        <color rgb="FFCCCCCC"/>
      </right>
      <top/>
      <bottom/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</borders>
  <cellStyleXfs count="1">
    <xf numFmtId="0" fontId="0" fillId="0" borderId="0"/>
  </cellStyleXfs>
  <cellXfs count="48">
    <xf numFmtId="0" fontId="0" fillId="0" borderId="0" xfId="0"/>
    <xf numFmtId="20" fontId="2" fillId="2" borderId="1" xfId="0" applyNumberFormat="1" applyFont="1" applyFill="1" applyBorder="1" applyAlignment="1">
      <alignment horizontal="right" vertical="center" wrapText="1"/>
    </xf>
    <xf numFmtId="0" fontId="3" fillId="2" borderId="0" xfId="0" applyFont="1" applyFill="1" applyAlignment="1">
      <alignment vertical="center" wrapText="1"/>
    </xf>
    <xf numFmtId="20" fontId="2" fillId="2" borderId="2" xfId="0" applyNumberFormat="1" applyFont="1" applyFill="1" applyBorder="1" applyAlignment="1">
      <alignment horizontal="right" vertical="center" wrapText="1"/>
    </xf>
    <xf numFmtId="0" fontId="4" fillId="2" borderId="0" xfId="0" applyFont="1" applyFill="1" applyAlignment="1">
      <alignment vertical="center" wrapText="1"/>
    </xf>
    <xf numFmtId="3" fontId="2" fillId="2" borderId="1" xfId="0" applyNumberFormat="1" applyFont="1" applyFill="1" applyBorder="1" applyAlignment="1">
      <alignment horizontal="right" vertical="center" wrapText="1"/>
    </xf>
    <xf numFmtId="20" fontId="2" fillId="3" borderId="1" xfId="0" applyNumberFormat="1" applyFont="1" applyFill="1" applyBorder="1" applyAlignment="1">
      <alignment horizontal="right" vertical="center" wrapText="1"/>
    </xf>
    <xf numFmtId="0" fontId="3" fillId="3" borderId="0" xfId="0" applyFont="1" applyFill="1" applyAlignment="1">
      <alignment vertical="center" wrapText="1"/>
    </xf>
    <xf numFmtId="20" fontId="2" fillId="3" borderId="2" xfId="0" applyNumberFormat="1" applyFont="1" applyFill="1" applyBorder="1" applyAlignment="1">
      <alignment horizontal="right" vertical="center" wrapText="1"/>
    </xf>
    <xf numFmtId="0" fontId="4" fillId="3" borderId="0" xfId="0" applyFont="1" applyFill="1" applyAlignment="1">
      <alignment vertical="center" wrapText="1"/>
    </xf>
    <xf numFmtId="3" fontId="2" fillId="3" borderId="1" xfId="0" applyNumberFormat="1" applyFont="1" applyFill="1" applyBorder="1" applyAlignment="1">
      <alignment horizontal="right" vertical="center" wrapText="1"/>
    </xf>
    <xf numFmtId="0" fontId="1" fillId="2" borderId="3" xfId="0" applyFont="1" applyFill="1" applyBorder="1" applyAlignment="1">
      <alignment horizontal="right" vertical="center" wrapText="1"/>
    </xf>
    <xf numFmtId="20" fontId="2" fillId="2" borderId="3" xfId="0" applyNumberFormat="1" applyFont="1" applyFill="1" applyBorder="1" applyAlignment="1">
      <alignment horizontal="right" vertical="center" wrapText="1"/>
    </xf>
    <xf numFmtId="0" fontId="3" fillId="2" borderId="4" xfId="0" applyFont="1" applyFill="1" applyBorder="1" applyAlignment="1">
      <alignment vertical="center" wrapText="1"/>
    </xf>
    <xf numFmtId="20" fontId="2" fillId="2" borderId="5" xfId="0" applyNumberFormat="1" applyFont="1" applyFill="1" applyBorder="1" applyAlignment="1">
      <alignment horizontal="right" vertical="center" wrapText="1"/>
    </xf>
    <xf numFmtId="0" fontId="4" fillId="2" borderId="4" xfId="0" applyFont="1" applyFill="1" applyBorder="1" applyAlignment="1">
      <alignment vertical="center" wrapText="1"/>
    </xf>
    <xf numFmtId="3" fontId="2" fillId="2" borderId="3" xfId="0" applyNumberFormat="1" applyFont="1" applyFill="1" applyBorder="1" applyAlignment="1">
      <alignment horizontal="right" vertical="center" wrapText="1"/>
    </xf>
    <xf numFmtId="10" fontId="2" fillId="2" borderId="6" xfId="0" applyNumberFormat="1" applyFont="1" applyFill="1" applyBorder="1" applyAlignment="1">
      <alignment horizontal="right" vertical="center" wrapText="1"/>
    </xf>
    <xf numFmtId="0" fontId="1" fillId="3" borderId="7" xfId="0" applyFont="1" applyFill="1" applyBorder="1" applyAlignment="1">
      <alignment horizontal="right" vertical="center" wrapText="1"/>
    </xf>
    <xf numFmtId="10" fontId="2" fillId="3" borderId="8" xfId="0" applyNumberFormat="1" applyFont="1" applyFill="1" applyBorder="1" applyAlignment="1">
      <alignment horizontal="right" vertical="center" wrapText="1"/>
    </xf>
    <xf numFmtId="0" fontId="1" fillId="2" borderId="1" xfId="0" applyFont="1" applyFill="1" applyBorder="1" applyAlignment="1">
      <alignment horizontal="right" vertical="center" wrapText="1"/>
    </xf>
    <xf numFmtId="10" fontId="2" fillId="2" borderId="8" xfId="0" applyNumberFormat="1" applyFont="1" applyFill="1" applyBorder="1" applyAlignment="1">
      <alignment horizontal="right" vertical="center" wrapText="1"/>
    </xf>
    <xf numFmtId="0" fontId="1" fillId="2" borderId="9" xfId="0" applyFont="1" applyFill="1" applyBorder="1" applyAlignment="1">
      <alignment horizontal="right" vertical="center" wrapText="1"/>
    </xf>
    <xf numFmtId="20" fontId="2" fillId="2" borderId="10" xfId="0" applyNumberFormat="1" applyFont="1" applyFill="1" applyBorder="1" applyAlignment="1">
      <alignment horizontal="right" vertical="center" wrapText="1"/>
    </xf>
    <xf numFmtId="0" fontId="3" fillId="2" borderId="11" xfId="0" applyFont="1" applyFill="1" applyBorder="1" applyAlignment="1">
      <alignment vertical="center" wrapText="1"/>
    </xf>
    <xf numFmtId="0" fontId="1" fillId="2" borderId="7" xfId="0" applyFont="1" applyFill="1" applyBorder="1" applyAlignment="1">
      <alignment horizontal="right" vertical="center" wrapText="1"/>
    </xf>
    <xf numFmtId="0" fontId="1" fillId="2" borderId="10" xfId="0" applyFont="1" applyFill="1" applyBorder="1" applyAlignment="1">
      <alignment horizontal="right" vertical="center" wrapText="1"/>
    </xf>
    <xf numFmtId="20" fontId="2" fillId="2" borderId="12" xfId="0" applyNumberFormat="1" applyFont="1" applyFill="1" applyBorder="1" applyAlignment="1">
      <alignment horizontal="right" vertical="center" wrapText="1"/>
    </xf>
    <xf numFmtId="0" fontId="4" fillId="2" borderId="11" xfId="0" applyFont="1" applyFill="1" applyBorder="1" applyAlignment="1">
      <alignment vertical="center" wrapText="1"/>
    </xf>
    <xf numFmtId="3" fontId="2" fillId="2" borderId="10" xfId="0" applyNumberFormat="1" applyFont="1" applyFill="1" applyBorder="1" applyAlignment="1">
      <alignment horizontal="right" vertical="center" wrapText="1"/>
    </xf>
    <xf numFmtId="10" fontId="2" fillId="2" borderId="17" xfId="0" applyNumberFormat="1" applyFont="1" applyFill="1" applyBorder="1" applyAlignment="1">
      <alignment horizontal="right" vertical="center" wrapText="1"/>
    </xf>
    <xf numFmtId="17" fontId="0" fillId="0" borderId="0" xfId="0" applyNumberFormat="1"/>
    <xf numFmtId="0" fontId="2" fillId="2" borderId="1" xfId="0" applyFont="1" applyFill="1" applyBorder="1" applyAlignment="1">
      <alignment horizontal="center" vertical="center" wrapText="1"/>
    </xf>
    <xf numFmtId="0" fontId="2" fillId="2" borderId="15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2" borderId="0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2" fillId="2" borderId="13" xfId="0" applyFont="1" applyFill="1" applyBorder="1" applyAlignment="1">
      <alignment horizontal="center" vertical="center" wrapText="1"/>
    </xf>
    <xf numFmtId="0" fontId="2" fillId="3" borderId="16" xfId="0" applyFont="1" applyFill="1" applyBorder="1" applyAlignment="1">
      <alignment horizontal="center" vertical="center" wrapText="1"/>
    </xf>
    <xf numFmtId="0" fontId="2" fillId="2" borderId="16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2" fillId="2" borderId="14" xfId="0" applyFont="1" applyFill="1" applyBorder="1" applyAlignment="1">
      <alignment horizontal="center" vertical="center" wrapText="1"/>
    </xf>
    <xf numFmtId="0" fontId="2" fillId="2" borderId="12" xfId="0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16" fontId="0" fillId="0" borderId="0" xfId="0" applyNumberFormat="1"/>
    <xf numFmtId="2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6</xdr:row>
      <xdr:rowOff>0</xdr:rowOff>
    </xdr:from>
    <xdr:to>
      <xdr:col>0</xdr:col>
      <xdr:colOff>104775</xdr:colOff>
      <xdr:row>6</xdr:row>
      <xdr:rowOff>104775</xdr:rowOff>
    </xdr:to>
    <xdr:sp macro="" textlink="">
      <xdr:nvSpPr>
        <xdr:cNvPr id="1025" name="AutoShape 1">
          <a:extLst>
            <a:ext uri="{FF2B5EF4-FFF2-40B4-BE49-F238E27FC236}">
              <a16:creationId xmlns:a16="http://schemas.microsoft.com/office/drawing/2014/main" id="{56626CE5-5B03-4F11-B247-DE6DECEC266C}"/>
            </a:ext>
          </a:extLst>
        </xdr:cNvPr>
        <xdr:cNvSpPr>
          <a:spLocks noChangeAspect="1" noChangeArrowheads="1"/>
        </xdr:cNvSpPr>
      </xdr:nvSpPr>
      <xdr:spPr bwMode="auto">
        <a:xfrm>
          <a:off x="0" y="771525"/>
          <a:ext cx="104775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104775</xdr:colOff>
      <xdr:row>13</xdr:row>
      <xdr:rowOff>104775</xdr:rowOff>
    </xdr:to>
    <xdr:sp macro="" textlink="">
      <xdr:nvSpPr>
        <xdr:cNvPr id="1026" name="AutoShape 2">
          <a:extLst>
            <a:ext uri="{FF2B5EF4-FFF2-40B4-BE49-F238E27FC236}">
              <a16:creationId xmlns:a16="http://schemas.microsoft.com/office/drawing/2014/main" id="{57EFE4F8-77A9-44CC-9B54-EFE5BC0DD44F}"/>
            </a:ext>
          </a:extLst>
        </xdr:cNvPr>
        <xdr:cNvSpPr>
          <a:spLocks noChangeAspect="1" noChangeArrowheads="1"/>
        </xdr:cNvSpPr>
      </xdr:nvSpPr>
      <xdr:spPr bwMode="auto">
        <a:xfrm>
          <a:off x="0" y="2571750"/>
          <a:ext cx="104775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20</xdr:row>
      <xdr:rowOff>0</xdr:rowOff>
    </xdr:from>
    <xdr:to>
      <xdr:col>0</xdr:col>
      <xdr:colOff>104775</xdr:colOff>
      <xdr:row>20</xdr:row>
      <xdr:rowOff>104775</xdr:rowOff>
    </xdr:to>
    <xdr:sp macro="" textlink="">
      <xdr:nvSpPr>
        <xdr:cNvPr id="1027" name="AutoShape 3">
          <a:extLst>
            <a:ext uri="{FF2B5EF4-FFF2-40B4-BE49-F238E27FC236}">
              <a16:creationId xmlns:a16="http://schemas.microsoft.com/office/drawing/2014/main" id="{F51B52A1-473A-4442-919C-152F833B3EC9}"/>
            </a:ext>
          </a:extLst>
        </xdr:cNvPr>
        <xdr:cNvSpPr>
          <a:spLocks noChangeAspect="1" noChangeArrowheads="1"/>
        </xdr:cNvSpPr>
      </xdr:nvSpPr>
      <xdr:spPr bwMode="auto">
        <a:xfrm>
          <a:off x="0" y="4371975"/>
          <a:ext cx="104775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28</xdr:row>
      <xdr:rowOff>0</xdr:rowOff>
    </xdr:from>
    <xdr:to>
      <xdr:col>0</xdr:col>
      <xdr:colOff>104775</xdr:colOff>
      <xdr:row>28</xdr:row>
      <xdr:rowOff>104775</xdr:rowOff>
    </xdr:to>
    <xdr:sp macro="" textlink="">
      <xdr:nvSpPr>
        <xdr:cNvPr id="1028" name="AutoShape 4">
          <a:extLst>
            <a:ext uri="{FF2B5EF4-FFF2-40B4-BE49-F238E27FC236}">
              <a16:creationId xmlns:a16="http://schemas.microsoft.com/office/drawing/2014/main" id="{EF743B66-0D61-4C9C-9217-E17659B8C723}"/>
            </a:ext>
          </a:extLst>
        </xdr:cNvPr>
        <xdr:cNvSpPr>
          <a:spLocks noChangeAspect="1" noChangeArrowheads="1"/>
        </xdr:cNvSpPr>
      </xdr:nvSpPr>
      <xdr:spPr bwMode="auto">
        <a:xfrm>
          <a:off x="0" y="6429375"/>
          <a:ext cx="104775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36</xdr:row>
      <xdr:rowOff>0</xdr:rowOff>
    </xdr:from>
    <xdr:to>
      <xdr:col>0</xdr:col>
      <xdr:colOff>104775</xdr:colOff>
      <xdr:row>36</xdr:row>
      <xdr:rowOff>104775</xdr:rowOff>
    </xdr:to>
    <xdr:sp macro="" textlink="">
      <xdr:nvSpPr>
        <xdr:cNvPr id="1029" name="AutoShape 5">
          <a:extLst>
            <a:ext uri="{FF2B5EF4-FFF2-40B4-BE49-F238E27FC236}">
              <a16:creationId xmlns:a16="http://schemas.microsoft.com/office/drawing/2014/main" id="{7616425D-2ED9-4CC1-B8DB-F27A9BE061A4}"/>
            </a:ext>
          </a:extLst>
        </xdr:cNvPr>
        <xdr:cNvSpPr>
          <a:spLocks noChangeAspect="1" noChangeArrowheads="1"/>
        </xdr:cNvSpPr>
      </xdr:nvSpPr>
      <xdr:spPr bwMode="auto">
        <a:xfrm>
          <a:off x="0" y="8991600"/>
          <a:ext cx="104775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42</xdr:row>
      <xdr:rowOff>0</xdr:rowOff>
    </xdr:from>
    <xdr:to>
      <xdr:col>0</xdr:col>
      <xdr:colOff>104775</xdr:colOff>
      <xdr:row>42</xdr:row>
      <xdr:rowOff>104775</xdr:rowOff>
    </xdr:to>
    <xdr:sp macro="" textlink="">
      <xdr:nvSpPr>
        <xdr:cNvPr id="1030" name="AutoShape 6">
          <a:extLst>
            <a:ext uri="{FF2B5EF4-FFF2-40B4-BE49-F238E27FC236}">
              <a16:creationId xmlns:a16="http://schemas.microsoft.com/office/drawing/2014/main" id="{E95A88FF-D1E2-4BE1-8049-82752982EF6F}"/>
            </a:ext>
          </a:extLst>
        </xdr:cNvPr>
        <xdr:cNvSpPr>
          <a:spLocks noChangeAspect="1" noChangeArrowheads="1"/>
        </xdr:cNvSpPr>
      </xdr:nvSpPr>
      <xdr:spPr bwMode="auto">
        <a:xfrm>
          <a:off x="0" y="10534650"/>
          <a:ext cx="104775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49</xdr:row>
      <xdr:rowOff>0</xdr:rowOff>
    </xdr:from>
    <xdr:to>
      <xdr:col>0</xdr:col>
      <xdr:colOff>104775</xdr:colOff>
      <xdr:row>49</xdr:row>
      <xdr:rowOff>104775</xdr:rowOff>
    </xdr:to>
    <xdr:sp macro="" textlink="">
      <xdr:nvSpPr>
        <xdr:cNvPr id="1031" name="AutoShape 7">
          <a:extLst>
            <a:ext uri="{FF2B5EF4-FFF2-40B4-BE49-F238E27FC236}">
              <a16:creationId xmlns:a16="http://schemas.microsoft.com/office/drawing/2014/main" id="{960A8251-19ED-4E62-A7F0-78072F0044B1}"/>
            </a:ext>
          </a:extLst>
        </xdr:cNvPr>
        <xdr:cNvSpPr>
          <a:spLocks noChangeAspect="1" noChangeArrowheads="1"/>
        </xdr:cNvSpPr>
      </xdr:nvSpPr>
      <xdr:spPr bwMode="auto">
        <a:xfrm>
          <a:off x="0" y="12334875"/>
          <a:ext cx="104775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58</xdr:row>
      <xdr:rowOff>0</xdr:rowOff>
    </xdr:from>
    <xdr:to>
      <xdr:col>0</xdr:col>
      <xdr:colOff>104775</xdr:colOff>
      <xdr:row>58</xdr:row>
      <xdr:rowOff>104775</xdr:rowOff>
    </xdr:to>
    <xdr:sp macro="" textlink="">
      <xdr:nvSpPr>
        <xdr:cNvPr id="1032" name="AutoShape 8">
          <a:extLst>
            <a:ext uri="{FF2B5EF4-FFF2-40B4-BE49-F238E27FC236}">
              <a16:creationId xmlns:a16="http://schemas.microsoft.com/office/drawing/2014/main" id="{8D043BDB-82C2-44F8-A1F8-0229ACF41ED5}"/>
            </a:ext>
          </a:extLst>
        </xdr:cNvPr>
        <xdr:cNvSpPr>
          <a:spLocks noChangeAspect="1" noChangeArrowheads="1"/>
        </xdr:cNvSpPr>
      </xdr:nvSpPr>
      <xdr:spPr bwMode="auto">
        <a:xfrm>
          <a:off x="0" y="14754225"/>
          <a:ext cx="104775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1BCBC2-F904-40C7-9946-F2BFE8545BC1}">
  <dimension ref="A2:T65"/>
  <sheetViews>
    <sheetView tabSelected="1" workbookViewId="0">
      <selection activeCell="N8" sqref="N8"/>
    </sheetView>
  </sheetViews>
  <sheetFormatPr defaultRowHeight="15" x14ac:dyDescent="0.25"/>
  <cols>
    <col min="16" max="16" width="8.42578125" bestFit="1" customWidth="1"/>
  </cols>
  <sheetData>
    <row r="2" spans="1:20" x14ac:dyDescent="0.25">
      <c r="A2" s="31">
        <v>44136</v>
      </c>
    </row>
    <row r="3" spans="1:20" ht="15.75" thickBot="1" x14ac:dyDescent="0.3">
      <c r="A3" t="s">
        <v>74</v>
      </c>
      <c r="B3" t="s">
        <v>75</v>
      </c>
      <c r="C3" t="s">
        <v>76</v>
      </c>
      <c r="D3" t="s">
        <v>77</v>
      </c>
      <c r="E3" t="s">
        <v>76</v>
      </c>
      <c r="F3" t="s">
        <v>75</v>
      </c>
      <c r="G3" t="s">
        <v>76</v>
      </c>
      <c r="H3" t="s">
        <v>78</v>
      </c>
      <c r="I3" t="s">
        <v>79</v>
      </c>
      <c r="J3" t="s">
        <v>80</v>
      </c>
      <c r="K3" t="s">
        <v>81</v>
      </c>
    </row>
    <row r="4" spans="1:20" ht="20.25" thickBot="1" x14ac:dyDescent="0.3">
      <c r="A4" s="11">
        <v>5</v>
      </c>
      <c r="B4" s="42" t="s">
        <v>0</v>
      </c>
      <c r="C4" s="43"/>
      <c r="D4" s="12">
        <v>0.4993055555555555</v>
      </c>
      <c r="E4" s="13" t="s">
        <v>1</v>
      </c>
      <c r="F4" s="12">
        <v>0.81111111111111101</v>
      </c>
      <c r="G4" s="13" t="s">
        <v>2</v>
      </c>
      <c r="H4" s="14">
        <v>0.13749999999999998</v>
      </c>
      <c r="I4" s="15" t="s">
        <v>3</v>
      </c>
      <c r="J4" s="16">
        <v>397145</v>
      </c>
      <c r="K4" s="17">
        <v>0.82399999999999995</v>
      </c>
      <c r="M4" s="46" t="s">
        <v>153</v>
      </c>
      <c r="N4" t="s">
        <v>75</v>
      </c>
      <c r="O4" t="s">
        <v>77</v>
      </c>
      <c r="P4" t="s">
        <v>154</v>
      </c>
      <c r="Q4" t="s">
        <v>155</v>
      </c>
    </row>
    <row r="5" spans="1:20" ht="20.25" thickBot="1" x14ac:dyDescent="0.3">
      <c r="A5" s="18">
        <v>6</v>
      </c>
      <c r="B5" s="34" t="s">
        <v>0</v>
      </c>
      <c r="C5" s="35"/>
      <c r="D5" s="6">
        <v>0.53472222222222221</v>
      </c>
      <c r="E5" s="7" t="s">
        <v>4</v>
      </c>
      <c r="F5" s="6">
        <v>0.8520833333333333</v>
      </c>
      <c r="G5" s="7" t="s">
        <v>5</v>
      </c>
      <c r="H5" s="8">
        <v>0.17430555555555557</v>
      </c>
      <c r="I5" s="9" t="s">
        <v>6</v>
      </c>
      <c r="J5" s="10">
        <v>393108</v>
      </c>
      <c r="K5" s="19">
        <v>0.74</v>
      </c>
      <c r="M5" s="46">
        <v>44141</v>
      </c>
      <c r="N5" s="47">
        <v>0.86041666666666661</v>
      </c>
      <c r="O5" s="47">
        <v>0.52638888888888891</v>
      </c>
      <c r="P5" s="47">
        <f>ABS(IF(B5="-",F5,B5)-N5)</f>
        <v>8.3333333333333037E-3</v>
      </c>
      <c r="Q5" s="47">
        <f>ABS(D5-O5)</f>
        <v>8.3333333333333037E-3</v>
      </c>
      <c r="S5" s="47"/>
    </row>
    <row r="6" spans="1:20" ht="20.25" thickBot="1" x14ac:dyDescent="0.3">
      <c r="A6" s="20">
        <v>7</v>
      </c>
      <c r="B6" s="32" t="s">
        <v>0</v>
      </c>
      <c r="C6" s="33"/>
      <c r="D6" s="1">
        <v>0.56319444444444444</v>
      </c>
      <c r="E6" s="2" t="s">
        <v>7</v>
      </c>
      <c r="F6" s="1">
        <v>0.9</v>
      </c>
      <c r="G6" s="2" t="s">
        <v>8</v>
      </c>
      <c r="H6" s="3">
        <v>0.21111111111111111</v>
      </c>
      <c r="I6" s="4" t="s">
        <v>9</v>
      </c>
      <c r="J6" s="5">
        <v>388347</v>
      </c>
      <c r="K6" s="21">
        <v>0.64200000000000002</v>
      </c>
      <c r="M6" s="46">
        <v>44142</v>
      </c>
      <c r="N6" s="47">
        <v>0.90763888888888899</v>
      </c>
      <c r="O6" s="47">
        <v>0.55486111111111114</v>
      </c>
      <c r="P6" s="47">
        <f t="shared" ref="P6:P60" si="0">ABS(IF(B6="-",F6,B6)-N6)</f>
        <v>7.6388888888889728E-3</v>
      </c>
      <c r="Q6" s="47">
        <f t="shared" ref="Q6:Q60" si="1">ABS(D6-O6)</f>
        <v>8.3333333333333037E-3</v>
      </c>
    </row>
    <row r="7" spans="1:20" ht="20.25" thickBot="1" x14ac:dyDescent="0.3">
      <c r="A7" s="18">
        <v>8</v>
      </c>
      <c r="B7" s="34" t="s">
        <v>0</v>
      </c>
      <c r="C7" s="35"/>
      <c r="D7" s="6">
        <v>0.58611111111111114</v>
      </c>
      <c r="E7" s="7" t="s">
        <v>10</v>
      </c>
      <c r="F7" s="6">
        <v>0.95277777777777783</v>
      </c>
      <c r="G7" s="7" t="s">
        <v>11</v>
      </c>
      <c r="H7" s="8">
        <v>0.24791666666666667</v>
      </c>
      <c r="I7" s="9" t="s">
        <v>12</v>
      </c>
      <c r="J7" s="10">
        <v>382984</v>
      </c>
      <c r="K7" s="19">
        <v>0.53600000000000003</v>
      </c>
      <c r="M7" s="46">
        <v>44143</v>
      </c>
      <c r="N7" s="47">
        <v>0.9604166666666667</v>
      </c>
      <c r="O7" s="47">
        <v>0.57847222222222217</v>
      </c>
      <c r="P7" s="47">
        <f t="shared" si="0"/>
        <v>7.6388888888888618E-3</v>
      </c>
      <c r="Q7" s="47">
        <f t="shared" si="1"/>
        <v>7.6388888888889728E-3</v>
      </c>
      <c r="T7">
        <f>0.402*180/PI()</f>
        <v>23.032903364259095</v>
      </c>
    </row>
    <row r="8" spans="1:20" ht="20.25" thickBot="1" x14ac:dyDescent="0.3">
      <c r="A8" s="20">
        <v>9</v>
      </c>
      <c r="B8" s="32" t="s">
        <v>0</v>
      </c>
      <c r="C8" s="33"/>
      <c r="D8" s="1">
        <v>0.60347222222222219</v>
      </c>
      <c r="E8" s="2" t="s">
        <v>13</v>
      </c>
      <c r="F8" s="32" t="s">
        <v>0</v>
      </c>
      <c r="G8" s="41"/>
      <c r="H8" s="3">
        <v>0.28472222222222221</v>
      </c>
      <c r="I8" s="4" t="s">
        <v>14</v>
      </c>
      <c r="J8" s="5">
        <v>377253</v>
      </c>
      <c r="K8" s="21">
        <v>0.42399999999999999</v>
      </c>
      <c r="M8" s="46">
        <v>44144</v>
      </c>
      <c r="N8" s="47">
        <v>1.5277777777777777E-2</v>
      </c>
      <c r="O8" s="47">
        <v>0.59722222222222221</v>
      </c>
      <c r="P8" s="47" t="e">
        <f t="shared" si="0"/>
        <v>#VALUE!</v>
      </c>
      <c r="Q8" s="47">
        <f t="shared" si="1"/>
        <v>6.2499999999999778E-3</v>
      </c>
    </row>
    <row r="9" spans="1:20" ht="20.25" thickBot="1" x14ac:dyDescent="0.3">
      <c r="A9" s="18">
        <v>10</v>
      </c>
      <c r="B9" s="6">
        <v>9.0277777777777787E-3</v>
      </c>
      <c r="C9" s="7" t="s">
        <v>15</v>
      </c>
      <c r="D9" s="6">
        <v>0.61875000000000002</v>
      </c>
      <c r="E9" s="7" t="s">
        <v>16</v>
      </c>
      <c r="F9" s="34" t="s">
        <v>0</v>
      </c>
      <c r="G9" s="40"/>
      <c r="H9" s="8">
        <v>0.32013888888888892</v>
      </c>
      <c r="I9" s="9" t="s">
        <v>17</v>
      </c>
      <c r="J9" s="10">
        <v>371502</v>
      </c>
      <c r="K9" s="19">
        <v>0.313</v>
      </c>
      <c r="M9" s="46">
        <v>44145</v>
      </c>
      <c r="N9" s="47">
        <v>1.5277777777777777E-2</v>
      </c>
      <c r="O9" s="47">
        <v>0.61319444444444449</v>
      </c>
      <c r="P9" s="47">
        <f t="shared" si="0"/>
        <v>6.2499999999999986E-3</v>
      </c>
      <c r="Q9" s="47">
        <f t="shared" si="1"/>
        <v>5.5555555555555358E-3</v>
      </c>
    </row>
    <row r="10" spans="1:20" ht="20.25" thickBot="1" x14ac:dyDescent="0.3">
      <c r="A10" s="20">
        <v>11</v>
      </c>
      <c r="B10" s="1">
        <v>6.6666666666666666E-2</v>
      </c>
      <c r="C10" s="2" t="s">
        <v>18</v>
      </c>
      <c r="D10" s="1">
        <v>0.63194444444444442</v>
      </c>
      <c r="E10" s="2" t="s">
        <v>19</v>
      </c>
      <c r="F10" s="32" t="s">
        <v>0</v>
      </c>
      <c r="G10" s="41"/>
      <c r="H10" s="3">
        <v>0.35555555555555557</v>
      </c>
      <c r="I10" s="4" t="s">
        <v>20</v>
      </c>
      <c r="J10" s="5">
        <v>366184</v>
      </c>
      <c r="K10" s="21">
        <v>0.20799999999999999</v>
      </c>
      <c r="M10" s="46">
        <v>44146</v>
      </c>
      <c r="N10" s="47">
        <v>7.2222222222222229E-2</v>
      </c>
      <c r="O10" s="47">
        <v>0.62708333333333333</v>
      </c>
      <c r="P10" s="47">
        <f t="shared" si="0"/>
        <v>5.5555555555555636E-3</v>
      </c>
      <c r="Q10" s="47">
        <f t="shared" si="1"/>
        <v>4.8611111111110938E-3</v>
      </c>
    </row>
    <row r="11" spans="1:20" ht="20.25" thickBot="1" x14ac:dyDescent="0.3">
      <c r="A11" s="18">
        <v>12</v>
      </c>
      <c r="B11" s="6">
        <v>0.12569444444444444</v>
      </c>
      <c r="C11" s="7" t="s">
        <v>21</v>
      </c>
      <c r="D11" s="6">
        <v>0.64513888888888882</v>
      </c>
      <c r="E11" s="7" t="s">
        <v>22</v>
      </c>
      <c r="F11" s="34" t="s">
        <v>0</v>
      </c>
      <c r="G11" s="40"/>
      <c r="H11" s="8">
        <v>0.39166666666666666</v>
      </c>
      <c r="I11" s="9" t="s">
        <v>23</v>
      </c>
      <c r="J11" s="10">
        <v>361814</v>
      </c>
      <c r="K11" s="19">
        <v>0.11799999999999999</v>
      </c>
      <c r="M11" s="46">
        <v>44147</v>
      </c>
      <c r="N11" s="47">
        <v>0.13055555555555556</v>
      </c>
      <c r="O11" s="47">
        <v>0.64097222222222217</v>
      </c>
      <c r="P11" s="47">
        <f t="shared" si="0"/>
        <v>4.8611111111111216E-3</v>
      </c>
      <c r="Q11" s="47">
        <f t="shared" si="1"/>
        <v>4.1666666666666519E-3</v>
      </c>
    </row>
    <row r="12" spans="1:20" ht="20.25" thickBot="1" x14ac:dyDescent="0.3">
      <c r="A12" s="20">
        <v>13</v>
      </c>
      <c r="B12" s="1">
        <v>0.18680555555555556</v>
      </c>
      <c r="C12" s="2" t="s">
        <v>24</v>
      </c>
      <c r="D12" s="1">
        <v>0.65833333333333333</v>
      </c>
      <c r="E12" s="2" t="s">
        <v>25</v>
      </c>
      <c r="F12" s="32" t="s">
        <v>0</v>
      </c>
      <c r="G12" s="41"/>
      <c r="H12" s="3">
        <v>0.42777777777777781</v>
      </c>
      <c r="I12" s="4" t="s">
        <v>26</v>
      </c>
      <c r="J12" s="5">
        <v>358898</v>
      </c>
      <c r="K12" s="21">
        <v>4.9000000000000002E-2</v>
      </c>
      <c r="M12" s="46">
        <v>44148</v>
      </c>
      <c r="N12" s="47">
        <v>0.19097222222222221</v>
      </c>
      <c r="O12" s="47">
        <v>0.65486111111111112</v>
      </c>
      <c r="P12" s="47">
        <f t="shared" si="0"/>
        <v>4.1666666666666519E-3</v>
      </c>
      <c r="Q12" s="47">
        <f t="shared" si="1"/>
        <v>3.4722222222222099E-3</v>
      </c>
    </row>
    <row r="13" spans="1:20" ht="20.25" thickBot="1" x14ac:dyDescent="0.3">
      <c r="A13" s="18">
        <v>14</v>
      </c>
      <c r="B13" s="6">
        <v>0.24861111111111112</v>
      </c>
      <c r="C13" s="7" t="s">
        <v>27</v>
      </c>
      <c r="D13" s="6">
        <v>0.67361111111111116</v>
      </c>
      <c r="E13" s="7" t="s">
        <v>28</v>
      </c>
      <c r="F13" s="34" t="s">
        <v>0</v>
      </c>
      <c r="G13" s="40"/>
      <c r="H13" s="8">
        <v>0.46597222222222223</v>
      </c>
      <c r="I13" s="9" t="s">
        <v>29</v>
      </c>
      <c r="J13" s="10">
        <v>357837</v>
      </c>
      <c r="K13" s="19">
        <v>8.9999999999999993E-3</v>
      </c>
      <c r="M13" s="46">
        <v>44149</v>
      </c>
      <c r="N13" s="47">
        <v>0.25208333333333333</v>
      </c>
      <c r="O13" s="47">
        <v>0.67013888888888884</v>
      </c>
      <c r="P13" s="47">
        <f t="shared" si="0"/>
        <v>3.4722222222222099E-3</v>
      </c>
      <c r="Q13" s="47">
        <f t="shared" si="1"/>
        <v>3.4722222222223209E-3</v>
      </c>
    </row>
    <row r="14" spans="1:20" ht="20.25" thickBot="1" x14ac:dyDescent="0.3">
      <c r="A14" s="20">
        <v>15</v>
      </c>
      <c r="B14" s="1">
        <v>0.31180555555555556</v>
      </c>
      <c r="C14" s="2" t="s">
        <v>30</v>
      </c>
      <c r="D14" s="1">
        <v>0.69166666666666676</v>
      </c>
      <c r="E14" s="2" t="s">
        <v>31</v>
      </c>
      <c r="F14" s="32" t="s">
        <v>0</v>
      </c>
      <c r="G14" s="41"/>
      <c r="H14" s="3">
        <v>0.50555555555555554</v>
      </c>
      <c r="I14" s="4" t="s">
        <v>32</v>
      </c>
      <c r="J14" s="5">
        <v>358837</v>
      </c>
      <c r="K14" s="21">
        <v>2E-3</v>
      </c>
      <c r="M14" s="46">
        <v>44150</v>
      </c>
      <c r="N14" s="47">
        <v>0.31458333333333333</v>
      </c>
      <c r="O14" s="47">
        <v>0.68888888888888899</v>
      </c>
      <c r="P14" s="47">
        <f t="shared" si="0"/>
        <v>2.7777777777777679E-3</v>
      </c>
      <c r="Q14" s="47">
        <f t="shared" si="1"/>
        <v>2.7777777777777679E-3</v>
      </c>
    </row>
    <row r="15" spans="1:20" ht="20.25" thickBot="1" x14ac:dyDescent="0.3">
      <c r="A15" s="18">
        <v>16</v>
      </c>
      <c r="B15" s="6">
        <v>0.37361111111111112</v>
      </c>
      <c r="C15" s="7" t="s">
        <v>33</v>
      </c>
      <c r="D15" s="6">
        <v>0.71597222222222223</v>
      </c>
      <c r="E15" s="7" t="s">
        <v>34</v>
      </c>
      <c r="F15" s="34" t="s">
        <v>0</v>
      </c>
      <c r="G15" s="40"/>
      <c r="H15" s="8">
        <v>0.54722222222222217</v>
      </c>
      <c r="I15" s="9" t="s">
        <v>35</v>
      </c>
      <c r="J15" s="10">
        <v>361847</v>
      </c>
      <c r="K15" s="19">
        <v>2.5999999999999999E-2</v>
      </c>
      <c r="M15" s="46">
        <v>44151</v>
      </c>
      <c r="N15" s="47">
        <v>0.3756944444444445</v>
      </c>
      <c r="O15" s="47">
        <v>0.71388888888888891</v>
      </c>
      <c r="P15" s="47">
        <f t="shared" si="0"/>
        <v>2.0833333333333814E-3</v>
      </c>
      <c r="Q15" s="47">
        <f t="shared" si="1"/>
        <v>2.0833333333333259E-3</v>
      </c>
    </row>
    <row r="16" spans="1:20" ht="20.25" thickBot="1" x14ac:dyDescent="0.3">
      <c r="A16" s="20">
        <v>17</v>
      </c>
      <c r="B16" s="1">
        <v>0.43055555555555558</v>
      </c>
      <c r="C16" s="2" t="s">
        <v>36</v>
      </c>
      <c r="D16" s="1">
        <v>0.74791666666666667</v>
      </c>
      <c r="E16" s="2" t="s">
        <v>37</v>
      </c>
      <c r="F16" s="32" t="s">
        <v>0</v>
      </c>
      <c r="G16" s="41"/>
      <c r="H16" s="3">
        <v>0.59027777777777779</v>
      </c>
      <c r="I16" s="4" t="s">
        <v>38</v>
      </c>
      <c r="J16" s="5">
        <v>366555</v>
      </c>
      <c r="K16" s="21">
        <v>0.08</v>
      </c>
      <c r="M16" s="46">
        <v>44152</v>
      </c>
      <c r="N16" s="47">
        <v>0.43194444444444446</v>
      </c>
      <c r="O16" s="47">
        <v>0.74583333333333324</v>
      </c>
      <c r="P16" s="47">
        <f t="shared" si="0"/>
        <v>1.388888888888884E-3</v>
      </c>
      <c r="Q16" s="47">
        <f t="shared" si="1"/>
        <v>2.083333333333437E-3</v>
      </c>
    </row>
    <row r="17" spans="1:17" ht="20.25" thickBot="1" x14ac:dyDescent="0.3">
      <c r="A17" s="18">
        <v>18</v>
      </c>
      <c r="B17" s="6">
        <v>0.4777777777777778</v>
      </c>
      <c r="C17" s="7" t="s">
        <v>39</v>
      </c>
      <c r="D17" s="6">
        <v>0.78819444444444453</v>
      </c>
      <c r="E17" s="7" t="s">
        <v>40</v>
      </c>
      <c r="F17" s="34" t="s">
        <v>0</v>
      </c>
      <c r="G17" s="40"/>
      <c r="H17" s="8">
        <v>0.63263888888888886</v>
      </c>
      <c r="I17" s="9" t="s">
        <v>41</v>
      </c>
      <c r="J17" s="10">
        <v>372454</v>
      </c>
      <c r="K17" s="19">
        <v>0.157</v>
      </c>
      <c r="M17" s="46">
        <v>44153</v>
      </c>
      <c r="N17" s="47">
        <v>0.47916666666666669</v>
      </c>
      <c r="O17" s="47">
        <v>0.78611111111111109</v>
      </c>
      <c r="P17" s="47">
        <f t="shared" si="0"/>
        <v>1.388888888888884E-3</v>
      </c>
      <c r="Q17" s="47">
        <f t="shared" si="1"/>
        <v>2.083333333333437E-3</v>
      </c>
    </row>
    <row r="18" spans="1:17" ht="20.25" thickBot="1" x14ac:dyDescent="0.3">
      <c r="A18" s="20">
        <v>19</v>
      </c>
      <c r="B18" s="1">
        <v>0.51458333333333328</v>
      </c>
      <c r="C18" s="2" t="s">
        <v>42</v>
      </c>
      <c r="D18" s="1">
        <v>0.8354166666666667</v>
      </c>
      <c r="E18" s="2" t="s">
        <v>43</v>
      </c>
      <c r="F18" s="32" t="s">
        <v>0</v>
      </c>
      <c r="G18" s="41"/>
      <c r="H18" s="3">
        <v>0.67361111111111116</v>
      </c>
      <c r="I18" s="4" t="s">
        <v>44</v>
      </c>
      <c r="J18" s="5">
        <v>378944</v>
      </c>
      <c r="K18" s="21">
        <v>0.25</v>
      </c>
      <c r="M18" s="46">
        <v>44154</v>
      </c>
      <c r="N18" s="47">
        <v>0.51597222222222217</v>
      </c>
      <c r="O18" s="47">
        <v>0.83333333333333337</v>
      </c>
      <c r="P18" s="47">
        <f t="shared" si="0"/>
        <v>1.388888888888884E-3</v>
      </c>
      <c r="Q18" s="47">
        <f t="shared" si="1"/>
        <v>2.0833333333333259E-3</v>
      </c>
    </row>
    <row r="19" spans="1:17" ht="20.25" thickBot="1" x14ac:dyDescent="0.3">
      <c r="A19" s="18">
        <v>20</v>
      </c>
      <c r="B19" s="6">
        <v>0.54097222222222219</v>
      </c>
      <c r="C19" s="7" t="s">
        <v>45</v>
      </c>
      <c r="D19" s="6">
        <v>0.88611111111111107</v>
      </c>
      <c r="E19" s="7" t="s">
        <v>46</v>
      </c>
      <c r="F19" s="34" t="s">
        <v>0</v>
      </c>
      <c r="G19" s="40"/>
      <c r="H19" s="8">
        <v>0.71111111111111114</v>
      </c>
      <c r="I19" s="9" t="s">
        <v>47</v>
      </c>
      <c r="J19" s="10">
        <v>385436</v>
      </c>
      <c r="K19" s="19">
        <v>0.35199999999999998</v>
      </c>
      <c r="M19" s="46">
        <v>44155</v>
      </c>
      <c r="N19" s="47">
        <v>0.54236111111111118</v>
      </c>
      <c r="O19" s="47">
        <v>0.8847222222222223</v>
      </c>
      <c r="P19" s="47">
        <f t="shared" si="0"/>
        <v>1.388888888888995E-3</v>
      </c>
      <c r="Q19" s="47">
        <f t="shared" si="1"/>
        <v>1.3888888888887729E-3</v>
      </c>
    </row>
    <row r="20" spans="1:17" ht="20.25" thickBot="1" x14ac:dyDescent="0.3">
      <c r="A20" s="20">
        <v>21</v>
      </c>
      <c r="B20" s="1">
        <v>0.56041666666666667</v>
      </c>
      <c r="C20" s="2" t="s">
        <v>48</v>
      </c>
      <c r="D20" s="1">
        <v>0.93819444444444444</v>
      </c>
      <c r="E20" s="2" t="s">
        <v>49</v>
      </c>
      <c r="F20" s="32" t="s">
        <v>0</v>
      </c>
      <c r="G20" s="41"/>
      <c r="H20" s="3">
        <v>0.74583333333333324</v>
      </c>
      <c r="I20" s="4" t="s">
        <v>32</v>
      </c>
      <c r="J20" s="5">
        <v>391437</v>
      </c>
      <c r="K20" s="21">
        <v>0.45600000000000002</v>
      </c>
      <c r="M20" s="46">
        <v>44156</v>
      </c>
      <c r="N20" s="47">
        <v>0.5625</v>
      </c>
      <c r="O20" s="47">
        <v>0.93611111111111101</v>
      </c>
      <c r="P20" s="47">
        <f t="shared" si="0"/>
        <v>2.0833333333333259E-3</v>
      </c>
      <c r="Q20" s="47">
        <f t="shared" si="1"/>
        <v>2.083333333333437E-3</v>
      </c>
    </row>
    <row r="21" spans="1:17" ht="20.25" thickBot="1" x14ac:dyDescent="0.3">
      <c r="A21" s="18">
        <v>22</v>
      </c>
      <c r="B21" s="6">
        <v>0.5756944444444444</v>
      </c>
      <c r="C21" s="7" t="s">
        <v>50</v>
      </c>
      <c r="D21" s="6">
        <v>0.98819444444444438</v>
      </c>
      <c r="E21" s="7" t="s">
        <v>51</v>
      </c>
      <c r="F21" s="34" t="s">
        <v>0</v>
      </c>
      <c r="G21" s="40"/>
      <c r="H21" s="8">
        <v>0.77847222222222223</v>
      </c>
      <c r="I21" s="9" t="s">
        <v>52</v>
      </c>
      <c r="J21" s="10">
        <v>396586</v>
      </c>
      <c r="K21" s="19">
        <v>0.55900000000000005</v>
      </c>
      <c r="M21" s="46">
        <v>44157</v>
      </c>
      <c r="N21" s="47">
        <v>0.57777777777777783</v>
      </c>
      <c r="O21" s="47">
        <v>0.98611111111111116</v>
      </c>
      <c r="P21" s="47">
        <f t="shared" si="0"/>
        <v>2.083333333333437E-3</v>
      </c>
      <c r="Q21" s="47">
        <f t="shared" si="1"/>
        <v>2.0833333333332149E-3</v>
      </c>
    </row>
    <row r="22" spans="1:17" ht="20.25" thickBot="1" x14ac:dyDescent="0.3">
      <c r="A22" s="20">
        <v>23</v>
      </c>
      <c r="B22" s="1">
        <v>0.58750000000000002</v>
      </c>
      <c r="C22" s="2" t="s">
        <v>53</v>
      </c>
      <c r="D22" s="32" t="s">
        <v>0</v>
      </c>
      <c r="E22" s="33"/>
      <c r="F22" s="32" t="s">
        <v>0</v>
      </c>
      <c r="G22" s="41"/>
      <c r="H22" s="3">
        <v>0.80833333333333324</v>
      </c>
      <c r="I22" s="4" t="s">
        <v>54</v>
      </c>
      <c r="J22" s="5">
        <v>400656</v>
      </c>
      <c r="K22" s="21">
        <v>0.65600000000000003</v>
      </c>
      <c r="M22" s="46">
        <v>44158</v>
      </c>
      <c r="N22" s="47">
        <v>0.58958333333333335</v>
      </c>
      <c r="O22" s="47">
        <v>0.9868055555555556</v>
      </c>
      <c r="P22" s="47">
        <f t="shared" si="0"/>
        <v>2.0833333333333259E-3</v>
      </c>
      <c r="Q22" s="47" t="e">
        <f t="shared" si="1"/>
        <v>#VALUE!</v>
      </c>
    </row>
    <row r="23" spans="1:17" ht="20.25" thickBot="1" x14ac:dyDescent="0.3">
      <c r="A23" s="18">
        <v>24</v>
      </c>
      <c r="B23" s="34" t="s">
        <v>0</v>
      </c>
      <c r="C23" s="35"/>
      <c r="D23" s="6">
        <v>3.6805555555555557E-2</v>
      </c>
      <c r="E23" s="7" t="s">
        <v>25</v>
      </c>
      <c r="F23" s="6">
        <v>0.59791666666666665</v>
      </c>
      <c r="G23" s="7" t="s">
        <v>24</v>
      </c>
      <c r="H23" s="8">
        <v>0.83680555555555547</v>
      </c>
      <c r="I23" s="9" t="s">
        <v>55</v>
      </c>
      <c r="J23" s="10">
        <v>403547</v>
      </c>
      <c r="K23" s="19">
        <v>0.746</v>
      </c>
      <c r="M23" s="46">
        <v>44159</v>
      </c>
      <c r="N23" s="47">
        <v>0.60069444444444442</v>
      </c>
      <c r="O23" s="47">
        <v>3.4722222222222224E-2</v>
      </c>
      <c r="P23" s="47">
        <f t="shared" si="0"/>
        <v>2.7777777777777679E-3</v>
      </c>
      <c r="Q23" s="47">
        <f t="shared" si="1"/>
        <v>2.0833333333333329E-3</v>
      </c>
    </row>
    <row r="24" spans="1:17" ht="20.25" thickBot="1" x14ac:dyDescent="0.3">
      <c r="A24" s="20">
        <v>25</v>
      </c>
      <c r="B24" s="32" t="s">
        <v>0</v>
      </c>
      <c r="C24" s="33"/>
      <c r="D24" s="1">
        <v>8.4722222222222213E-2</v>
      </c>
      <c r="E24" s="2" t="s">
        <v>56</v>
      </c>
      <c r="F24" s="1">
        <v>0.60763888888888895</v>
      </c>
      <c r="G24" s="2" t="s">
        <v>57</v>
      </c>
      <c r="H24" s="3">
        <v>0.86458333333333337</v>
      </c>
      <c r="I24" s="4" t="s">
        <v>58</v>
      </c>
      <c r="J24" s="5">
        <v>405263</v>
      </c>
      <c r="K24" s="21">
        <v>0.82599999999999996</v>
      </c>
      <c r="M24" s="46">
        <v>44160</v>
      </c>
      <c r="N24" s="47">
        <v>0.61111111111111105</v>
      </c>
      <c r="O24" s="47">
        <v>8.1944444444444445E-2</v>
      </c>
      <c r="P24" s="47">
        <f t="shared" si="0"/>
        <v>3.4722222222220989E-3</v>
      </c>
      <c r="Q24" s="47">
        <f t="shared" si="1"/>
        <v>2.7777777777777679E-3</v>
      </c>
    </row>
    <row r="25" spans="1:17" ht="20.25" thickBot="1" x14ac:dyDescent="0.3">
      <c r="A25" s="18">
        <v>26</v>
      </c>
      <c r="B25" s="34" t="s">
        <v>0</v>
      </c>
      <c r="C25" s="35"/>
      <c r="D25" s="6">
        <v>0.13125000000000001</v>
      </c>
      <c r="E25" s="7" t="s">
        <v>59</v>
      </c>
      <c r="F25" s="6">
        <v>0.61736111111111114</v>
      </c>
      <c r="G25" s="7" t="s">
        <v>60</v>
      </c>
      <c r="H25" s="8">
        <v>0.8930555555555556</v>
      </c>
      <c r="I25" s="9" t="s">
        <v>61</v>
      </c>
      <c r="J25" s="10">
        <v>405887</v>
      </c>
      <c r="K25" s="19">
        <v>0.89200000000000002</v>
      </c>
      <c r="M25" s="46">
        <v>44161</v>
      </c>
      <c r="N25" s="47">
        <v>0.62083333333333335</v>
      </c>
      <c r="O25" s="47">
        <v>0.1277777777777778</v>
      </c>
      <c r="P25" s="47">
        <f t="shared" si="0"/>
        <v>3.4722222222222099E-3</v>
      </c>
      <c r="Q25" s="47">
        <f t="shared" si="1"/>
        <v>3.4722222222222099E-3</v>
      </c>
    </row>
    <row r="26" spans="1:17" ht="20.25" thickBot="1" x14ac:dyDescent="0.3">
      <c r="A26" s="20">
        <v>27</v>
      </c>
      <c r="B26" s="32" t="s">
        <v>0</v>
      </c>
      <c r="C26" s="33"/>
      <c r="D26" s="1">
        <v>0.17847222222222223</v>
      </c>
      <c r="E26" s="2" t="s">
        <v>62</v>
      </c>
      <c r="F26" s="1">
        <v>0.62777777777777777</v>
      </c>
      <c r="G26" s="2" t="s">
        <v>63</v>
      </c>
      <c r="H26" s="3">
        <v>0.92152777777777783</v>
      </c>
      <c r="I26" s="4" t="s">
        <v>64</v>
      </c>
      <c r="J26" s="5">
        <v>405548</v>
      </c>
      <c r="K26" s="21">
        <v>0.94499999999999995</v>
      </c>
      <c r="M26" s="46">
        <v>44162</v>
      </c>
      <c r="N26" s="47">
        <v>0.63194444444444442</v>
      </c>
      <c r="O26" s="47">
        <v>0.17430555555555557</v>
      </c>
      <c r="P26" s="47">
        <f t="shared" si="0"/>
        <v>4.1666666666666519E-3</v>
      </c>
      <c r="Q26" s="47">
        <f t="shared" si="1"/>
        <v>4.1666666666666519E-3</v>
      </c>
    </row>
    <row r="27" spans="1:17" ht="20.25" thickBot="1" x14ac:dyDescent="0.3">
      <c r="A27" s="18">
        <v>28</v>
      </c>
      <c r="B27" s="34" t="s">
        <v>0</v>
      </c>
      <c r="C27" s="35"/>
      <c r="D27" s="6">
        <v>0.22569444444444445</v>
      </c>
      <c r="E27" s="7" t="s">
        <v>65</v>
      </c>
      <c r="F27" s="6">
        <v>0.63958333333333328</v>
      </c>
      <c r="G27" s="7" t="s">
        <v>66</v>
      </c>
      <c r="H27" s="8">
        <v>0.95138888888888884</v>
      </c>
      <c r="I27" s="9" t="s">
        <v>67</v>
      </c>
      <c r="J27" s="10">
        <v>404402</v>
      </c>
      <c r="K27" s="19">
        <v>0.98099999999999998</v>
      </c>
      <c r="M27" s="46">
        <v>44163</v>
      </c>
      <c r="N27" s="47">
        <v>0.64444444444444449</v>
      </c>
      <c r="O27" s="47">
        <v>0.22083333333333333</v>
      </c>
      <c r="P27" s="47">
        <f t="shared" si="0"/>
        <v>4.8611111111112049E-3</v>
      </c>
      <c r="Q27" s="47">
        <f t="shared" si="1"/>
        <v>4.8611111111111216E-3</v>
      </c>
    </row>
    <row r="28" spans="1:17" ht="20.25" thickBot="1" x14ac:dyDescent="0.3">
      <c r="A28" s="20">
        <v>29</v>
      </c>
      <c r="B28" s="32" t="s">
        <v>0</v>
      </c>
      <c r="C28" s="33"/>
      <c r="D28" s="1">
        <v>0.27361111111111108</v>
      </c>
      <c r="E28" s="2" t="s">
        <v>68</v>
      </c>
      <c r="F28" s="1">
        <v>0.65347222222222223</v>
      </c>
      <c r="G28" s="2" t="s">
        <v>69</v>
      </c>
      <c r="H28" s="3">
        <v>0.98263888888888884</v>
      </c>
      <c r="I28" s="4" t="s">
        <v>70</v>
      </c>
      <c r="J28" s="5">
        <v>402599</v>
      </c>
      <c r="K28" s="21">
        <v>0.998</v>
      </c>
      <c r="M28" s="46">
        <v>44164</v>
      </c>
      <c r="N28" s="47">
        <v>0.65972222222222221</v>
      </c>
      <c r="O28" s="47">
        <v>0.26805555555555555</v>
      </c>
      <c r="P28" s="47">
        <f t="shared" si="0"/>
        <v>6.2499999999999778E-3</v>
      </c>
      <c r="Q28" s="47">
        <f t="shared" si="1"/>
        <v>5.5555555555555358E-3</v>
      </c>
    </row>
    <row r="29" spans="1:17" ht="28.5" customHeight="1" thickBot="1" x14ac:dyDescent="0.3">
      <c r="A29" s="22">
        <v>30</v>
      </c>
      <c r="B29" s="38" t="s">
        <v>0</v>
      </c>
      <c r="C29" s="39"/>
      <c r="D29" s="23">
        <v>0.32222222222222224</v>
      </c>
      <c r="E29" s="24" t="s">
        <v>71</v>
      </c>
      <c r="F29" s="23">
        <v>0.67152777777777783</v>
      </c>
      <c r="G29" s="24" t="s">
        <v>72</v>
      </c>
      <c r="H29" s="44" t="s">
        <v>73</v>
      </c>
      <c r="I29" s="45"/>
      <c r="J29" s="45"/>
      <c r="K29" s="39"/>
      <c r="M29" s="46">
        <v>44165</v>
      </c>
      <c r="N29" s="47">
        <v>0.64652777777777781</v>
      </c>
      <c r="O29" s="47">
        <v>0.31597222222222221</v>
      </c>
      <c r="P29" s="47">
        <f t="shared" si="0"/>
        <v>2.5000000000000022E-2</v>
      </c>
      <c r="Q29" s="47">
        <f t="shared" si="1"/>
        <v>6.2500000000000333E-3</v>
      </c>
    </row>
    <row r="30" spans="1:17" ht="20.25" thickBot="1" x14ac:dyDescent="0.3">
      <c r="A30" s="11">
        <v>1</v>
      </c>
      <c r="B30" s="42" t="s">
        <v>0</v>
      </c>
      <c r="C30" s="43"/>
      <c r="D30" s="12">
        <v>0.36944444444444446</v>
      </c>
      <c r="E30" s="13" t="s">
        <v>7</v>
      </c>
      <c r="F30" s="12">
        <v>0.69513888888888886</v>
      </c>
      <c r="G30" s="13" t="s">
        <v>5</v>
      </c>
      <c r="H30" s="14">
        <v>1.5972222222222224E-2</v>
      </c>
      <c r="I30" s="15" t="s">
        <v>82</v>
      </c>
      <c r="J30" s="16">
        <v>400270</v>
      </c>
      <c r="K30" s="17">
        <v>0.996</v>
      </c>
      <c r="M30" s="46">
        <v>44166</v>
      </c>
      <c r="N30" s="47">
        <v>0.70277777777777783</v>
      </c>
      <c r="O30" s="47">
        <v>0.36180555555555555</v>
      </c>
      <c r="P30" s="47">
        <f t="shared" si="0"/>
        <v>7.6388888888889728E-3</v>
      </c>
      <c r="Q30" s="47">
        <f t="shared" si="1"/>
        <v>7.6388888888889173E-3</v>
      </c>
    </row>
    <row r="31" spans="1:17" ht="20.25" thickBot="1" x14ac:dyDescent="0.3">
      <c r="A31" s="18">
        <v>2</v>
      </c>
      <c r="B31" s="34" t="s">
        <v>0</v>
      </c>
      <c r="C31" s="35"/>
      <c r="D31" s="6">
        <v>0.41250000000000003</v>
      </c>
      <c r="E31" s="7" t="s">
        <v>4</v>
      </c>
      <c r="F31" s="6">
        <v>0.72569444444444453</v>
      </c>
      <c r="G31" s="7" t="s">
        <v>2</v>
      </c>
      <c r="H31" s="8">
        <v>5.1388888888888894E-2</v>
      </c>
      <c r="I31" s="9" t="s">
        <v>83</v>
      </c>
      <c r="J31" s="10">
        <v>397505</v>
      </c>
      <c r="K31" s="19">
        <v>0.97399999999999998</v>
      </c>
      <c r="M31" s="46">
        <v>44167</v>
      </c>
      <c r="N31" s="47">
        <v>0.73402777777777783</v>
      </c>
      <c r="O31" s="47">
        <v>0.40486111111111112</v>
      </c>
      <c r="P31" s="47">
        <f t="shared" si="0"/>
        <v>8.3333333333333037E-3</v>
      </c>
      <c r="Q31" s="47">
        <f t="shared" si="1"/>
        <v>7.6388888888889173E-3</v>
      </c>
    </row>
    <row r="32" spans="1:17" ht="20.25" thickBot="1" x14ac:dyDescent="0.3">
      <c r="A32" s="20">
        <v>3</v>
      </c>
      <c r="B32" s="32" t="s">
        <v>0</v>
      </c>
      <c r="C32" s="33"/>
      <c r="D32" s="1">
        <v>0.45069444444444445</v>
      </c>
      <c r="E32" s="2" t="s">
        <v>1</v>
      </c>
      <c r="F32" s="1">
        <v>0.76388888888888884</v>
      </c>
      <c r="G32" s="2" t="s">
        <v>84</v>
      </c>
      <c r="H32" s="3">
        <v>8.819444444444445E-2</v>
      </c>
      <c r="I32" s="4" t="s">
        <v>85</v>
      </c>
      <c r="J32" s="5">
        <v>394361</v>
      </c>
      <c r="K32" s="21">
        <v>0.93200000000000005</v>
      </c>
      <c r="M32" s="46">
        <v>44168</v>
      </c>
      <c r="N32" s="47">
        <v>0.77222222222222225</v>
      </c>
      <c r="O32" s="47">
        <v>0.44236111111111115</v>
      </c>
      <c r="P32" s="47">
        <f t="shared" si="0"/>
        <v>8.3333333333334147E-3</v>
      </c>
      <c r="Q32" s="47">
        <f t="shared" si="1"/>
        <v>8.3333333333333037E-3</v>
      </c>
    </row>
    <row r="33" spans="1:17" ht="20.25" thickBot="1" x14ac:dyDescent="0.3">
      <c r="A33" s="18">
        <v>4</v>
      </c>
      <c r="B33" s="34" t="s">
        <v>0</v>
      </c>
      <c r="C33" s="35"/>
      <c r="D33" s="6">
        <v>0.48125000000000001</v>
      </c>
      <c r="E33" s="7" t="s">
        <v>86</v>
      </c>
      <c r="F33" s="6">
        <v>0.80972222222222223</v>
      </c>
      <c r="G33" s="7" t="s">
        <v>87</v>
      </c>
      <c r="H33" s="8">
        <v>0.125</v>
      </c>
      <c r="I33" s="9" t="s">
        <v>88</v>
      </c>
      <c r="J33" s="10">
        <v>390863</v>
      </c>
      <c r="K33" s="19">
        <v>0.87</v>
      </c>
      <c r="M33" s="46">
        <v>44169</v>
      </c>
      <c r="N33" s="47">
        <v>0.81805555555555554</v>
      </c>
      <c r="O33" s="47">
        <v>0.47291666666666665</v>
      </c>
      <c r="P33" s="47">
        <f t="shared" si="0"/>
        <v>8.3333333333333037E-3</v>
      </c>
      <c r="Q33" s="47">
        <f t="shared" si="1"/>
        <v>8.3333333333333592E-3</v>
      </c>
    </row>
    <row r="34" spans="1:17" ht="20.25" thickBot="1" x14ac:dyDescent="0.3">
      <c r="A34" s="20">
        <v>5</v>
      </c>
      <c r="B34" s="32" t="s">
        <v>0</v>
      </c>
      <c r="C34" s="33"/>
      <c r="D34" s="1">
        <v>0.50555555555555554</v>
      </c>
      <c r="E34" s="2" t="s">
        <v>89</v>
      </c>
      <c r="F34" s="1">
        <v>0.86111111111111116</v>
      </c>
      <c r="G34" s="2" t="s">
        <v>90</v>
      </c>
      <c r="H34" s="3">
        <v>0.16180555555555556</v>
      </c>
      <c r="I34" s="4" t="s">
        <v>91</v>
      </c>
      <c r="J34" s="5">
        <v>387028</v>
      </c>
      <c r="K34" s="21">
        <v>0.79</v>
      </c>
      <c r="M34" s="46">
        <v>44170</v>
      </c>
      <c r="N34" s="47">
        <v>0.86805555555555547</v>
      </c>
      <c r="O34" s="47">
        <v>0.49791666666666662</v>
      </c>
      <c r="P34" s="47">
        <f t="shared" si="0"/>
        <v>6.9444444444443088E-3</v>
      </c>
      <c r="Q34" s="47">
        <f t="shared" si="1"/>
        <v>7.6388888888889173E-3</v>
      </c>
    </row>
    <row r="35" spans="1:17" ht="20.25" thickBot="1" x14ac:dyDescent="0.3">
      <c r="A35" s="18">
        <v>6</v>
      </c>
      <c r="B35" s="34" t="s">
        <v>0</v>
      </c>
      <c r="C35" s="35"/>
      <c r="D35" s="6">
        <v>0.52430555555555558</v>
      </c>
      <c r="E35" s="7" t="s">
        <v>92</v>
      </c>
      <c r="F35" s="6">
        <v>0.9145833333333333</v>
      </c>
      <c r="G35" s="7" t="s">
        <v>93</v>
      </c>
      <c r="H35" s="8">
        <v>0.19791666666666666</v>
      </c>
      <c r="I35" s="9" t="s">
        <v>94</v>
      </c>
      <c r="J35" s="10">
        <v>382890</v>
      </c>
      <c r="K35" s="19">
        <v>0.69499999999999995</v>
      </c>
      <c r="M35" s="46">
        <v>44171</v>
      </c>
      <c r="N35" s="47">
        <v>0.92152777777777783</v>
      </c>
      <c r="O35" s="47">
        <v>0.51736111111111105</v>
      </c>
      <c r="P35" s="47">
        <f t="shared" si="0"/>
        <v>6.9444444444445308E-3</v>
      </c>
      <c r="Q35" s="47">
        <f t="shared" si="1"/>
        <v>6.9444444444445308E-3</v>
      </c>
    </row>
    <row r="36" spans="1:17" ht="20.25" thickBot="1" x14ac:dyDescent="0.3">
      <c r="A36" s="20">
        <v>7</v>
      </c>
      <c r="B36" s="32" t="s">
        <v>0</v>
      </c>
      <c r="C36" s="33"/>
      <c r="D36" s="1">
        <v>0.5395833333333333</v>
      </c>
      <c r="E36" s="2" t="s">
        <v>65</v>
      </c>
      <c r="F36" s="1">
        <v>0.97013888888888899</v>
      </c>
      <c r="G36" s="2" t="s">
        <v>95</v>
      </c>
      <c r="H36" s="3">
        <v>0.23333333333333331</v>
      </c>
      <c r="I36" s="4" t="s">
        <v>96</v>
      </c>
      <c r="J36" s="5">
        <v>378534</v>
      </c>
      <c r="K36" s="21">
        <v>0.58799999999999997</v>
      </c>
      <c r="M36" s="46">
        <v>44172</v>
      </c>
      <c r="N36" s="47">
        <v>0.97569444444444453</v>
      </c>
      <c r="O36" s="47">
        <v>0.53402777777777777</v>
      </c>
      <c r="P36" s="47">
        <f t="shared" si="0"/>
        <v>5.5555555555555358E-3</v>
      </c>
      <c r="Q36" s="47">
        <f t="shared" si="1"/>
        <v>5.5555555555555358E-3</v>
      </c>
    </row>
    <row r="37" spans="1:17" ht="20.25" thickBot="1" x14ac:dyDescent="0.3">
      <c r="A37" s="18">
        <v>8</v>
      </c>
      <c r="B37" s="34" t="s">
        <v>0</v>
      </c>
      <c r="C37" s="35"/>
      <c r="D37" s="6">
        <v>0.55277777777777781</v>
      </c>
      <c r="E37" s="7" t="s">
        <v>97</v>
      </c>
      <c r="F37" s="34" t="s">
        <v>0</v>
      </c>
      <c r="G37" s="40"/>
      <c r="H37" s="8">
        <v>0.2673611111111111</v>
      </c>
      <c r="I37" s="9" t="s">
        <v>98</v>
      </c>
      <c r="J37" s="10">
        <v>374119</v>
      </c>
      <c r="K37" s="19">
        <v>0.47399999999999998</v>
      </c>
      <c r="M37" s="46">
        <v>44173</v>
      </c>
      <c r="N37" s="47">
        <v>0.97638888888888886</v>
      </c>
      <c r="O37" s="47">
        <v>0.54791666666666672</v>
      </c>
      <c r="P37" s="47" t="e">
        <f t="shared" si="0"/>
        <v>#VALUE!</v>
      </c>
      <c r="Q37" s="47">
        <f t="shared" si="1"/>
        <v>4.8611111111110938E-3</v>
      </c>
    </row>
    <row r="38" spans="1:17" ht="20.25" thickBot="1" x14ac:dyDescent="0.3">
      <c r="A38" s="20">
        <v>9</v>
      </c>
      <c r="B38" s="1">
        <v>2.7083333333333334E-2</v>
      </c>
      <c r="C38" s="2" t="s">
        <v>99</v>
      </c>
      <c r="D38" s="1">
        <v>0.56527777777777777</v>
      </c>
      <c r="E38" s="2" t="s">
        <v>100</v>
      </c>
      <c r="F38" s="32" t="s">
        <v>0</v>
      </c>
      <c r="G38" s="41"/>
      <c r="H38" s="3">
        <v>0.30208333333333331</v>
      </c>
      <c r="I38" s="4" t="s">
        <v>101</v>
      </c>
      <c r="J38" s="5">
        <v>369895</v>
      </c>
      <c r="K38" s="21">
        <v>0.35899999999999999</v>
      </c>
      <c r="M38" s="46">
        <v>44174</v>
      </c>
      <c r="N38" s="47">
        <v>3.125E-2</v>
      </c>
      <c r="O38" s="47">
        <v>0.56041666666666667</v>
      </c>
      <c r="P38" s="47">
        <f t="shared" si="0"/>
        <v>4.1666666666666657E-3</v>
      </c>
      <c r="Q38" s="47">
        <f t="shared" si="1"/>
        <v>4.8611111111110938E-3</v>
      </c>
    </row>
    <row r="39" spans="1:17" ht="20.25" thickBot="1" x14ac:dyDescent="0.3">
      <c r="A39" s="18">
        <v>10</v>
      </c>
      <c r="B39" s="6">
        <v>8.4722222222222213E-2</v>
      </c>
      <c r="C39" s="7" t="s">
        <v>102</v>
      </c>
      <c r="D39" s="6">
        <v>0.57708333333333328</v>
      </c>
      <c r="E39" s="7" t="s">
        <v>103</v>
      </c>
      <c r="F39" s="34" t="s">
        <v>0</v>
      </c>
      <c r="G39" s="40"/>
      <c r="H39" s="8">
        <v>0.33611111111111108</v>
      </c>
      <c r="I39" s="9" t="s">
        <v>104</v>
      </c>
      <c r="J39" s="10">
        <v>366198</v>
      </c>
      <c r="K39" s="19">
        <v>0.249</v>
      </c>
      <c r="M39" s="46">
        <v>44175</v>
      </c>
      <c r="N39" s="47">
        <v>8.819444444444445E-2</v>
      </c>
      <c r="O39" s="47">
        <v>0.57361111111111118</v>
      </c>
      <c r="P39" s="47">
        <f t="shared" si="0"/>
        <v>3.4722222222222376E-3</v>
      </c>
      <c r="Q39" s="47">
        <f t="shared" si="1"/>
        <v>3.4722222222220989E-3</v>
      </c>
    </row>
    <row r="40" spans="1:17" ht="20.25" thickBot="1" x14ac:dyDescent="0.3">
      <c r="A40" s="20">
        <v>11</v>
      </c>
      <c r="B40" s="1">
        <v>0.14375000000000002</v>
      </c>
      <c r="C40" s="2" t="s">
        <v>105</v>
      </c>
      <c r="D40" s="1">
        <v>0.59097222222222223</v>
      </c>
      <c r="E40" s="2" t="s">
        <v>106</v>
      </c>
      <c r="F40" s="32" t="s">
        <v>0</v>
      </c>
      <c r="G40" s="41"/>
      <c r="H40" s="3">
        <v>0.37222222222222223</v>
      </c>
      <c r="I40" s="4" t="s">
        <v>107</v>
      </c>
      <c r="J40" s="5">
        <v>363415</v>
      </c>
      <c r="K40" s="21">
        <v>0.151</v>
      </c>
      <c r="M40" s="46">
        <v>44176</v>
      </c>
      <c r="N40" s="47">
        <v>0.14722222222222223</v>
      </c>
      <c r="O40" s="47">
        <v>0.58750000000000002</v>
      </c>
      <c r="P40" s="47">
        <f t="shared" si="0"/>
        <v>3.4722222222222099E-3</v>
      </c>
      <c r="Q40" s="47">
        <f t="shared" si="1"/>
        <v>3.4722222222222099E-3</v>
      </c>
    </row>
    <row r="41" spans="1:17" ht="20.25" thickBot="1" x14ac:dyDescent="0.3">
      <c r="A41" s="18">
        <v>12</v>
      </c>
      <c r="B41" s="6">
        <v>0.20416666666666669</v>
      </c>
      <c r="C41" s="7" t="s">
        <v>108</v>
      </c>
      <c r="D41" s="6">
        <v>0.6069444444444444</v>
      </c>
      <c r="E41" s="7" t="s">
        <v>109</v>
      </c>
      <c r="F41" s="34" t="s">
        <v>0</v>
      </c>
      <c r="G41" s="40"/>
      <c r="H41" s="8">
        <v>0.40972222222222227</v>
      </c>
      <c r="I41" s="9" t="s">
        <v>110</v>
      </c>
      <c r="J41" s="10">
        <v>361931</v>
      </c>
      <c r="K41" s="19">
        <v>7.2999999999999995E-2</v>
      </c>
      <c r="M41" s="46">
        <v>44177</v>
      </c>
      <c r="N41" s="47">
        <v>0.2076388888888889</v>
      </c>
      <c r="O41" s="47">
        <v>0.60347222222222219</v>
      </c>
      <c r="P41" s="47">
        <f t="shared" si="0"/>
        <v>3.4722222222222099E-3</v>
      </c>
      <c r="Q41" s="47">
        <f t="shared" si="1"/>
        <v>3.4722222222222099E-3</v>
      </c>
    </row>
    <row r="42" spans="1:17" ht="20.25" thickBot="1" x14ac:dyDescent="0.3">
      <c r="A42" s="20">
        <v>13</v>
      </c>
      <c r="B42" s="1">
        <v>0.26597222222222222</v>
      </c>
      <c r="C42" s="2" t="s">
        <v>111</v>
      </c>
      <c r="D42" s="1">
        <v>0.62708333333333333</v>
      </c>
      <c r="E42" s="2" t="s">
        <v>46</v>
      </c>
      <c r="F42" s="32" t="s">
        <v>0</v>
      </c>
      <c r="G42" s="41"/>
      <c r="H42" s="3">
        <v>0.45</v>
      </c>
      <c r="I42" s="4" t="s">
        <v>112</v>
      </c>
      <c r="J42" s="5">
        <v>362048</v>
      </c>
      <c r="K42" s="21">
        <v>2.1999999999999999E-2</v>
      </c>
      <c r="M42" s="46">
        <v>44178</v>
      </c>
      <c r="N42" s="47">
        <v>0.26874999999999999</v>
      </c>
      <c r="O42" s="47">
        <v>0.62430555555555556</v>
      </c>
      <c r="P42" s="47">
        <f t="shared" si="0"/>
        <v>2.7777777777777679E-3</v>
      </c>
      <c r="Q42" s="47">
        <f t="shared" si="1"/>
        <v>2.7777777777777679E-3</v>
      </c>
    </row>
    <row r="43" spans="1:17" ht="20.25" thickBot="1" x14ac:dyDescent="0.3">
      <c r="A43" s="18">
        <v>14</v>
      </c>
      <c r="B43" s="6">
        <v>0.32569444444444445</v>
      </c>
      <c r="C43" s="7" t="s">
        <v>113</v>
      </c>
      <c r="D43" s="6">
        <v>0.65416666666666667</v>
      </c>
      <c r="E43" s="7" t="s">
        <v>114</v>
      </c>
      <c r="F43" s="34" t="s">
        <v>0</v>
      </c>
      <c r="G43" s="40"/>
      <c r="H43" s="8">
        <v>0.49236111111111108</v>
      </c>
      <c r="I43" s="9" t="s">
        <v>115</v>
      </c>
      <c r="J43" s="10">
        <v>363903</v>
      </c>
      <c r="K43" s="19">
        <v>0</v>
      </c>
      <c r="M43" s="46">
        <v>44179</v>
      </c>
      <c r="N43" s="47">
        <v>0.32777777777777778</v>
      </c>
      <c r="O43" s="47">
        <v>0.65208333333333335</v>
      </c>
      <c r="P43" s="47">
        <f t="shared" si="0"/>
        <v>2.0833333333333259E-3</v>
      </c>
      <c r="Q43" s="47">
        <f t="shared" si="1"/>
        <v>2.0833333333333259E-3</v>
      </c>
    </row>
    <row r="44" spans="1:17" ht="20.25" thickBot="1" x14ac:dyDescent="0.3">
      <c r="A44" s="20">
        <v>15</v>
      </c>
      <c r="B44" s="1">
        <v>0.37916666666666665</v>
      </c>
      <c r="C44" s="2" t="s">
        <v>39</v>
      </c>
      <c r="D44" s="1">
        <v>0.69027777777777777</v>
      </c>
      <c r="E44" s="2" t="s">
        <v>40</v>
      </c>
      <c r="F44" s="32" t="s">
        <v>0</v>
      </c>
      <c r="G44" s="41"/>
      <c r="H44" s="3">
        <v>0.53541666666666665</v>
      </c>
      <c r="I44" s="4" t="s">
        <v>116</v>
      </c>
      <c r="J44" s="5">
        <v>367416</v>
      </c>
      <c r="K44" s="21">
        <v>0.01</v>
      </c>
      <c r="M44" s="46">
        <v>44180</v>
      </c>
      <c r="N44" s="47">
        <v>0.38055555555555554</v>
      </c>
      <c r="O44" s="47">
        <v>0.68819444444444444</v>
      </c>
      <c r="P44" s="47">
        <f t="shared" si="0"/>
        <v>1.388888888888884E-3</v>
      </c>
      <c r="Q44" s="47">
        <f t="shared" si="1"/>
        <v>2.0833333333333259E-3</v>
      </c>
    </row>
    <row r="45" spans="1:17" ht="20.25" thickBot="1" x14ac:dyDescent="0.3">
      <c r="A45" s="18">
        <v>16</v>
      </c>
      <c r="B45" s="6">
        <v>0.42222222222222222</v>
      </c>
      <c r="C45" s="7" t="s">
        <v>39</v>
      </c>
      <c r="D45" s="6">
        <v>0.73541666666666661</v>
      </c>
      <c r="E45" s="7" t="s">
        <v>37</v>
      </c>
      <c r="F45" s="34" t="s">
        <v>0</v>
      </c>
      <c r="G45" s="40"/>
      <c r="H45" s="8">
        <v>0.57777777777777783</v>
      </c>
      <c r="I45" s="9" t="s">
        <v>117</v>
      </c>
      <c r="J45" s="10">
        <v>372289</v>
      </c>
      <c r="K45" s="19">
        <v>4.9000000000000002E-2</v>
      </c>
      <c r="M45" s="46">
        <v>44181</v>
      </c>
      <c r="N45" s="47">
        <v>0.4236111111111111</v>
      </c>
      <c r="O45" s="47">
        <v>0.73333333333333339</v>
      </c>
      <c r="P45" s="47">
        <f t="shared" si="0"/>
        <v>1.388888888888884E-3</v>
      </c>
      <c r="Q45" s="47">
        <f t="shared" si="1"/>
        <v>2.0833333333332149E-3</v>
      </c>
    </row>
    <row r="46" spans="1:17" ht="20.25" thickBot="1" x14ac:dyDescent="0.3">
      <c r="A46" s="20">
        <v>17</v>
      </c>
      <c r="B46" s="1">
        <v>0.45416666666666666</v>
      </c>
      <c r="C46" s="2" t="s">
        <v>118</v>
      </c>
      <c r="D46" s="1">
        <v>0.78680555555555554</v>
      </c>
      <c r="E46" s="2" t="s">
        <v>34</v>
      </c>
      <c r="F46" s="32" t="s">
        <v>0</v>
      </c>
      <c r="G46" s="41"/>
      <c r="H46" s="3">
        <v>0.61805555555555558</v>
      </c>
      <c r="I46" s="4" t="s">
        <v>119</v>
      </c>
      <c r="J46" s="5">
        <v>378054</v>
      </c>
      <c r="K46" s="21">
        <v>0.111</v>
      </c>
      <c r="M46" s="46">
        <v>44182</v>
      </c>
      <c r="N46" s="47">
        <v>0.45555555555555555</v>
      </c>
      <c r="O46" s="47">
        <v>0.78472222222222221</v>
      </c>
      <c r="P46" s="47">
        <f t="shared" si="0"/>
        <v>1.388888888888884E-3</v>
      </c>
      <c r="Q46" s="47">
        <f t="shared" si="1"/>
        <v>2.0833333333333259E-3</v>
      </c>
    </row>
    <row r="47" spans="1:17" ht="20.25" thickBot="1" x14ac:dyDescent="0.3">
      <c r="A47" s="18">
        <v>18</v>
      </c>
      <c r="B47" s="6">
        <v>0.4777777777777778</v>
      </c>
      <c r="C47" s="7" t="s">
        <v>120</v>
      </c>
      <c r="D47" s="6">
        <v>0.83958333333333324</v>
      </c>
      <c r="E47" s="7" t="s">
        <v>121</v>
      </c>
      <c r="F47" s="34" t="s">
        <v>0</v>
      </c>
      <c r="G47" s="40"/>
      <c r="H47" s="8">
        <v>0.65555555555555556</v>
      </c>
      <c r="I47" s="9" t="s">
        <v>122</v>
      </c>
      <c r="J47" s="10">
        <v>384168</v>
      </c>
      <c r="K47" s="19">
        <v>0.19</v>
      </c>
      <c r="M47" s="46">
        <v>44183</v>
      </c>
      <c r="N47" s="47">
        <v>0.47916666666666669</v>
      </c>
      <c r="O47" s="47">
        <v>0.83750000000000002</v>
      </c>
      <c r="P47" s="47">
        <f t="shared" si="0"/>
        <v>1.388888888888884E-3</v>
      </c>
      <c r="Q47" s="47">
        <f t="shared" si="1"/>
        <v>2.0833333333332149E-3</v>
      </c>
    </row>
    <row r="48" spans="1:17" ht="20.25" thickBot="1" x14ac:dyDescent="0.3">
      <c r="A48" s="20">
        <v>19</v>
      </c>
      <c r="B48" s="1">
        <v>0.49513888888888885</v>
      </c>
      <c r="C48" s="2" t="s">
        <v>123</v>
      </c>
      <c r="D48" s="1">
        <v>0.89236111111111116</v>
      </c>
      <c r="E48" s="2" t="s">
        <v>124</v>
      </c>
      <c r="F48" s="32" t="s">
        <v>0</v>
      </c>
      <c r="G48" s="41"/>
      <c r="H48" s="3">
        <v>0.69027777777777777</v>
      </c>
      <c r="I48" s="4" t="s">
        <v>125</v>
      </c>
      <c r="J48" s="5">
        <v>390100</v>
      </c>
      <c r="K48" s="21">
        <v>0.28199999999999997</v>
      </c>
      <c r="M48" s="46">
        <v>44184</v>
      </c>
      <c r="N48" s="47">
        <v>0.49652777777777773</v>
      </c>
      <c r="O48" s="47">
        <v>0.89027777777777783</v>
      </c>
      <c r="P48" s="47">
        <f t="shared" si="0"/>
        <v>1.388888888888884E-3</v>
      </c>
      <c r="Q48" s="47">
        <f t="shared" si="1"/>
        <v>2.0833333333333259E-3</v>
      </c>
    </row>
    <row r="49" spans="1:17" ht="20.25" thickBot="1" x14ac:dyDescent="0.3">
      <c r="A49" s="18">
        <v>20</v>
      </c>
      <c r="B49" s="6">
        <v>0.5083333333333333</v>
      </c>
      <c r="C49" s="7" t="s">
        <v>126</v>
      </c>
      <c r="D49" s="6">
        <v>0.94305555555555554</v>
      </c>
      <c r="E49" s="7" t="s">
        <v>127</v>
      </c>
      <c r="F49" s="34" t="s">
        <v>0</v>
      </c>
      <c r="G49" s="40"/>
      <c r="H49" s="8">
        <v>0.72152777777777777</v>
      </c>
      <c r="I49" s="9" t="s">
        <v>128</v>
      </c>
      <c r="J49" s="10">
        <v>395392</v>
      </c>
      <c r="K49" s="19">
        <v>0.379</v>
      </c>
      <c r="M49" s="46">
        <v>44185</v>
      </c>
      <c r="N49" s="47">
        <v>0.51041666666666663</v>
      </c>
      <c r="O49" s="47">
        <v>0.94027777777777777</v>
      </c>
      <c r="P49" s="47">
        <f t="shared" si="0"/>
        <v>2.0833333333333259E-3</v>
      </c>
      <c r="Q49" s="47">
        <f t="shared" si="1"/>
        <v>2.7777777777777679E-3</v>
      </c>
    </row>
    <row r="50" spans="1:17" ht="20.25" thickBot="1" x14ac:dyDescent="0.3">
      <c r="A50" s="20">
        <v>21</v>
      </c>
      <c r="B50" s="1">
        <v>0.51944444444444449</v>
      </c>
      <c r="C50" s="2" t="s">
        <v>129</v>
      </c>
      <c r="D50" s="1">
        <v>0.9916666666666667</v>
      </c>
      <c r="E50" s="2" t="s">
        <v>130</v>
      </c>
      <c r="F50" s="32" t="s">
        <v>0</v>
      </c>
      <c r="G50" s="41"/>
      <c r="H50" s="3">
        <v>0.75138888888888899</v>
      </c>
      <c r="I50" s="4" t="s">
        <v>131</v>
      </c>
      <c r="J50" s="5">
        <v>399694</v>
      </c>
      <c r="K50" s="21">
        <v>0.47899999999999998</v>
      </c>
      <c r="M50" s="46">
        <v>44186</v>
      </c>
      <c r="N50" s="47">
        <v>0.52222222222222225</v>
      </c>
      <c r="O50" s="47">
        <v>0.98888888888888893</v>
      </c>
      <c r="P50" s="47">
        <f t="shared" si="0"/>
        <v>2.7777777777777679E-3</v>
      </c>
      <c r="Q50" s="47">
        <f t="shared" si="1"/>
        <v>2.7777777777777679E-3</v>
      </c>
    </row>
    <row r="51" spans="1:17" ht="20.25" thickBot="1" x14ac:dyDescent="0.3">
      <c r="A51" s="18">
        <v>22</v>
      </c>
      <c r="B51" s="6">
        <v>0.52986111111111112</v>
      </c>
      <c r="C51" s="7" t="s">
        <v>102</v>
      </c>
      <c r="D51" s="34" t="s">
        <v>0</v>
      </c>
      <c r="E51" s="35"/>
      <c r="F51" s="34" t="s">
        <v>0</v>
      </c>
      <c r="G51" s="40"/>
      <c r="H51" s="8">
        <v>0.77986111111111101</v>
      </c>
      <c r="I51" s="9" t="s">
        <v>132</v>
      </c>
      <c r="J51" s="10">
        <v>402780</v>
      </c>
      <c r="K51" s="19">
        <v>0.57699999999999996</v>
      </c>
      <c r="M51" s="46">
        <v>44187</v>
      </c>
      <c r="N51" s="47">
        <v>0.53194444444444444</v>
      </c>
      <c r="O51" s="47">
        <v>0.98888888888888893</v>
      </c>
      <c r="P51" s="47">
        <f t="shared" si="0"/>
        <v>2.0833333333333259E-3</v>
      </c>
      <c r="Q51" s="47" t="e">
        <f t="shared" si="1"/>
        <v>#VALUE!</v>
      </c>
    </row>
    <row r="52" spans="1:17" ht="20.25" thickBot="1" x14ac:dyDescent="0.3">
      <c r="A52" s="20">
        <v>23</v>
      </c>
      <c r="B52" s="32" t="s">
        <v>0</v>
      </c>
      <c r="C52" s="33"/>
      <c r="D52" s="1">
        <v>3.888888888888889E-2</v>
      </c>
      <c r="E52" s="2" t="s">
        <v>133</v>
      </c>
      <c r="F52" s="1">
        <v>0.53888888888888886</v>
      </c>
      <c r="G52" s="2" t="s">
        <v>134</v>
      </c>
      <c r="H52" s="3">
        <v>0.80763888888888891</v>
      </c>
      <c r="I52" s="4" t="s">
        <v>135</v>
      </c>
      <c r="J52" s="5">
        <v>404546</v>
      </c>
      <c r="K52" s="21">
        <v>0.67100000000000004</v>
      </c>
      <c r="M52" s="46">
        <v>44188</v>
      </c>
      <c r="N52" s="47">
        <v>0.54236111111111118</v>
      </c>
      <c r="O52" s="47">
        <v>3.6111111111111115E-2</v>
      </c>
      <c r="P52" s="47">
        <f t="shared" si="0"/>
        <v>3.4722222222223209E-3</v>
      </c>
      <c r="Q52" s="47">
        <f t="shared" si="1"/>
        <v>2.7777777777777748E-3</v>
      </c>
    </row>
    <row r="53" spans="1:17" ht="20.25" thickBot="1" x14ac:dyDescent="0.3">
      <c r="A53" s="18">
        <v>24</v>
      </c>
      <c r="B53" s="34" t="s">
        <v>0</v>
      </c>
      <c r="C53" s="35"/>
      <c r="D53" s="6">
        <v>8.6111111111111124E-2</v>
      </c>
      <c r="E53" s="7" t="s">
        <v>136</v>
      </c>
      <c r="F53" s="6">
        <v>0.5493055555555556</v>
      </c>
      <c r="G53" s="7" t="s">
        <v>18</v>
      </c>
      <c r="H53" s="8">
        <v>0.83611111111111114</v>
      </c>
      <c r="I53" s="9" t="s">
        <v>137</v>
      </c>
      <c r="J53" s="10">
        <v>404999</v>
      </c>
      <c r="K53" s="19">
        <v>0.75800000000000001</v>
      </c>
      <c r="M53" s="46">
        <v>44189</v>
      </c>
      <c r="N53" s="47">
        <v>0.55277777777777781</v>
      </c>
      <c r="O53" s="47">
        <v>8.1944444444444445E-2</v>
      </c>
      <c r="P53" s="47">
        <f t="shared" si="0"/>
        <v>3.4722222222222099E-3</v>
      </c>
      <c r="Q53" s="47">
        <f t="shared" si="1"/>
        <v>4.1666666666666796E-3</v>
      </c>
    </row>
    <row r="54" spans="1:17" ht="20.25" thickBot="1" x14ac:dyDescent="0.3">
      <c r="A54" s="20">
        <v>25</v>
      </c>
      <c r="B54" s="32" t="s">
        <v>0</v>
      </c>
      <c r="C54" s="33"/>
      <c r="D54" s="1">
        <v>0.13263888888888889</v>
      </c>
      <c r="E54" s="2" t="s">
        <v>138</v>
      </c>
      <c r="F54" s="1">
        <v>0.56041666666666667</v>
      </c>
      <c r="G54" s="2" t="s">
        <v>139</v>
      </c>
      <c r="H54" s="3">
        <v>0.8652777777777777</v>
      </c>
      <c r="I54" s="4" t="s">
        <v>140</v>
      </c>
      <c r="J54" s="5">
        <v>404242</v>
      </c>
      <c r="K54" s="21">
        <v>0.83599999999999997</v>
      </c>
      <c r="M54" s="46">
        <v>44190</v>
      </c>
      <c r="N54" s="47">
        <v>0.56458333333333333</v>
      </c>
      <c r="O54" s="47">
        <v>0.12847222222222224</v>
      </c>
      <c r="P54" s="47">
        <f t="shared" si="0"/>
        <v>4.1666666666666519E-3</v>
      </c>
      <c r="Q54" s="47">
        <f t="shared" si="1"/>
        <v>4.1666666666666519E-3</v>
      </c>
    </row>
    <row r="55" spans="1:17" ht="20.25" thickBot="1" x14ac:dyDescent="0.3">
      <c r="A55" s="18">
        <v>26</v>
      </c>
      <c r="B55" s="34" t="s">
        <v>0</v>
      </c>
      <c r="C55" s="35"/>
      <c r="D55" s="6">
        <v>0.18055555555555555</v>
      </c>
      <c r="E55" s="7" t="s">
        <v>141</v>
      </c>
      <c r="F55" s="6">
        <v>0.57361111111111118</v>
      </c>
      <c r="G55" s="7" t="s">
        <v>142</v>
      </c>
      <c r="H55" s="8">
        <v>0.89583333333333337</v>
      </c>
      <c r="I55" s="9" t="s">
        <v>143</v>
      </c>
      <c r="J55" s="10">
        <v>402454</v>
      </c>
      <c r="K55" s="19">
        <v>0.90200000000000002</v>
      </c>
      <c r="M55" s="46">
        <v>44191</v>
      </c>
      <c r="N55" s="47">
        <v>0.57916666666666672</v>
      </c>
      <c r="O55" s="47">
        <v>0.17569444444444446</v>
      </c>
      <c r="P55" s="47">
        <f t="shared" si="0"/>
        <v>5.5555555555555358E-3</v>
      </c>
      <c r="Q55" s="47">
        <f t="shared" si="1"/>
        <v>4.8611111111110938E-3</v>
      </c>
    </row>
    <row r="56" spans="1:17" ht="20.25" thickBot="1" x14ac:dyDescent="0.3">
      <c r="A56" s="20">
        <v>27</v>
      </c>
      <c r="B56" s="32" t="s">
        <v>0</v>
      </c>
      <c r="C56" s="33"/>
      <c r="D56" s="1">
        <v>0.22916666666666666</v>
      </c>
      <c r="E56" s="2" t="s">
        <v>144</v>
      </c>
      <c r="F56" s="1">
        <v>0.58958333333333335</v>
      </c>
      <c r="G56" s="2" t="s">
        <v>145</v>
      </c>
      <c r="H56" s="3">
        <v>0.92847222222222225</v>
      </c>
      <c r="I56" s="4" t="s">
        <v>146</v>
      </c>
      <c r="J56" s="5">
        <v>399862</v>
      </c>
      <c r="K56" s="21">
        <v>0.95299999999999996</v>
      </c>
      <c r="M56" s="46">
        <v>44192</v>
      </c>
      <c r="N56" s="47">
        <v>0.59583333333333333</v>
      </c>
      <c r="O56" s="47">
        <v>0.22291666666666665</v>
      </c>
      <c r="P56" s="47">
        <f t="shared" si="0"/>
        <v>6.2499999999999778E-3</v>
      </c>
      <c r="Q56" s="47">
        <f t="shared" si="1"/>
        <v>6.2500000000000056E-3</v>
      </c>
    </row>
    <row r="57" spans="1:17" ht="20.25" thickBot="1" x14ac:dyDescent="0.3">
      <c r="A57" s="18">
        <v>28</v>
      </c>
      <c r="B57" s="34" t="s">
        <v>0</v>
      </c>
      <c r="C57" s="35"/>
      <c r="D57" s="6">
        <v>0.27708333333333335</v>
      </c>
      <c r="E57" s="7" t="s">
        <v>147</v>
      </c>
      <c r="F57" s="6">
        <v>0.61111111111111105</v>
      </c>
      <c r="G57" s="7" t="s">
        <v>87</v>
      </c>
      <c r="H57" s="8">
        <v>0.96388888888888891</v>
      </c>
      <c r="I57" s="9" t="s">
        <v>148</v>
      </c>
      <c r="J57" s="10">
        <v>396717</v>
      </c>
      <c r="K57" s="19">
        <v>0.98599999999999999</v>
      </c>
      <c r="M57" s="46">
        <v>44193</v>
      </c>
      <c r="N57" s="47">
        <v>0.61805555555555558</v>
      </c>
      <c r="O57" s="47">
        <v>0.27013888888888887</v>
      </c>
      <c r="P57" s="47">
        <f t="shared" si="0"/>
        <v>6.9444444444445308E-3</v>
      </c>
      <c r="Q57" s="47">
        <f t="shared" si="1"/>
        <v>6.9444444444444753E-3</v>
      </c>
    </row>
    <row r="58" spans="1:17" ht="28.5" customHeight="1" thickBot="1" x14ac:dyDescent="0.3">
      <c r="A58" s="20">
        <v>29</v>
      </c>
      <c r="B58" s="32" t="s">
        <v>0</v>
      </c>
      <c r="C58" s="33"/>
      <c r="D58" s="1">
        <v>0.32291666666666669</v>
      </c>
      <c r="E58" s="2" t="s">
        <v>149</v>
      </c>
      <c r="F58" s="1">
        <v>0.63888888888888895</v>
      </c>
      <c r="G58" s="2" t="s">
        <v>84</v>
      </c>
      <c r="H58" s="36" t="s">
        <v>150</v>
      </c>
      <c r="I58" s="37"/>
      <c r="J58" s="37"/>
      <c r="K58" s="33"/>
      <c r="M58" s="46">
        <v>44194</v>
      </c>
      <c r="N58" s="47">
        <v>0.64722222222222225</v>
      </c>
      <c r="O58" s="47">
        <v>0.35138888888888892</v>
      </c>
      <c r="P58" s="47">
        <f t="shared" si="0"/>
        <v>8.3333333333333037E-3</v>
      </c>
      <c r="Q58" s="47">
        <f t="shared" si="1"/>
        <v>2.8472222222222232E-2</v>
      </c>
    </row>
    <row r="59" spans="1:17" ht="20.25" thickBot="1" x14ac:dyDescent="0.3">
      <c r="A59" s="25">
        <v>30</v>
      </c>
      <c r="B59" s="32" t="s">
        <v>0</v>
      </c>
      <c r="C59" s="33"/>
      <c r="D59" s="1">
        <v>0.36319444444444443</v>
      </c>
      <c r="E59" s="2" t="s">
        <v>1</v>
      </c>
      <c r="F59" s="1">
        <v>0.67499999999999993</v>
      </c>
      <c r="G59" s="2" t="s">
        <v>2</v>
      </c>
      <c r="H59" s="3">
        <v>0</v>
      </c>
      <c r="I59" s="4" t="s">
        <v>151</v>
      </c>
      <c r="J59" s="5">
        <v>393264</v>
      </c>
      <c r="K59" s="21">
        <v>1</v>
      </c>
      <c r="M59" s="46">
        <v>44195</v>
      </c>
      <c r="N59" s="47">
        <v>0.68402777777777779</v>
      </c>
      <c r="O59" s="47">
        <v>0.35486111111111113</v>
      </c>
      <c r="P59" s="47">
        <f t="shared" si="0"/>
        <v>9.0277777777778567E-3</v>
      </c>
      <c r="Q59" s="47">
        <f t="shared" si="1"/>
        <v>8.3333333333333037E-3</v>
      </c>
    </row>
    <row r="60" spans="1:17" ht="20.25" thickBot="1" x14ac:dyDescent="0.3">
      <c r="A60" s="26">
        <v>31</v>
      </c>
      <c r="B60" s="38" t="s">
        <v>0</v>
      </c>
      <c r="C60" s="39"/>
      <c r="D60" s="23">
        <v>0.39652777777777781</v>
      </c>
      <c r="E60" s="24" t="s">
        <v>149</v>
      </c>
      <c r="F60" s="23">
        <v>0.71944444444444444</v>
      </c>
      <c r="G60" s="24" t="s">
        <v>152</v>
      </c>
      <c r="H60" s="27">
        <v>3.8194444444444441E-2</v>
      </c>
      <c r="I60" s="28" t="s">
        <v>3</v>
      </c>
      <c r="J60" s="29">
        <v>389713</v>
      </c>
      <c r="K60" s="30">
        <v>0.99099999999999999</v>
      </c>
      <c r="M60" s="46">
        <v>44196</v>
      </c>
      <c r="N60" s="47">
        <v>0.72777777777777775</v>
      </c>
      <c r="O60" s="47">
        <v>0.38819444444444445</v>
      </c>
      <c r="P60" s="47">
        <f t="shared" si="0"/>
        <v>8.3333333333333037E-3</v>
      </c>
      <c r="Q60" s="47">
        <f t="shared" si="1"/>
        <v>8.3333333333333592E-3</v>
      </c>
    </row>
    <row r="61" spans="1:17" x14ac:dyDescent="0.25">
      <c r="M61" s="46">
        <v>44197</v>
      </c>
      <c r="N61" s="47">
        <v>0.77777777777777779</v>
      </c>
      <c r="O61" s="47">
        <v>0.4152777777777778</v>
      </c>
    </row>
    <row r="62" spans="1:17" x14ac:dyDescent="0.25">
      <c r="M62" s="46">
        <v>44198</v>
      </c>
      <c r="N62" s="47">
        <v>0.8305555555555556</v>
      </c>
      <c r="O62" s="47">
        <v>0.4368055555555555</v>
      </c>
    </row>
    <row r="63" spans="1:17" x14ac:dyDescent="0.25">
      <c r="M63" s="46">
        <v>44199</v>
      </c>
      <c r="N63" s="47">
        <v>0.88541666666666663</v>
      </c>
      <c r="O63" s="47">
        <v>0.45416666666666666</v>
      </c>
    </row>
    <row r="64" spans="1:17" x14ac:dyDescent="0.25">
      <c r="M64" s="46">
        <v>44200</v>
      </c>
      <c r="N64" s="47">
        <v>0.93958333333333333</v>
      </c>
      <c r="O64" s="47">
        <v>0.46875</v>
      </c>
    </row>
    <row r="65" spans="13:15" x14ac:dyDescent="0.25">
      <c r="M65" s="46">
        <v>44201</v>
      </c>
      <c r="N65" s="47">
        <v>0.99513888888888891</v>
      </c>
      <c r="O65" s="47">
        <v>0.48194444444444445</v>
      </c>
    </row>
  </sheetData>
  <mergeCells count="63">
    <mergeCell ref="F8:G8"/>
    <mergeCell ref="B4:C4"/>
    <mergeCell ref="B5:C5"/>
    <mergeCell ref="B6:C6"/>
    <mergeCell ref="B7:C7"/>
    <mergeCell ref="B8:C8"/>
    <mergeCell ref="F20:G20"/>
    <mergeCell ref="F9:G9"/>
    <mergeCell ref="F10:G10"/>
    <mergeCell ref="F11:G11"/>
    <mergeCell ref="F12:G12"/>
    <mergeCell ref="F13:G13"/>
    <mergeCell ref="F14:G14"/>
    <mergeCell ref="F15:G15"/>
    <mergeCell ref="F16:G16"/>
    <mergeCell ref="F17:G17"/>
    <mergeCell ref="F18:G18"/>
    <mergeCell ref="F19:G19"/>
    <mergeCell ref="H29:K29"/>
    <mergeCell ref="B25:C25"/>
    <mergeCell ref="F21:G21"/>
    <mergeCell ref="D22:E22"/>
    <mergeCell ref="F22:G22"/>
    <mergeCell ref="F38:G38"/>
    <mergeCell ref="B24:C24"/>
    <mergeCell ref="B23:C23"/>
    <mergeCell ref="B30:C30"/>
    <mergeCell ref="B31:C31"/>
    <mergeCell ref="B32:C32"/>
    <mergeCell ref="B33:C33"/>
    <mergeCell ref="B26:C26"/>
    <mergeCell ref="B27:C27"/>
    <mergeCell ref="B28:C28"/>
    <mergeCell ref="B29:C29"/>
    <mergeCell ref="B34:C34"/>
    <mergeCell ref="B35:C35"/>
    <mergeCell ref="B36:C36"/>
    <mergeCell ref="B37:C37"/>
    <mergeCell ref="F37:G37"/>
    <mergeCell ref="F50:G50"/>
    <mergeCell ref="F39:G39"/>
    <mergeCell ref="F40:G40"/>
    <mergeCell ref="F41:G41"/>
    <mergeCell ref="F42:G42"/>
    <mergeCell ref="F43:G43"/>
    <mergeCell ref="F44:G44"/>
    <mergeCell ref="F45:G45"/>
    <mergeCell ref="F46:G46"/>
    <mergeCell ref="F47:G47"/>
    <mergeCell ref="F48:G48"/>
    <mergeCell ref="F49:G49"/>
    <mergeCell ref="B60:C60"/>
    <mergeCell ref="D51:E51"/>
    <mergeCell ref="F51:G51"/>
    <mergeCell ref="B52:C52"/>
    <mergeCell ref="B53:C53"/>
    <mergeCell ref="B54:C54"/>
    <mergeCell ref="B55:C55"/>
    <mergeCell ref="B56:C56"/>
    <mergeCell ref="B57:C57"/>
    <mergeCell ref="B58:C58"/>
    <mergeCell ref="H58:K58"/>
    <mergeCell ref="B59:C59"/>
  </mergeCells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McIntyre</dc:creator>
  <cp:lastModifiedBy>Mark McIntyre</cp:lastModifiedBy>
  <dcterms:created xsi:type="dcterms:W3CDTF">2020-11-06T19:31:41Z</dcterms:created>
  <dcterms:modified xsi:type="dcterms:W3CDTF">2020-11-07T12:59:54Z</dcterms:modified>
</cp:coreProperties>
</file>