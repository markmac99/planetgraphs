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6275" windowHeight="6990" activeTab="2"/>
  </bookViews>
  <sheets>
    <sheet name="Sheet1" sheetId="1" r:id="rId1"/>
    <sheet name="Orbital Elements" sheetId="3" r:id="rId2"/>
    <sheet name="BestVisibility" sheetId="4" r:id="rId3"/>
    <sheet name="Sheet3" sheetId="5" r:id="rId4"/>
  </sheets>
  <functionGroups/>
  <definedNames>
    <definedName name="au">'Orbital Elements'!$F$17</definedName>
    <definedName name="dayval">Sheet1!$B$5</definedName>
    <definedName name="dd">Sheet1!$C$13</definedName>
    <definedName name="erad">'Orbital Elements'!$F$18</definedName>
    <definedName name="hval">Sheet1!$B$6</definedName>
    <definedName name="intvl">BestVisibility!$F$1</definedName>
    <definedName name="lat">Sheet1!$B$11</definedName>
    <definedName name="long">Sheet1!$B$12</definedName>
    <definedName name="lst">Sheet1!$C$15</definedName>
    <definedName name="monval">Sheet1!$B$4</definedName>
    <definedName name="mval">Sheet1!$B$7</definedName>
    <definedName name="planetlookup">'Orbital Elements'!$B$13:$C$28</definedName>
    <definedName name="planetnames">'Orbital Elements'!$B$13:$B$22</definedName>
    <definedName name="planetno">Sheet1!$H$1</definedName>
    <definedName name="pres">Sheet1!$B$10</definedName>
    <definedName name="_xlnm.Print_Area" localSheetId="2">BestVisibility!$A$1:$V$57</definedName>
    <definedName name="sunrise">BestVisibility!#REF!</definedName>
    <definedName name="sval">Sheet1!$B$8</definedName>
    <definedName name="temp">Sheet1!$B$9</definedName>
    <definedName name="unt">BestVisibility!$G$1</definedName>
    <definedName name="visorimg">'Orbital Elements'!$E$13:$E$14</definedName>
    <definedName name="yval">Sheet1!$B$3</definedName>
  </definedNames>
  <calcPr calcId="125725"/>
</workbook>
</file>

<file path=xl/calcChain.xml><?xml version="1.0" encoding="utf-8"?>
<calcChain xmlns="http://schemas.openxmlformats.org/spreadsheetml/2006/main">
  <c r="F26" i="3"/>
  <c r="D5" i="4"/>
  <c r="C5"/>
  <c r="B2"/>
  <c r="S4"/>
  <c r="S3"/>
  <c r="S5"/>
  <c r="S2"/>
  <c r="A6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I1"/>
  <c r="F18" i="3"/>
  <c r="B4" i="1"/>
  <c r="B5"/>
  <c r="F26" i="4"/>
  <c r="B5"/>
  <c r="B8"/>
  <c r="B7"/>
  <c r="B6"/>
  <c r="C2" l="1"/>
  <c r="F7"/>
  <c r="F15"/>
  <c r="F23"/>
  <c r="F31"/>
  <c r="F39"/>
  <c r="F47"/>
  <c r="F55"/>
  <c r="F63"/>
  <c r="F71"/>
  <c r="F79"/>
  <c r="F87"/>
  <c r="F95"/>
  <c r="F103"/>
  <c r="F111"/>
  <c r="F119"/>
  <c r="F127"/>
  <c r="F135"/>
  <c r="F143"/>
  <c r="B30"/>
  <c r="B46"/>
  <c r="B62"/>
  <c r="B78"/>
  <c r="B94"/>
  <c r="B130"/>
  <c r="B112"/>
  <c r="E7"/>
  <c r="E15"/>
  <c r="E23"/>
  <c r="E31"/>
  <c r="E39"/>
  <c r="E47"/>
  <c r="E55"/>
  <c r="E63"/>
  <c r="E71"/>
  <c r="E79"/>
  <c r="E87"/>
  <c r="E95"/>
  <c r="E103"/>
  <c r="E111"/>
  <c r="E119"/>
  <c r="E127"/>
  <c r="E135"/>
  <c r="E143"/>
  <c r="B29"/>
  <c r="B45"/>
  <c r="B61"/>
  <c r="B77"/>
  <c r="B93"/>
  <c r="B109"/>
  <c r="B125"/>
  <c r="B141"/>
  <c r="B60"/>
  <c r="B100"/>
  <c r="F6"/>
  <c r="F14"/>
  <c r="F22"/>
  <c r="F30"/>
  <c r="F38"/>
  <c r="F46"/>
  <c r="F54"/>
  <c r="F62"/>
  <c r="F70"/>
  <c r="F78"/>
  <c r="F86"/>
  <c r="F94"/>
  <c r="F102"/>
  <c r="F110"/>
  <c r="F118"/>
  <c r="F126"/>
  <c r="F134"/>
  <c r="F142"/>
  <c r="B24"/>
  <c r="B44"/>
  <c r="B72"/>
  <c r="B148"/>
  <c r="E12"/>
  <c r="E20"/>
  <c r="E28"/>
  <c r="E36"/>
  <c r="E44"/>
  <c r="E52"/>
  <c r="E60"/>
  <c r="E68"/>
  <c r="E76"/>
  <c r="E84"/>
  <c r="E92"/>
  <c r="E100"/>
  <c r="E108"/>
  <c r="E116"/>
  <c r="E124"/>
  <c r="E132"/>
  <c r="E140"/>
  <c r="E148"/>
  <c r="B35"/>
  <c r="B51"/>
  <c r="B67"/>
  <c r="B83"/>
  <c r="B99"/>
  <c r="B115"/>
  <c r="B131"/>
  <c r="B147"/>
  <c r="B122"/>
  <c r="B80"/>
  <c r="B136"/>
  <c r="C29"/>
  <c r="C37"/>
  <c r="C45"/>
  <c r="C53"/>
  <c r="C61"/>
  <c r="C69"/>
  <c r="C77"/>
  <c r="C85"/>
  <c r="C93"/>
  <c r="C101"/>
  <c r="C109"/>
  <c r="C117"/>
  <c r="C125"/>
  <c r="C133"/>
  <c r="C141"/>
  <c r="D115"/>
  <c r="D131"/>
  <c r="C146"/>
  <c r="C140"/>
  <c r="C30"/>
  <c r="C38"/>
  <c r="C46"/>
  <c r="C54"/>
  <c r="C62"/>
  <c r="C70"/>
  <c r="C78"/>
  <c r="C86"/>
  <c r="C94"/>
  <c r="C102"/>
  <c r="C110"/>
  <c r="C122"/>
  <c r="D139"/>
  <c r="D129"/>
  <c r="D24"/>
  <c r="D32"/>
  <c r="D40"/>
  <c r="D48"/>
  <c r="D56"/>
  <c r="D64"/>
  <c r="D72"/>
  <c r="D80"/>
  <c r="D88"/>
  <c r="D96"/>
  <c r="D104"/>
  <c r="D112"/>
  <c r="D120"/>
  <c r="D128"/>
  <c r="D136"/>
  <c r="D144"/>
  <c r="D113"/>
  <c r="D141"/>
  <c r="C28"/>
  <c r="C36"/>
  <c r="C44"/>
  <c r="C52"/>
  <c r="C60"/>
  <c r="C68"/>
  <c r="C76"/>
  <c r="C84"/>
  <c r="C92"/>
  <c r="C100"/>
  <c r="C108"/>
  <c r="C132"/>
  <c r="C40"/>
  <c r="C64"/>
  <c r="C88"/>
  <c r="C104"/>
  <c r="C21"/>
  <c r="D78"/>
  <c r="D118"/>
  <c r="D119"/>
  <c r="C22"/>
  <c r="D39"/>
  <c r="D71"/>
  <c r="D103"/>
  <c r="D143"/>
  <c r="C43"/>
  <c r="C75"/>
  <c r="C107"/>
  <c r="C147"/>
  <c r="D29"/>
  <c r="D61"/>
  <c r="D93"/>
  <c r="F5"/>
  <c r="F13"/>
  <c r="F21"/>
  <c r="F29"/>
  <c r="F37"/>
  <c r="F45"/>
  <c r="F53"/>
  <c r="F61"/>
  <c r="F69"/>
  <c r="F77"/>
  <c r="F85"/>
  <c r="F93"/>
  <c r="F101"/>
  <c r="F109"/>
  <c r="F117"/>
  <c r="F125"/>
  <c r="F133"/>
  <c r="F141"/>
  <c r="B26"/>
  <c r="B42"/>
  <c r="B58"/>
  <c r="B74"/>
  <c r="B90"/>
  <c r="B118"/>
  <c r="B96"/>
  <c r="E5"/>
  <c r="E13"/>
  <c r="E21"/>
  <c r="E29"/>
  <c r="E37"/>
  <c r="E45"/>
  <c r="E53"/>
  <c r="E61"/>
  <c r="E69"/>
  <c r="E77"/>
  <c r="E85"/>
  <c r="E93"/>
  <c r="E101"/>
  <c r="E109"/>
  <c r="E117"/>
  <c r="E125"/>
  <c r="E133"/>
  <c r="E141"/>
  <c r="B25"/>
  <c r="B41"/>
  <c r="B57"/>
  <c r="B73"/>
  <c r="B89"/>
  <c r="B105"/>
  <c r="B121"/>
  <c r="B137"/>
  <c r="B52"/>
  <c r="B88"/>
  <c r="B140"/>
  <c r="F12"/>
  <c r="F20"/>
  <c r="F28"/>
  <c r="F36"/>
  <c r="F44"/>
  <c r="F52"/>
  <c r="F60"/>
  <c r="F68"/>
  <c r="F76"/>
  <c r="F84"/>
  <c r="F92"/>
  <c r="F100"/>
  <c r="F108"/>
  <c r="F116"/>
  <c r="F124"/>
  <c r="F132"/>
  <c r="F140"/>
  <c r="F148"/>
  <c r="B36"/>
  <c r="B64"/>
  <c r="B124"/>
  <c r="E10"/>
  <c r="E18"/>
  <c r="E26"/>
  <c r="E34"/>
  <c r="E42"/>
  <c r="E50"/>
  <c r="E58"/>
  <c r="E66"/>
  <c r="E74"/>
  <c r="E82"/>
  <c r="E90"/>
  <c r="E98"/>
  <c r="E106"/>
  <c r="E114"/>
  <c r="E122"/>
  <c r="E130"/>
  <c r="E138"/>
  <c r="E146"/>
  <c r="B31"/>
  <c r="B47"/>
  <c r="B63"/>
  <c r="B79"/>
  <c r="B95"/>
  <c r="B111"/>
  <c r="B127"/>
  <c r="B143"/>
  <c r="B114"/>
  <c r="B142"/>
  <c r="B120"/>
  <c r="D26"/>
  <c r="D34"/>
  <c r="D42"/>
  <c r="D50"/>
  <c r="D58"/>
  <c r="D66"/>
  <c r="D74"/>
  <c r="D82"/>
  <c r="D90"/>
  <c r="D98"/>
  <c r="D106"/>
  <c r="D114"/>
  <c r="D122"/>
  <c r="D130"/>
  <c r="D138"/>
  <c r="D146"/>
  <c r="D127"/>
  <c r="C142"/>
  <c r="D133"/>
  <c r="D27"/>
  <c r="D35"/>
  <c r="D43"/>
  <c r="D51"/>
  <c r="D59"/>
  <c r="D67"/>
  <c r="D75"/>
  <c r="D83"/>
  <c r="D91"/>
  <c r="D99"/>
  <c r="D107"/>
  <c r="C118"/>
  <c r="D135"/>
  <c r="D121"/>
  <c r="C23"/>
  <c r="C31"/>
  <c r="C39"/>
  <c r="C47"/>
  <c r="C55"/>
  <c r="C63"/>
  <c r="C71"/>
  <c r="C79"/>
  <c r="C87"/>
  <c r="C95"/>
  <c r="C103"/>
  <c r="C111"/>
  <c r="C119"/>
  <c r="C127"/>
  <c r="C135"/>
  <c r="C143"/>
  <c r="D109"/>
  <c r="C136"/>
  <c r="D25"/>
  <c r="D33"/>
  <c r="D41"/>
  <c r="D49"/>
  <c r="D57"/>
  <c r="D65"/>
  <c r="D73"/>
  <c r="D81"/>
  <c r="D89"/>
  <c r="D97"/>
  <c r="D105"/>
  <c r="D125"/>
  <c r="C32"/>
  <c r="C56"/>
  <c r="C80"/>
  <c r="C116"/>
  <c r="D30"/>
  <c r="D70"/>
  <c r="D102"/>
  <c r="D142"/>
  <c r="D31"/>
  <c r="D55"/>
  <c r="D87"/>
  <c r="C126"/>
  <c r="C35"/>
  <c r="C59"/>
  <c r="C91"/>
  <c r="C115"/>
  <c r="C139"/>
  <c r="C148"/>
  <c r="D53"/>
  <c r="D85"/>
  <c r="C144"/>
  <c r="B9"/>
  <c r="C6"/>
  <c r="C7"/>
  <c r="C8"/>
  <c r="C12"/>
  <c r="C16"/>
  <c r="C20"/>
  <c r="C11"/>
  <c r="C15"/>
  <c r="C19"/>
  <c r="C9"/>
  <c r="C13"/>
  <c r="C17"/>
  <c r="C10"/>
  <c r="C14"/>
  <c r="C18"/>
  <c r="B10"/>
  <c r="B12"/>
  <c r="B16"/>
  <c r="B11"/>
  <c r="B15"/>
  <c r="B14"/>
  <c r="B13"/>
  <c r="B18"/>
  <c r="B22"/>
  <c r="B19"/>
  <c r="B17"/>
  <c r="B21"/>
  <c r="B20"/>
  <c r="D8"/>
  <c r="D9"/>
  <c r="D7"/>
  <c r="D6"/>
  <c r="D10"/>
  <c r="D17"/>
  <c r="D12"/>
  <c r="D16"/>
  <c r="D13"/>
  <c r="D11"/>
  <c r="D15"/>
  <c r="D14"/>
  <c r="D19"/>
  <c r="D18"/>
  <c r="D21"/>
  <c r="D23"/>
  <c r="D22"/>
  <c r="D20"/>
  <c r="F11"/>
  <c r="F19"/>
  <c r="F27"/>
  <c r="F35"/>
  <c r="F43"/>
  <c r="F51"/>
  <c r="F59"/>
  <c r="F67"/>
  <c r="F75"/>
  <c r="F83"/>
  <c r="F91"/>
  <c r="F99"/>
  <c r="F107"/>
  <c r="F115"/>
  <c r="F123"/>
  <c r="F131"/>
  <c r="F139"/>
  <c r="F147"/>
  <c r="B38"/>
  <c r="B54"/>
  <c r="B70"/>
  <c r="B86"/>
  <c r="B110"/>
  <c r="B146"/>
  <c r="B144"/>
  <c r="E11"/>
  <c r="E19"/>
  <c r="E27"/>
  <c r="E35"/>
  <c r="E43"/>
  <c r="E51"/>
  <c r="E59"/>
  <c r="E67"/>
  <c r="E75"/>
  <c r="E83"/>
  <c r="E91"/>
  <c r="E99"/>
  <c r="E107"/>
  <c r="E115"/>
  <c r="E123"/>
  <c r="E131"/>
  <c r="E139"/>
  <c r="E147"/>
  <c r="B37"/>
  <c r="B53"/>
  <c r="B69"/>
  <c r="B85"/>
  <c r="B101"/>
  <c r="B117"/>
  <c r="B133"/>
  <c r="B40"/>
  <c r="B76"/>
  <c r="B128"/>
  <c r="F10"/>
  <c r="F18"/>
  <c r="F34"/>
  <c r="F42"/>
  <c r="F50"/>
  <c r="F58"/>
  <c r="F66"/>
  <c r="F74"/>
  <c r="F82"/>
  <c r="F90"/>
  <c r="F98"/>
  <c r="F106"/>
  <c r="F114"/>
  <c r="F122"/>
  <c r="F130"/>
  <c r="F138"/>
  <c r="F146"/>
  <c r="B32"/>
  <c r="B56"/>
  <c r="B104"/>
  <c r="E8"/>
  <c r="E16"/>
  <c r="E24"/>
  <c r="E32"/>
  <c r="E40"/>
  <c r="E48"/>
  <c r="E56"/>
  <c r="E64"/>
  <c r="E72"/>
  <c r="E80"/>
  <c r="E88"/>
  <c r="E96"/>
  <c r="E104"/>
  <c r="E112"/>
  <c r="E120"/>
  <c r="E128"/>
  <c r="E136"/>
  <c r="E144"/>
  <c r="B27"/>
  <c r="B43"/>
  <c r="B59"/>
  <c r="B75"/>
  <c r="B91"/>
  <c r="B107"/>
  <c r="B123"/>
  <c r="B139"/>
  <c r="B106"/>
  <c r="B134"/>
  <c r="B108"/>
  <c r="C25"/>
  <c r="C33"/>
  <c r="C41"/>
  <c r="C49"/>
  <c r="C57"/>
  <c r="C65"/>
  <c r="C73"/>
  <c r="C81"/>
  <c r="C89"/>
  <c r="C97"/>
  <c r="C105"/>
  <c r="C113"/>
  <c r="C121"/>
  <c r="C129"/>
  <c r="C137"/>
  <c r="C145"/>
  <c r="D123"/>
  <c r="C138"/>
  <c r="C128"/>
  <c r="C26"/>
  <c r="C34"/>
  <c r="C42"/>
  <c r="C50"/>
  <c r="C58"/>
  <c r="C66"/>
  <c r="C74"/>
  <c r="C82"/>
  <c r="C90"/>
  <c r="C98"/>
  <c r="C106"/>
  <c r="C114"/>
  <c r="C130"/>
  <c r="D147"/>
  <c r="D145"/>
  <c r="D28"/>
  <c r="D36"/>
  <c r="D44"/>
  <c r="D52"/>
  <c r="D60"/>
  <c r="D68"/>
  <c r="D76"/>
  <c r="D84"/>
  <c r="D92"/>
  <c r="D100"/>
  <c r="D108"/>
  <c r="D116"/>
  <c r="D124"/>
  <c r="D132"/>
  <c r="D140"/>
  <c r="D148"/>
  <c r="C124"/>
  <c r="C24"/>
  <c r="C48"/>
  <c r="C72"/>
  <c r="C96"/>
  <c r="D38"/>
  <c r="D62"/>
  <c r="D86"/>
  <c r="D110"/>
  <c r="D134"/>
  <c r="C120"/>
  <c r="D47"/>
  <c r="D79"/>
  <c r="D111"/>
  <c r="C27"/>
  <c r="C51"/>
  <c r="C83"/>
  <c r="C123"/>
  <c r="D117"/>
  <c r="D45"/>
  <c r="D69"/>
  <c r="D101"/>
  <c r="F9"/>
  <c r="F17"/>
  <c r="F25"/>
  <c r="F33"/>
  <c r="F41"/>
  <c r="F49"/>
  <c r="F57"/>
  <c r="F65"/>
  <c r="F73"/>
  <c r="F81"/>
  <c r="F89"/>
  <c r="F97"/>
  <c r="F105"/>
  <c r="F113"/>
  <c r="F121"/>
  <c r="F129"/>
  <c r="F137"/>
  <c r="F145"/>
  <c r="B34"/>
  <c r="B50"/>
  <c r="B66"/>
  <c r="B82"/>
  <c r="B102"/>
  <c r="B138"/>
  <c r="B132"/>
  <c r="E9"/>
  <c r="E17"/>
  <c r="E25"/>
  <c r="E33"/>
  <c r="E41"/>
  <c r="E49"/>
  <c r="E57"/>
  <c r="E65"/>
  <c r="E73"/>
  <c r="E81"/>
  <c r="E89"/>
  <c r="E97"/>
  <c r="E105"/>
  <c r="E113"/>
  <c r="E121"/>
  <c r="E129"/>
  <c r="E137"/>
  <c r="E145"/>
  <c r="B33"/>
  <c r="B49"/>
  <c r="B65"/>
  <c r="B81"/>
  <c r="B97"/>
  <c r="B113"/>
  <c r="B129"/>
  <c r="B145"/>
  <c r="B68"/>
  <c r="B116"/>
  <c r="F8"/>
  <c r="F16"/>
  <c r="F24"/>
  <c r="F32"/>
  <c r="F40"/>
  <c r="F48"/>
  <c r="F56"/>
  <c r="F64"/>
  <c r="F72"/>
  <c r="F80"/>
  <c r="F88"/>
  <c r="F96"/>
  <c r="F104"/>
  <c r="F112"/>
  <c r="F120"/>
  <c r="F128"/>
  <c r="F136"/>
  <c r="F144"/>
  <c r="B28"/>
  <c r="B48"/>
  <c r="B84"/>
  <c r="E6"/>
  <c r="E14"/>
  <c r="E22"/>
  <c r="E30"/>
  <c r="E38"/>
  <c r="E46"/>
  <c r="E54"/>
  <c r="E62"/>
  <c r="E70"/>
  <c r="E78"/>
  <c r="E86"/>
  <c r="E94"/>
  <c r="E102"/>
  <c r="E110"/>
  <c r="E118"/>
  <c r="E126"/>
  <c r="E134"/>
  <c r="E142"/>
  <c r="B23"/>
  <c r="B39"/>
  <c r="B55"/>
  <c r="B71"/>
  <c r="B87"/>
  <c r="B103"/>
  <c r="B119"/>
  <c r="B135"/>
  <c r="B98"/>
  <c r="B126"/>
  <c r="B92"/>
  <c r="D46"/>
  <c r="D54"/>
  <c r="D94"/>
  <c r="D126"/>
  <c r="C134"/>
  <c r="D63"/>
  <c r="D95"/>
  <c r="D137"/>
  <c r="C67"/>
  <c r="C99"/>
  <c r="C131"/>
  <c r="D37"/>
  <c r="D77"/>
  <c r="C112"/>
  <c r="B12" i="1" l="1"/>
  <c r="B7"/>
  <c r="B8"/>
  <c r="E65" i="5"/>
  <c r="D65"/>
  <c r="C65"/>
  <c r="B65"/>
  <c r="A65"/>
  <c r="F3"/>
  <c r="C15" i="1"/>
  <c r="G3" i="5"/>
  <c r="C13" i="1"/>
  <c r="I65" i="5" l="1"/>
  <c r="H65"/>
  <c r="E64"/>
  <c r="D64"/>
  <c r="C64"/>
  <c r="B64"/>
  <c r="A64"/>
  <c r="I64" l="1"/>
  <c r="H64"/>
  <c r="E63"/>
  <c r="D63"/>
  <c r="C63"/>
  <c r="B63"/>
  <c r="A63"/>
  <c r="I63" l="1"/>
  <c r="H63"/>
  <c r="E62"/>
  <c r="D62"/>
  <c r="C62"/>
  <c r="B62"/>
  <c r="A62"/>
  <c r="I62" l="1"/>
  <c r="H62"/>
  <c r="E61"/>
  <c r="D61"/>
  <c r="C61"/>
  <c r="B61"/>
  <c r="A61"/>
  <c r="I61" l="1"/>
  <c r="H61"/>
  <c r="E60"/>
  <c r="D60"/>
  <c r="C60"/>
  <c r="B60"/>
  <c r="A60"/>
  <c r="I60" l="1"/>
  <c r="H60"/>
  <c r="E59"/>
  <c r="D59"/>
  <c r="C59"/>
  <c r="B59"/>
  <c r="A59"/>
  <c r="I59" l="1"/>
  <c r="H59"/>
  <c r="E58"/>
  <c r="D58"/>
  <c r="C58"/>
  <c r="B58"/>
  <c r="A58"/>
  <c r="I58" l="1"/>
  <c r="H58"/>
  <c r="E57"/>
  <c r="D57"/>
  <c r="C57"/>
  <c r="B57"/>
  <c r="A57"/>
  <c r="I57" l="1"/>
  <c r="H57"/>
  <c r="E56"/>
  <c r="D56"/>
  <c r="C56"/>
  <c r="B56"/>
  <c r="A56"/>
  <c r="I56" l="1"/>
  <c r="H56"/>
  <c r="E55"/>
  <c r="D55"/>
  <c r="C55"/>
  <c r="B55"/>
  <c r="A55"/>
  <c r="I55" l="1"/>
  <c r="H55"/>
  <c r="E54"/>
  <c r="D54"/>
  <c r="C54"/>
  <c r="B54"/>
  <c r="A54"/>
  <c r="I54" l="1"/>
  <c r="H54"/>
  <c r="E53"/>
  <c r="D53"/>
  <c r="C53"/>
  <c r="B53"/>
  <c r="A53"/>
  <c r="I53" l="1"/>
  <c r="H53"/>
  <c r="E52"/>
  <c r="D52"/>
  <c r="C52"/>
  <c r="B52"/>
  <c r="A52"/>
  <c r="I52" l="1"/>
  <c r="H52"/>
  <c r="E51"/>
  <c r="D51"/>
  <c r="C51"/>
  <c r="B51"/>
  <c r="A51"/>
  <c r="I51" l="1"/>
  <c r="H51"/>
  <c r="E50"/>
  <c r="D50"/>
  <c r="C50"/>
  <c r="B50"/>
  <c r="A50"/>
  <c r="I50" l="1"/>
  <c r="H50"/>
  <c r="E49"/>
  <c r="D49"/>
  <c r="C49"/>
  <c r="B49"/>
  <c r="A49"/>
  <c r="I49" l="1"/>
  <c r="H49"/>
  <c r="E48"/>
  <c r="D48"/>
  <c r="C48"/>
  <c r="B48"/>
  <c r="A48"/>
  <c r="I48" l="1"/>
  <c r="H48"/>
  <c r="E47"/>
  <c r="D47"/>
  <c r="C47"/>
  <c r="B47"/>
  <c r="A47"/>
  <c r="I47" l="1"/>
  <c r="H47"/>
  <c r="E46"/>
  <c r="D46"/>
  <c r="C46"/>
  <c r="B46"/>
  <c r="A46"/>
  <c r="I46" l="1"/>
  <c r="H46"/>
  <c r="E45"/>
  <c r="D45"/>
  <c r="C45"/>
  <c r="B45"/>
  <c r="A45"/>
  <c r="I45" l="1"/>
  <c r="H45"/>
  <c r="E44"/>
  <c r="D44"/>
  <c r="C44"/>
  <c r="B44"/>
  <c r="A44"/>
  <c r="I44" l="1"/>
  <c r="H44"/>
  <c r="E43"/>
  <c r="D43"/>
  <c r="C43"/>
  <c r="B43"/>
  <c r="A43"/>
  <c r="I43" l="1"/>
  <c r="H43"/>
  <c r="E42"/>
  <c r="D42"/>
  <c r="C42"/>
  <c r="B42"/>
  <c r="A42"/>
  <c r="I42" l="1"/>
  <c r="H42"/>
  <c r="E41"/>
  <c r="D41"/>
  <c r="C41"/>
  <c r="B41"/>
  <c r="A41"/>
  <c r="I41" l="1"/>
  <c r="H41"/>
  <c r="E40"/>
  <c r="D40"/>
  <c r="C40"/>
  <c r="B40"/>
  <c r="A40"/>
  <c r="A39"/>
  <c r="A38"/>
  <c r="A37"/>
  <c r="A36"/>
  <c r="E39"/>
  <c r="D39"/>
  <c r="C39"/>
  <c r="B39"/>
  <c r="I40" l="1"/>
  <c r="H40"/>
  <c r="I39"/>
  <c r="H39"/>
  <c r="E38"/>
  <c r="D38"/>
  <c r="C38"/>
  <c r="B38"/>
  <c r="I38" l="1"/>
  <c r="H38"/>
  <c r="E37"/>
  <c r="D37"/>
  <c r="C37"/>
  <c r="B37"/>
  <c r="I37" l="1"/>
  <c r="I35" s="1"/>
  <c r="H37"/>
  <c r="H35" s="1"/>
  <c r="E36"/>
  <c r="D36"/>
  <c r="C36"/>
  <c r="B36"/>
  <c r="I4" l="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6"/>
  <c r="H36"/>
  <c r="H6" l="1"/>
  <c r="H4"/>
  <c r="H5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I3"/>
  <c r="I1" s="1"/>
  <c r="H3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5"/>
  <c r="D6"/>
  <c r="D4"/>
  <c r="D3"/>
  <c r="C33"/>
  <c r="B33"/>
  <c r="C32"/>
  <c r="B32"/>
  <c r="C31"/>
  <c r="B31"/>
  <c r="C30"/>
  <c r="B30"/>
  <c r="C29"/>
  <c r="B29"/>
  <c r="C28"/>
  <c r="B28"/>
  <c r="C27"/>
  <c r="B27"/>
  <c r="C26"/>
  <c r="B26"/>
  <c r="C25"/>
  <c r="B25"/>
  <c r="C24"/>
  <c r="B24"/>
  <c r="C23"/>
  <c r="B23"/>
  <c r="C22"/>
  <c r="B22"/>
  <c r="C21"/>
  <c r="B21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3"/>
  <c r="B3"/>
  <c r="H1" l="1"/>
  <c r="H1" i="1" l="1"/>
  <c r="F17"/>
  <c r="B6" l="1"/>
  <c r="I18"/>
  <c r="J18"/>
  <c r="Q18"/>
  <c r="P18"/>
  <c r="O18"/>
  <c r="N18"/>
  <c r="Q14"/>
  <c r="Q13"/>
  <c r="Q12"/>
  <c r="Q11"/>
  <c r="Q10"/>
  <c r="Q9"/>
  <c r="Q16"/>
  <c r="Q4"/>
  <c r="P14"/>
  <c r="P13"/>
  <c r="P12"/>
  <c r="P11"/>
  <c r="P10"/>
  <c r="P9"/>
  <c r="P16"/>
  <c r="P4"/>
  <c r="O16"/>
  <c r="O14"/>
  <c r="O13"/>
  <c r="O12"/>
  <c r="O11"/>
  <c r="O10"/>
  <c r="O9"/>
  <c r="O4"/>
  <c r="L16"/>
  <c r="L14"/>
  <c r="L13"/>
  <c r="L12"/>
  <c r="L11"/>
  <c r="L10"/>
  <c r="L9"/>
  <c r="L4"/>
  <c r="K10"/>
  <c r="K9"/>
  <c r="K14"/>
  <c r="K13"/>
  <c r="K12"/>
  <c r="K11"/>
  <c r="K16"/>
  <c r="K4"/>
  <c r="N4"/>
  <c r="N16"/>
  <c r="J4" l="1"/>
  <c r="J16" s="1"/>
  <c r="M16"/>
  <c r="M4"/>
  <c r="I11"/>
  <c r="M14"/>
  <c r="M13"/>
  <c r="M12"/>
  <c r="M11"/>
  <c r="I10"/>
  <c r="I9"/>
  <c r="J10"/>
  <c r="J14"/>
  <c r="J13"/>
  <c r="J12"/>
  <c r="J11"/>
  <c r="J9"/>
  <c r="J6" l="1"/>
  <c r="J8"/>
  <c r="J7"/>
  <c r="G13"/>
  <c r="G17"/>
  <c r="G18"/>
  <c r="G19"/>
  <c r="G4"/>
  <c r="G10"/>
  <c r="G16"/>
  <c r="G11"/>
  <c r="G14"/>
  <c r="G12"/>
  <c r="G9"/>
  <c r="B11"/>
  <c r="B3" l="1"/>
  <c r="F3"/>
  <c r="F9"/>
  <c r="F7"/>
  <c r="F4"/>
  <c r="F11"/>
  <c r="F10"/>
  <c r="F18"/>
  <c r="F14"/>
  <c r="F8"/>
  <c r="F12"/>
  <c r="F6"/>
  <c r="F21"/>
  <c r="C14"/>
  <c r="F22"/>
  <c r="F5"/>
  <c r="F13"/>
  <c r="F15" l="1"/>
  <c r="H18"/>
  <c r="H17"/>
  <c r="F16"/>
  <c r="F23"/>
  <c r="H4"/>
  <c r="Q15"/>
  <c r="P15"/>
  <c r="O15"/>
  <c r="H9"/>
  <c r="H10"/>
  <c r="H14"/>
  <c r="H13"/>
  <c r="H12"/>
  <c r="H11"/>
  <c r="J15"/>
  <c r="L15"/>
  <c r="K15"/>
  <c r="N15"/>
  <c r="M15"/>
  <c r="H16" l="1"/>
  <c r="G15"/>
  <c r="H15" s="1"/>
</calcChain>
</file>

<file path=xl/sharedStrings.xml><?xml version="1.0" encoding="utf-8"?>
<sst xmlns="http://schemas.openxmlformats.org/spreadsheetml/2006/main" count="421" uniqueCount="355">
  <si>
    <t>N</t>
  </si>
  <si>
    <t>i</t>
  </si>
  <si>
    <t>w</t>
  </si>
  <si>
    <t>a</t>
  </si>
  <si>
    <t>e</t>
  </si>
  <si>
    <t>M</t>
  </si>
  <si>
    <t>Sun</t>
  </si>
  <si>
    <t>*d</t>
  </si>
  <si>
    <t>K</t>
  </si>
  <si>
    <t>Y</t>
  </si>
  <si>
    <t>D</t>
  </si>
  <si>
    <t>H</t>
  </si>
  <si>
    <t>S</t>
  </si>
  <si>
    <t>m</t>
  </si>
  <si>
    <t>Eccentric Anomaly</t>
  </si>
  <si>
    <t>longitude of the ascending node</t>
  </si>
  <si>
    <t>inclination to the ecliptic (plane of the Earth's orbit)</t>
  </si>
  <si>
    <t>argument of perihelion</t>
  </si>
  <si>
    <t>semi-major axis, or mean distance from Sun</t>
  </si>
  <si>
    <t>eccentricity (0=circle, 0-1=ellipse, 1=parabola)</t>
  </si>
  <si>
    <t>mean anomaly (0 at perihelion; increases uniformly with time)</t>
  </si>
  <si>
    <t>days</t>
  </si>
  <si>
    <t>Mean Anomaly</t>
  </si>
  <si>
    <t>Eccentricity</t>
  </si>
  <si>
    <t>Latitude</t>
  </si>
  <si>
    <t>Longitude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</si>
  <si>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</si>
  <si>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</si>
  <si>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</si>
  <si>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</si>
  <si>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</si>
  <si>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</si>
  <si>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</si>
  <si>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</si>
  <si>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Planet</t>
  </si>
  <si>
    <t>True anomaly</t>
  </si>
  <si>
    <t>Mag</t>
  </si>
  <si>
    <t>Sun Data</t>
  </si>
  <si>
    <t>LST</t>
  </si>
  <si>
    <t>JD</t>
  </si>
  <si>
    <t>temperature</t>
  </si>
  <si>
    <t>Pressure</t>
  </si>
  <si>
    <t>C</t>
  </si>
  <si>
    <t>hPa</t>
  </si>
  <si>
    <t>INPUTS</t>
  </si>
  <si>
    <t>Sample 1</t>
  </si>
  <si>
    <t>Object IDs</t>
  </si>
  <si>
    <t>Pluto</t>
  </si>
  <si>
    <t>1AU</t>
  </si>
  <si>
    <t>Earth Rad</t>
  </si>
  <si>
    <t>Geocentric x</t>
  </si>
  <si>
    <t>Geocentric y</t>
  </si>
  <si>
    <t>Geocentric z</t>
  </si>
  <si>
    <t>Ecliptic Longitude</t>
  </si>
  <si>
    <t>Ecliptic Latitude</t>
  </si>
  <si>
    <t>RA</t>
  </si>
  <si>
    <t>Dec</t>
  </si>
  <si>
    <t>Alt</t>
  </si>
  <si>
    <t>Az</t>
  </si>
  <si>
    <t>Hour Angle</t>
  </si>
  <si>
    <t xml:space="preserve">Mars </t>
  </si>
  <si>
    <t>Comparison</t>
  </si>
  <si>
    <t>Error arcsecs</t>
  </si>
  <si>
    <t>Dist from Sun</t>
  </si>
  <si>
    <t>Dist from Earth</t>
  </si>
  <si>
    <t>Planet No</t>
  </si>
  <si>
    <t xml:space="preserve">Uranus </t>
  </si>
  <si>
    <t>Sgr</t>
  </si>
  <si>
    <t>Psc</t>
  </si>
  <si>
    <t>Size</t>
  </si>
  <si>
    <t>Apparent Size</t>
  </si>
  <si>
    <t>Constellation</t>
  </si>
  <si>
    <t>Aqr</t>
  </si>
  <si>
    <t>Lib</t>
  </si>
  <si>
    <t>Oph</t>
  </si>
  <si>
    <t>Gem</t>
  </si>
  <si>
    <t>Absolute Magnitude</t>
  </si>
  <si>
    <t>Size in arcsecs</t>
  </si>
  <si>
    <t>size</t>
  </si>
  <si>
    <t>Check on Dist</t>
  </si>
  <si>
    <t>Date</t>
  </si>
  <si>
    <t>Earth</t>
  </si>
  <si>
    <t>Sunrise</t>
  </si>
  <si>
    <t>Sunset</t>
  </si>
  <si>
    <t>Mar</t>
  </si>
  <si>
    <t>Length</t>
  </si>
  <si>
    <t>Difference</t>
  </si>
  <si>
    <t>Start</t>
  </si>
  <si>
    <t>End</t>
  </si>
  <si>
    <t>Time</t>
  </si>
  <si>
    <t>Mil. km</t>
  </si>
  <si>
    <t>06:50 ? (101°)</t>
  </si>
  <si>
    <t>17:44 ? (259°)</t>
  </si>
  <si>
    <t>+3:57</t>
  </si>
  <si>
    <t>12:17 (30.8°)</t>
  </si>
  <si>
    <t>06:48 ? (101°)</t>
  </si>
  <si>
    <t>17:46 ? (260°)</t>
  </si>
  <si>
    <t>12:17 (31.2°)</t>
  </si>
  <si>
    <t>06:46 ? (100°)</t>
  </si>
  <si>
    <t>17:48 ? (260°)</t>
  </si>
  <si>
    <t>+3:58</t>
  </si>
  <si>
    <t>12:16 (31.5°)</t>
  </si>
  <si>
    <t>06:44 ? (99°)</t>
  </si>
  <si>
    <t>17:50 ? (261°)</t>
  </si>
  <si>
    <t>12:16 (31.9°)</t>
  </si>
  <si>
    <t>06:42 ? (99°)</t>
  </si>
  <si>
    <t>17:51 ? (262°)</t>
  </si>
  <si>
    <t>+3:59</t>
  </si>
  <si>
    <t>12:16 (32.3°)</t>
  </si>
  <si>
    <t>06:39 ? (98°)</t>
  </si>
  <si>
    <t>17:53 ? (262°)</t>
  </si>
  <si>
    <t>12:16 (32.7°)</t>
  </si>
  <si>
    <t>06:37 ? (97°)</t>
  </si>
  <si>
    <t>17:55 ? (263°)</t>
  </si>
  <si>
    <t>12:16 (33.1°)</t>
  </si>
  <si>
    <t>06:35 ? (97°)</t>
  </si>
  <si>
    <t>17:57 ? (263°)</t>
  </si>
  <si>
    <t>+4:00</t>
  </si>
  <si>
    <t>12:15 (33.5°)</t>
  </si>
  <si>
    <t>06:33 ? (96°)</t>
  </si>
  <si>
    <t>17:58 ? (264°)</t>
  </si>
  <si>
    <t>12:15 (33.9°)</t>
  </si>
  <si>
    <t>06:30 ? (96°)</t>
  </si>
  <si>
    <t>18:00 ? (265°)</t>
  </si>
  <si>
    <t>12:15 (34.3°)</t>
  </si>
  <si>
    <t>06:28 ? (95°)</t>
  </si>
  <si>
    <t>18:02 ? (265°)</t>
  </si>
  <si>
    <t>12:15 (34.6°)</t>
  </si>
  <si>
    <t>06:26 ? (94°)</t>
  </si>
  <si>
    <t>18:04 ? (266°)</t>
  </si>
  <si>
    <t>12:14 (35.0°)</t>
  </si>
  <si>
    <t>06:24 ? (94°)</t>
  </si>
  <si>
    <t>18:05 ? (267°)</t>
  </si>
  <si>
    <t>12:14 (35.4°)</t>
  </si>
  <si>
    <t>06:21 ? (93°)</t>
  </si>
  <si>
    <t>18:07 ? (267°)</t>
  </si>
  <si>
    <t>+4:01</t>
  </si>
  <si>
    <t>12:14 (35.8°)</t>
  </si>
  <si>
    <t>06:19 ? (92°)</t>
  </si>
  <si>
    <t>18:09 ? (268°)</t>
  </si>
  <si>
    <t>12:13 (36.2°)</t>
  </si>
  <si>
    <t>06:17 ? (92°)</t>
  </si>
  <si>
    <t>18:11 ? (269°)</t>
  </si>
  <si>
    <t>12:13 (36.6°)</t>
  </si>
  <si>
    <t>06:14 ? (91°)</t>
  </si>
  <si>
    <t>18:12 ? (269°)</t>
  </si>
  <si>
    <t>+4:02</t>
  </si>
  <si>
    <t>12:13 (37.0°)</t>
  </si>
  <si>
    <t>06:12 ? (90°)</t>
  </si>
  <si>
    <t>18:14 ? (270°)</t>
  </si>
  <si>
    <t>12:13 (37.4°)</t>
  </si>
  <si>
    <t>06:10 ? (90°)</t>
  </si>
  <si>
    <t>18:16 ? (270°)</t>
  </si>
  <si>
    <t>12:12 (37.8°)</t>
  </si>
  <si>
    <t>06:08 ? (89°)</t>
  </si>
  <si>
    <t>18:17 ? (271°)</t>
  </si>
  <si>
    <t>12:12 (38.2°)</t>
  </si>
  <si>
    <t>06:05 ? (89°)</t>
  </si>
  <si>
    <t>18:19 ? (272°)</t>
  </si>
  <si>
    <t>12:12 (38.6°)</t>
  </si>
  <si>
    <t>06:03 ? (88°)</t>
  </si>
  <si>
    <t>18:21 ? (272°)</t>
  </si>
  <si>
    <t>12:11 (39.0°)</t>
  </si>
  <si>
    <t>06:01 ? (87°)</t>
  </si>
  <si>
    <t>18:23 ? (273°)</t>
  </si>
  <si>
    <t>12:11 (39.4°)</t>
  </si>
  <si>
    <t>05:58 ? (87°)</t>
  </si>
  <si>
    <t>18:24 ? (274°)</t>
  </si>
  <si>
    <t>12:11 (39.8°)</t>
  </si>
  <si>
    <t>06:56 ? (86°)</t>
  </si>
  <si>
    <t>19:26 ? (274°)</t>
  </si>
  <si>
    <t>13:10 (40.2°)</t>
  </si>
  <si>
    <t>06:54 ? (85°)</t>
  </si>
  <si>
    <t>19:28 ? (275°)</t>
  </si>
  <si>
    <t>13:10 (40.6°)</t>
  </si>
  <si>
    <t>06:51 ? (85°)</t>
  </si>
  <si>
    <t>19:29 ? (276°)</t>
  </si>
  <si>
    <t>13:10 (41.0°)</t>
  </si>
  <si>
    <t>06:49 ? (84°)</t>
  </si>
  <si>
    <t>19:31 ? (276°)</t>
  </si>
  <si>
    <t>13:10 (41.3°)</t>
  </si>
  <si>
    <t>06:47 ? (83°)</t>
  </si>
  <si>
    <t>19:33 ? (277°)</t>
  </si>
  <si>
    <t>13:09 (41.7°)</t>
  </si>
  <si>
    <t>06:45 ? (83°)</t>
  </si>
  <si>
    <t>19:34 ? (277°)</t>
  </si>
  <si>
    <t>13:09 (42.1°)</t>
  </si>
  <si>
    <t>06:42 ? (82°)</t>
  </si>
  <si>
    <t>19:36 ? (278°)</t>
  </si>
  <si>
    <t>13:09 (42.5°)</t>
  </si>
  <si>
    <t>Civil Twilight</t>
  </si>
  <si>
    <t>Astro Twilight</t>
  </si>
  <si>
    <t>Nautical Twilight</t>
  </si>
  <si>
    <t>Solar Noon</t>
  </si>
  <si>
    <t>From Web</t>
  </si>
  <si>
    <t>My Calc</t>
  </si>
  <si>
    <t>Error (secs)</t>
  </si>
  <si>
    <t>Angle</t>
  </si>
  <si>
    <t>Nov</t>
  </si>
  <si>
    <t>06:59 ? (113°)</t>
  </si>
  <si>
    <t>16:36 ? (247°)</t>
  </si>
  <si>
    <t>11:48 (23.7°)</t>
  </si>
  <si>
    <t>07:01 ? (113°)</t>
  </si>
  <si>
    <t>16:35 ? (246°)</t>
  </si>
  <si>
    <t>11:48 (23.4°)</t>
  </si>
  <si>
    <t>07:03 ? (114°)</t>
  </si>
  <si>
    <t>16:33 ? (246°)</t>
  </si>
  <si>
    <t>11:48 (23.1°)</t>
  </si>
  <si>
    <t>07:04 ? (114°)</t>
  </si>
  <si>
    <t>16:31 ? (245°)</t>
  </si>
  <si>
    <t>11:48 (22.8°)</t>
  </si>
  <si>
    <t>07:06 ? (115°)</t>
  </si>
  <si>
    <t>16:29 ? (245°)</t>
  </si>
  <si>
    <t>11:48 (22.4°)</t>
  </si>
  <si>
    <t>07:08 ? (115°)</t>
  </si>
  <si>
    <t>16:28 ? (244°)</t>
  </si>
  <si>
    <t>11:48 (22.1°)</t>
  </si>
  <si>
    <t>07:10 ? (116°)</t>
  </si>
  <si>
    <t>16:26 ? (244°)</t>
  </si>
  <si>
    <t>11:48 (21.9°)</t>
  </si>
  <si>
    <t>07:12 ? (116°)</t>
  </si>
  <si>
    <t>16:24 ? (243°)</t>
  </si>
  <si>
    <t>11:48 (21.6°)</t>
  </si>
  <si>
    <t>07:13 ? (117°)</t>
  </si>
  <si>
    <t>16:23 ? (243°)</t>
  </si>
  <si>
    <t>11:48 (21.3°)</t>
  </si>
  <si>
    <t>07:15 ? (117°)</t>
  </si>
  <si>
    <t>16:21 ? (242°)</t>
  </si>
  <si>
    <t>11:48 (21.0°)</t>
  </si>
  <si>
    <t>07:17 ? (118°)</t>
  </si>
  <si>
    <t>16:20 ? (242°)</t>
  </si>
  <si>
    <t>11:49 (20.7°)</t>
  </si>
  <si>
    <t>07:19 ? (118°)</t>
  </si>
  <si>
    <t>16:18 ? (241°)</t>
  </si>
  <si>
    <t>11:49 (20.5°)</t>
  </si>
  <si>
    <t>07:20 ? (119°)</t>
  </si>
  <si>
    <t>16:17 ? (241°)</t>
  </si>
  <si>
    <t>11:49 (20.2°)</t>
  </si>
  <si>
    <t>07:22 ? (119°)</t>
  </si>
  <si>
    <t>16:15 ? (241°)</t>
  </si>
  <si>
    <t>11:49 (19.9°)</t>
  </si>
  <si>
    <t>07:24 ? (120°)</t>
  </si>
  <si>
    <t>16:14 ? (240°)</t>
  </si>
  <si>
    <t>11:49 (19.7°)</t>
  </si>
  <si>
    <t>07:25 ? (120°)</t>
  </si>
  <si>
    <t>16:13 ? (240°)</t>
  </si>
  <si>
    <t>11:49 (19.4°)</t>
  </si>
  <si>
    <t>07:27 ? (121°)</t>
  </si>
  <si>
    <t>16:11 ? (239°)</t>
  </si>
  <si>
    <t>-3:00</t>
  </si>
  <si>
    <t>11:50 (19.2°)</t>
  </si>
  <si>
    <t>07:29 ? (121°)</t>
  </si>
  <si>
    <t>16:10 ? (239°)</t>
  </si>
  <si>
    <t>11:50 (18.9°)</t>
  </si>
  <si>
    <t>07:31 ? (121°)</t>
  </si>
  <si>
    <t>16:09 ? (238°)</t>
  </si>
  <si>
    <t>11:50 (18.7°)</t>
  </si>
  <si>
    <t>07:32 ? (122°)</t>
  </si>
  <si>
    <t>16:08 ? (238°)</t>
  </si>
  <si>
    <t>11:50 (18.5°)</t>
  </si>
  <si>
    <t>07:34 ? (122°)</t>
  </si>
  <si>
    <t>16:07 ? (238°)</t>
  </si>
  <si>
    <t>11:50 (18.3°)</t>
  </si>
  <si>
    <t>07:36 ? (123°)</t>
  </si>
  <si>
    <t>16:05 ? (237°)</t>
  </si>
  <si>
    <t>11:51 (18.1°)</t>
  </si>
  <si>
    <t>07:37 ? (123°)</t>
  </si>
  <si>
    <t>16:04 ? (237°)</t>
  </si>
  <si>
    <t>11:51 (17.8°)</t>
  </si>
  <si>
    <t>07:39 ? (123°)</t>
  </si>
  <si>
    <t>16:03 ? (236°)</t>
  </si>
  <si>
    <t>11:51 (17.6°)</t>
  </si>
  <si>
    <t>07:40 ? (124°)</t>
  </si>
  <si>
    <t>16:02 ? (236°)</t>
  </si>
  <si>
    <t>11:52 (17.4°)</t>
  </si>
  <si>
    <t>07:42 ? (124°)</t>
  </si>
  <si>
    <t>16:01 ? (236°)</t>
  </si>
  <si>
    <t>11:52 (17.3°)</t>
  </si>
  <si>
    <t>07:43 ? (124°)</t>
  </si>
  <si>
    <t>16:01 ? (235°)</t>
  </si>
  <si>
    <t>11:52 (17.1°)</t>
  </si>
  <si>
    <t>07:45 ? (125°)</t>
  </si>
  <si>
    <t>16:00 ? (235°)</t>
  </si>
  <si>
    <t>11:53 (16.9°)</t>
  </si>
  <si>
    <t>07:46 ? (125°)</t>
  </si>
  <si>
    <t>15:59 ? (235°)</t>
  </si>
  <si>
    <t>11:53 (16.7°)</t>
  </si>
  <si>
    <t>07:48 ? (125°)</t>
  </si>
  <si>
    <t>15:58 ? (235°)</t>
  </si>
  <si>
    <t>11:53 (16.6°)</t>
  </si>
  <si>
    <t>-3:37</t>
  </si>
  <si>
    <t>-3:35</t>
  </si>
  <si>
    <t>-3:33</t>
  </si>
  <si>
    <t>-3:32</t>
  </si>
  <si>
    <t>-3:30</t>
  </si>
  <si>
    <t>-3:28</t>
  </si>
  <si>
    <t>-3:26</t>
  </si>
  <si>
    <t>-3:25</t>
  </si>
  <si>
    <t>-3:21</t>
  </si>
  <si>
    <t>-3:20</t>
  </si>
  <si>
    <t>-3:17</t>
  </si>
  <si>
    <t>-3:15</t>
  </si>
  <si>
    <t>-3:12</t>
  </si>
  <si>
    <t>-3:11</t>
  </si>
  <si>
    <t>-3:7</t>
  </si>
  <si>
    <t>-3:4</t>
  </si>
  <si>
    <t>-2:58</t>
  </si>
  <si>
    <t>-2:54</t>
  </si>
  <si>
    <t>-2:51</t>
  </si>
  <si>
    <t>-2:47</t>
  </si>
  <si>
    <t>-2:44</t>
  </si>
  <si>
    <t>-2:40</t>
  </si>
  <si>
    <t>-2:36</t>
  </si>
  <si>
    <t>-2:32</t>
  </si>
  <si>
    <t>-2:28</t>
  </si>
  <si>
    <t>-2:22</t>
  </si>
  <si>
    <t>-2:19</t>
  </si>
  <si>
    <t>-2:14</t>
  </si>
  <si>
    <t>-2:9</t>
  </si>
  <si>
    <t>Culminate</t>
  </si>
  <si>
    <t>Visual</t>
  </si>
  <si>
    <t>Imaging</t>
  </si>
  <si>
    <t>Best Alt</t>
  </si>
  <si>
    <t>Best Time</t>
  </si>
  <si>
    <t>Observer Location</t>
  </si>
  <si>
    <t>Int</t>
  </si>
  <si>
    <t>d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</si>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</sst>
</file>

<file path=xl/styles.xml><?xml version="1.0" encoding="utf-8"?>
<styleSheet xmlns="http://schemas.openxmlformats.org/spreadsheetml/2006/main">
  <numFmts count="18">
    <numFmt numFmtId="43" formatCode="_-* #,##0.00_-;\-* #,##0.00_-;_-* &quot;-&quot;??_-;_-@_-"/>
    <numFmt numFmtId="164" formatCode="0.000E+00"/>
    <numFmt numFmtId="165" formatCode="0.00000E+00"/>
    <numFmt numFmtId="166" formatCode="0.0000000000"/>
    <numFmt numFmtId="167" formatCode="_-* #,##0_-;\-* #,##0_-;_-* &quot;-&quot;??_-;_-@_-"/>
    <numFmt numFmtId="168" formatCode="0.0000000"/>
    <numFmt numFmtId="169" formatCode="0.00000"/>
    <numFmt numFmtId="170" formatCode="0.0000"/>
    <numFmt numFmtId="171" formatCode="_-* ###0_-;\-* ###0_-;_-* &quot;-&quot;??_-;_-@_-"/>
    <numFmt numFmtId="172" formatCode="_-* #,##0.0000_-;\-* #,##0.0000_-;_-* &quot;-&quot;??_-;_-@_-"/>
    <numFmt numFmtId="173" formatCode="0.00000000"/>
    <numFmt numFmtId="174" formatCode="_-* #,##0.000000_-;\-* #,##0.000000_-;_-* &quot;-&quot;??_-;_-@_-"/>
    <numFmt numFmtId="175" formatCode="_-* #,##0.00000_-;\-* #,##0.00000_-;_-* &quot;-&quot;??_-;_-@_-"/>
    <numFmt numFmtId="176" formatCode="0.0000%"/>
    <numFmt numFmtId="177" formatCode="_-* #,##0.0_-;\-* #,##0.0_-;_-* &quot;-&quot;??_-;_-@_-"/>
    <numFmt numFmtId="178" formatCode="0.0"/>
    <numFmt numFmtId="179" formatCode="_#\,##0.00000_-;#\-##0.00000_-;_-* &quot;-&quot;??_-;_-@_-"/>
    <numFmt numFmtId="180" formatCode="_-#,##0.00000_-;\-#,##0.00000_-;_-* &quot;-&quot;??_-;_-@_-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120">
    <xf numFmtId="0" fontId="0" fillId="0" borderId="0" xfId="0"/>
    <xf numFmtId="0" fontId="2" fillId="0" borderId="0" xfId="0" applyFont="1"/>
    <xf numFmtId="22" fontId="0" fillId="0" borderId="0" xfId="0" applyNumberFormat="1"/>
    <xf numFmtId="0" fontId="0" fillId="0" borderId="1" xfId="0" applyBorder="1"/>
    <xf numFmtId="11" fontId="0" fillId="0" borderId="2" xfId="0" applyNumberFormat="1" applyBorder="1"/>
    <xf numFmtId="0" fontId="0" fillId="0" borderId="3" xfId="0" applyBorder="1"/>
    <xf numFmtId="11" fontId="0" fillId="0" borderId="4" xfId="0" applyNumberFormat="1" applyBorder="1"/>
    <xf numFmtId="0" fontId="0" fillId="0" borderId="4" xfId="0" applyBorder="1"/>
    <xf numFmtId="0" fontId="0" fillId="0" borderId="5" xfId="0" applyBorder="1"/>
    <xf numFmtId="11" fontId="0" fillId="0" borderId="6" xfId="0" applyNumberFormat="1" applyBorder="1"/>
    <xf numFmtId="0" fontId="0" fillId="0" borderId="2" xfId="0" applyBorder="1"/>
    <xf numFmtId="0" fontId="0" fillId="0" borderId="6" xfId="0" applyBorder="1"/>
    <xf numFmtId="165" fontId="0" fillId="0" borderId="4" xfId="0" applyNumberFormat="1" applyBorder="1"/>
    <xf numFmtId="164" fontId="0" fillId="0" borderId="4" xfId="0" applyNumberFormat="1" applyBorder="1"/>
    <xf numFmtId="166" fontId="2" fillId="0" borderId="6" xfId="0" applyNumberFormat="1" applyFont="1" applyBorder="1"/>
    <xf numFmtId="170" fontId="0" fillId="0" borderId="5" xfId="0" applyNumberFormat="1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right"/>
    </xf>
    <xf numFmtId="43" fontId="0" fillId="0" borderId="0" xfId="1" applyFont="1"/>
    <xf numFmtId="0" fontId="3" fillId="0" borderId="1" xfId="0" applyFont="1" applyBorder="1"/>
    <xf numFmtId="171" fontId="3" fillId="0" borderId="2" xfId="1" applyNumberFormat="1" applyFont="1" applyBorder="1" applyAlignment="1">
      <alignment horizontal="center"/>
    </xf>
    <xf numFmtId="0" fontId="3" fillId="0" borderId="3" xfId="0" applyFont="1" applyBorder="1"/>
    <xf numFmtId="167" fontId="3" fillId="0" borderId="4" xfId="1" applyNumberFormat="1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167" fontId="3" fillId="0" borderId="6" xfId="1" applyNumberFormat="1" applyFont="1" applyBorder="1" applyAlignment="1">
      <alignment horizontal="center"/>
    </xf>
    <xf numFmtId="0" fontId="3" fillId="0" borderId="0" xfId="0" applyFont="1"/>
    <xf numFmtId="0" fontId="0" fillId="0" borderId="11" xfId="0" applyBorder="1"/>
    <xf numFmtId="0" fontId="0" fillId="0" borderId="12" xfId="0" applyBorder="1"/>
    <xf numFmtId="169" fontId="0" fillId="0" borderId="2" xfId="0" applyNumberFormat="1" applyBorder="1"/>
    <xf numFmtId="0" fontId="0" fillId="0" borderId="0" xfId="0" applyBorder="1"/>
    <xf numFmtId="0" fontId="0" fillId="0" borderId="13" xfId="0" applyBorder="1"/>
    <xf numFmtId="169" fontId="0" fillId="0" borderId="0" xfId="0" applyNumberFormat="1" applyBorder="1"/>
    <xf numFmtId="169" fontId="0" fillId="0" borderId="12" xfId="0" applyNumberFormat="1" applyBorder="1"/>
    <xf numFmtId="0" fontId="2" fillId="0" borderId="3" xfId="0" applyFont="1" applyBorder="1"/>
    <xf numFmtId="11" fontId="2" fillId="0" borderId="4" xfId="0" applyNumberFormat="1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" xfId="0" applyFont="1" applyBorder="1"/>
    <xf numFmtId="11" fontId="2" fillId="0" borderId="2" xfId="0" applyNumberFormat="1" applyFont="1" applyBorder="1"/>
    <xf numFmtId="172" fontId="0" fillId="0" borderId="4" xfId="1" applyNumberFormat="1" applyFont="1" applyBorder="1"/>
    <xf numFmtId="172" fontId="0" fillId="0" borderId="10" xfId="1" applyNumberFormat="1" applyFont="1" applyBorder="1"/>
    <xf numFmtId="168" fontId="0" fillId="0" borderId="10" xfId="0" applyNumberFormat="1" applyBorder="1"/>
    <xf numFmtId="168" fontId="0" fillId="0" borderId="11" xfId="0" applyNumberFormat="1" applyBorder="1"/>
    <xf numFmtId="0" fontId="0" fillId="0" borderId="7" xfId="0" applyBorder="1"/>
    <xf numFmtId="0" fontId="0" fillId="0" borderId="14" xfId="0" applyBorder="1"/>
    <xf numFmtId="174" fontId="0" fillId="0" borderId="11" xfId="1" applyNumberFormat="1" applyFont="1" applyBorder="1" applyAlignment="1">
      <alignment horizontal="right"/>
    </xf>
    <xf numFmtId="0" fontId="0" fillId="0" borderId="14" xfId="0" applyFill="1" applyBorder="1"/>
    <xf numFmtId="0" fontId="0" fillId="2" borderId="8" xfId="0" applyFill="1" applyBorder="1"/>
    <xf numFmtId="0" fontId="0" fillId="0" borderId="0" xfId="0" applyFill="1" applyBorder="1"/>
    <xf numFmtId="1" fontId="0" fillId="2" borderId="10" xfId="1" applyNumberFormat="1" applyFont="1" applyFill="1" applyBorder="1" applyAlignment="1">
      <alignment horizontal="right"/>
    </xf>
    <xf numFmtId="176" fontId="0" fillId="2" borderId="11" xfId="2" applyNumberFormat="1" applyFont="1" applyFill="1" applyBorder="1" applyAlignment="1">
      <alignment horizontal="right"/>
    </xf>
    <xf numFmtId="0" fontId="0" fillId="0" borderId="3" xfId="0" applyFill="1" applyBorder="1"/>
    <xf numFmtId="0" fontId="0" fillId="0" borderId="15" xfId="0" applyBorder="1"/>
    <xf numFmtId="0" fontId="0" fillId="0" borderId="9" xfId="0" applyFill="1" applyBorder="1" applyAlignment="1">
      <alignment horizontal="right"/>
    </xf>
    <xf numFmtId="0" fontId="0" fillId="0" borderId="10" xfId="0" applyFill="1" applyBorder="1"/>
    <xf numFmtId="0" fontId="0" fillId="0" borderId="11" xfId="0" applyFill="1" applyBorder="1"/>
    <xf numFmtId="43" fontId="0" fillId="0" borderId="9" xfId="1" applyNumberFormat="1" applyFont="1" applyBorder="1" applyAlignment="1">
      <alignment horizontal="right"/>
    </xf>
    <xf numFmtId="43" fontId="0" fillId="0" borderId="10" xfId="1" applyNumberFormat="1" applyFont="1" applyBorder="1" applyAlignment="1">
      <alignment horizontal="right"/>
    </xf>
    <xf numFmtId="173" fontId="0" fillId="0" borderId="3" xfId="0" applyNumberFormat="1" applyBorder="1"/>
    <xf numFmtId="0" fontId="0" fillId="0" borderId="4" xfId="0" applyBorder="1" applyAlignment="1">
      <alignment horizontal="right"/>
    </xf>
    <xf numFmtId="1" fontId="0" fillId="2" borderId="11" xfId="1" applyNumberFormat="1" applyFont="1" applyFill="1" applyBorder="1" applyAlignment="1">
      <alignment horizontal="right"/>
    </xf>
    <xf numFmtId="176" fontId="0" fillId="2" borderId="10" xfId="2" applyNumberFormat="1" applyFont="1" applyFill="1" applyBorder="1" applyAlignment="1">
      <alignment horizontal="right"/>
    </xf>
    <xf numFmtId="178" fontId="0" fillId="2" borderId="10" xfId="1" applyNumberFormat="1" applyFont="1" applyFill="1" applyBorder="1" applyAlignment="1">
      <alignment horizontal="right"/>
    </xf>
    <xf numFmtId="2" fontId="0" fillId="2" borderId="10" xfId="1" applyNumberFormat="1" applyFont="1" applyFill="1" applyBorder="1" applyAlignment="1">
      <alignment horizontal="right"/>
    </xf>
    <xf numFmtId="43" fontId="0" fillId="0" borderId="3" xfId="0" applyNumberFormat="1" applyBorder="1"/>
    <xf numFmtId="168" fontId="0" fillId="0" borderId="0" xfId="0" applyNumberFormat="1"/>
    <xf numFmtId="169" fontId="0" fillId="0" borderId="0" xfId="0" quotePrefix="1" applyNumberFormat="1" applyBorder="1"/>
    <xf numFmtId="175" fontId="0" fillId="0" borderId="3" xfId="1" applyNumberFormat="1" applyFont="1" applyBorder="1"/>
    <xf numFmtId="169" fontId="0" fillId="0" borderId="13" xfId="0" applyNumberFormat="1" applyBorder="1"/>
    <xf numFmtId="169" fontId="0" fillId="0" borderId="12" xfId="0" quotePrefix="1" applyNumberFormat="1" applyBorder="1"/>
    <xf numFmtId="179" fontId="0" fillId="0" borderId="3" xfId="1" applyNumberFormat="1" applyFont="1" applyBorder="1"/>
    <xf numFmtId="180" fontId="0" fillId="0" borderId="9" xfId="1" applyNumberFormat="1" applyFont="1" applyBorder="1"/>
    <xf numFmtId="180" fontId="0" fillId="0" borderId="10" xfId="1" applyNumberFormat="1" applyFont="1" applyBorder="1" applyAlignment="1">
      <alignment horizontal="right"/>
    </xf>
    <xf numFmtId="0" fontId="2" fillId="0" borderId="3" xfId="0" applyFont="1" applyFill="1" applyBorder="1"/>
    <xf numFmtId="11" fontId="2" fillId="0" borderId="4" xfId="0" applyNumberFormat="1" applyFont="1" applyFill="1" applyBorder="1"/>
    <xf numFmtId="11" fontId="0" fillId="0" borderId="4" xfId="0" applyNumberFormat="1" applyFill="1" applyBorder="1"/>
    <xf numFmtId="0" fontId="2" fillId="0" borderId="0" xfId="0" applyFont="1" applyFill="1" applyBorder="1"/>
    <xf numFmtId="2" fontId="0" fillId="0" borderId="4" xfId="0" applyNumberFormat="1" applyBorder="1"/>
    <xf numFmtId="2" fontId="0" fillId="0" borderId="2" xfId="0" applyNumberFormat="1" applyBorder="1"/>
    <xf numFmtId="169" fontId="0" fillId="0" borderId="0" xfId="0" applyNumberFormat="1"/>
    <xf numFmtId="14" fontId="0" fillId="0" borderId="0" xfId="0" applyNumberFormat="1"/>
    <xf numFmtId="0" fontId="0" fillId="3" borderId="0" xfId="0" applyFill="1"/>
    <xf numFmtId="20" fontId="0" fillId="0" borderId="0" xfId="0" applyNumberFormat="1"/>
    <xf numFmtId="21" fontId="0" fillId="0" borderId="0" xfId="0" applyNumberFormat="1"/>
    <xf numFmtId="172" fontId="0" fillId="0" borderId="0" xfId="1" applyNumberFormat="1" applyFont="1"/>
    <xf numFmtId="43" fontId="0" fillId="0" borderId="0" xfId="0" applyNumberFormat="1"/>
    <xf numFmtId="46" fontId="0" fillId="0" borderId="0" xfId="0" applyNumberFormat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77" fontId="0" fillId="0" borderId="0" xfId="1" applyNumberFormat="1" applyFont="1"/>
    <xf numFmtId="0" fontId="0" fillId="0" borderId="0" xfId="0" applyAlignment="1">
      <alignment horizontal="center"/>
    </xf>
    <xf numFmtId="20" fontId="0" fillId="0" borderId="1" xfId="0" applyNumberFormat="1" applyBorder="1"/>
    <xf numFmtId="20" fontId="0" fillId="0" borderId="12" xfId="0" applyNumberFormat="1" applyBorder="1"/>
    <xf numFmtId="20" fontId="0" fillId="0" borderId="3" xfId="0" applyNumberFormat="1" applyBorder="1"/>
    <xf numFmtId="20" fontId="0" fillId="0" borderId="0" xfId="0" applyNumberFormat="1" applyBorder="1"/>
    <xf numFmtId="20" fontId="0" fillId="0" borderId="5" xfId="0" applyNumberFormat="1" applyBorder="1"/>
    <xf numFmtId="20" fontId="0" fillId="0" borderId="13" xfId="0" applyNumberFormat="1" applyBorder="1"/>
    <xf numFmtId="167" fontId="0" fillId="0" borderId="12" xfId="1" applyNumberFormat="1" applyFont="1" applyBorder="1"/>
    <xf numFmtId="167" fontId="0" fillId="0" borderId="2" xfId="1" applyNumberFormat="1" applyFont="1" applyBorder="1"/>
    <xf numFmtId="167" fontId="0" fillId="0" borderId="0" xfId="1" applyNumberFormat="1" applyFont="1" applyBorder="1"/>
    <xf numFmtId="167" fontId="0" fillId="0" borderId="4" xfId="1" applyNumberFormat="1" applyFont="1" applyBorder="1"/>
    <xf numFmtId="167" fontId="0" fillId="0" borderId="13" xfId="1" applyNumberFormat="1" applyFont="1" applyBorder="1"/>
    <xf numFmtId="167" fontId="0" fillId="0" borderId="0" xfId="0" applyNumberFormat="1"/>
    <xf numFmtId="21" fontId="0" fillId="0" borderId="6" xfId="1" applyNumberFormat="1" applyFont="1" applyBorder="1"/>
    <xf numFmtId="165" fontId="0" fillId="0" borderId="2" xfId="0" applyNumberFormat="1" applyBorder="1"/>
    <xf numFmtId="177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6" fillId="0" borderId="0" xfId="3" applyFont="1" applyAlignment="1" applyProtection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8.6455722446458896E-2"/>
          <c:y val="0.12779820517879478"/>
          <c:w val="0.82658620613599776"/>
          <c:h val="0.6867753603692478"/>
        </c:manualLayout>
      </c:layout>
      <c:scatterChart>
        <c:scatterStyle val="smoothMarker"/>
        <c:ser>
          <c:idx val="0"/>
          <c:order val="0"/>
          <c:tx>
            <c:strRef>
              <c:f>BestVisibility!$B$3</c:f>
              <c:strCache>
                <c:ptCount val="1"/>
                <c:pt idx="0">
                  <c:v>Venus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43108</c:v>
                </c:pt>
                <c:pt idx="2">
                  <c:v>43115</c:v>
                </c:pt>
                <c:pt idx="3">
                  <c:v>43122</c:v>
                </c:pt>
                <c:pt idx="4">
                  <c:v>43129</c:v>
                </c:pt>
                <c:pt idx="5">
                  <c:v>43136</c:v>
                </c:pt>
                <c:pt idx="6">
                  <c:v>43143</c:v>
                </c:pt>
                <c:pt idx="7">
                  <c:v>43150</c:v>
                </c:pt>
                <c:pt idx="8">
                  <c:v>43157</c:v>
                </c:pt>
                <c:pt idx="9">
                  <c:v>43164</c:v>
                </c:pt>
                <c:pt idx="10">
                  <c:v>43171</c:v>
                </c:pt>
                <c:pt idx="11">
                  <c:v>43178</c:v>
                </c:pt>
                <c:pt idx="12">
                  <c:v>43185</c:v>
                </c:pt>
                <c:pt idx="13">
                  <c:v>43192</c:v>
                </c:pt>
                <c:pt idx="14">
                  <c:v>43199</c:v>
                </c:pt>
                <c:pt idx="15">
                  <c:v>43206</c:v>
                </c:pt>
                <c:pt idx="16">
                  <c:v>43213</c:v>
                </c:pt>
                <c:pt idx="17">
                  <c:v>43220</c:v>
                </c:pt>
                <c:pt idx="18">
                  <c:v>43227</c:v>
                </c:pt>
                <c:pt idx="19">
                  <c:v>43234</c:v>
                </c:pt>
                <c:pt idx="20">
                  <c:v>43241</c:v>
                </c:pt>
                <c:pt idx="21">
                  <c:v>43248</c:v>
                </c:pt>
                <c:pt idx="22">
                  <c:v>43255</c:v>
                </c:pt>
                <c:pt idx="23">
                  <c:v>43262</c:v>
                </c:pt>
                <c:pt idx="24">
                  <c:v>43269</c:v>
                </c:pt>
                <c:pt idx="25">
                  <c:v>43276</c:v>
                </c:pt>
                <c:pt idx="26">
                  <c:v>43283</c:v>
                </c:pt>
                <c:pt idx="27">
                  <c:v>43290</c:v>
                </c:pt>
                <c:pt idx="28">
                  <c:v>43297</c:v>
                </c:pt>
                <c:pt idx="29">
                  <c:v>43304</c:v>
                </c:pt>
                <c:pt idx="30">
                  <c:v>43311</c:v>
                </c:pt>
                <c:pt idx="31">
                  <c:v>43318</c:v>
                </c:pt>
                <c:pt idx="32">
                  <c:v>43325</c:v>
                </c:pt>
                <c:pt idx="33">
                  <c:v>43332</c:v>
                </c:pt>
                <c:pt idx="34">
                  <c:v>43339</c:v>
                </c:pt>
                <c:pt idx="35">
                  <c:v>43346</c:v>
                </c:pt>
                <c:pt idx="36">
                  <c:v>43353</c:v>
                </c:pt>
                <c:pt idx="37">
                  <c:v>43360</c:v>
                </c:pt>
                <c:pt idx="38">
                  <c:v>43367</c:v>
                </c:pt>
                <c:pt idx="39">
                  <c:v>43374</c:v>
                </c:pt>
                <c:pt idx="40">
                  <c:v>43381</c:v>
                </c:pt>
                <c:pt idx="41">
                  <c:v>43388</c:v>
                </c:pt>
                <c:pt idx="42">
                  <c:v>43395</c:v>
                </c:pt>
                <c:pt idx="43">
                  <c:v>43402</c:v>
                </c:pt>
                <c:pt idx="44">
                  <c:v>43409</c:v>
                </c:pt>
                <c:pt idx="45">
                  <c:v>43416</c:v>
                </c:pt>
                <c:pt idx="46">
                  <c:v>43423</c:v>
                </c:pt>
                <c:pt idx="47">
                  <c:v>43430</c:v>
                </c:pt>
                <c:pt idx="48">
                  <c:v>43437</c:v>
                </c:pt>
                <c:pt idx="49">
                  <c:v>43444</c:v>
                </c:pt>
                <c:pt idx="50">
                  <c:v>43451</c:v>
                </c:pt>
                <c:pt idx="51">
                  <c:v>43458</c:v>
                </c:pt>
                <c:pt idx="52">
                  <c:v>43465</c:v>
                </c:pt>
                <c:pt idx="53">
                  <c:v>43472</c:v>
                </c:pt>
                <c:pt idx="54">
                  <c:v>43479</c:v>
                </c:pt>
                <c:pt idx="55">
                  <c:v>43486</c:v>
                </c:pt>
                <c:pt idx="56">
                  <c:v>43493</c:v>
                </c:pt>
                <c:pt idx="57">
                  <c:v>43500</c:v>
                </c:pt>
                <c:pt idx="58">
                  <c:v>43507</c:v>
                </c:pt>
                <c:pt idx="59">
                  <c:v>43514</c:v>
                </c:pt>
                <c:pt idx="60">
                  <c:v>43521</c:v>
                </c:pt>
                <c:pt idx="61">
                  <c:v>43528</c:v>
                </c:pt>
                <c:pt idx="62">
                  <c:v>43535</c:v>
                </c:pt>
                <c:pt idx="63">
                  <c:v>43542</c:v>
                </c:pt>
                <c:pt idx="64">
                  <c:v>43549</c:v>
                </c:pt>
                <c:pt idx="65">
                  <c:v>43556</c:v>
                </c:pt>
                <c:pt idx="66">
                  <c:v>43563</c:v>
                </c:pt>
                <c:pt idx="67">
                  <c:v>43570</c:v>
                </c:pt>
                <c:pt idx="68">
                  <c:v>43577</c:v>
                </c:pt>
                <c:pt idx="69">
                  <c:v>43584</c:v>
                </c:pt>
                <c:pt idx="70">
                  <c:v>43591</c:v>
                </c:pt>
                <c:pt idx="71">
                  <c:v>43598</c:v>
                </c:pt>
                <c:pt idx="72">
                  <c:v>43605</c:v>
                </c:pt>
                <c:pt idx="73">
                  <c:v>43612</c:v>
                </c:pt>
                <c:pt idx="74">
                  <c:v>43619</c:v>
                </c:pt>
                <c:pt idx="75">
                  <c:v>43626</c:v>
                </c:pt>
                <c:pt idx="76">
                  <c:v>43633</c:v>
                </c:pt>
                <c:pt idx="77">
                  <c:v>43640</c:v>
                </c:pt>
                <c:pt idx="78">
                  <c:v>43647</c:v>
                </c:pt>
                <c:pt idx="79">
                  <c:v>43654</c:v>
                </c:pt>
                <c:pt idx="80">
                  <c:v>43661</c:v>
                </c:pt>
                <c:pt idx="81">
                  <c:v>43668</c:v>
                </c:pt>
                <c:pt idx="82">
                  <c:v>43675</c:v>
                </c:pt>
                <c:pt idx="83">
                  <c:v>43682</c:v>
                </c:pt>
                <c:pt idx="84">
                  <c:v>43689</c:v>
                </c:pt>
                <c:pt idx="85">
                  <c:v>43696</c:v>
                </c:pt>
                <c:pt idx="86">
                  <c:v>43703</c:v>
                </c:pt>
                <c:pt idx="87">
                  <c:v>43710</c:v>
                </c:pt>
                <c:pt idx="88">
                  <c:v>43717</c:v>
                </c:pt>
                <c:pt idx="89">
                  <c:v>43724</c:v>
                </c:pt>
                <c:pt idx="90">
                  <c:v>43731</c:v>
                </c:pt>
                <c:pt idx="91">
                  <c:v>43738</c:v>
                </c:pt>
                <c:pt idx="92">
                  <c:v>43745</c:v>
                </c:pt>
                <c:pt idx="93">
                  <c:v>43752</c:v>
                </c:pt>
                <c:pt idx="94">
                  <c:v>43759</c:v>
                </c:pt>
                <c:pt idx="95">
                  <c:v>43766</c:v>
                </c:pt>
                <c:pt idx="96">
                  <c:v>43773</c:v>
                </c:pt>
                <c:pt idx="97">
                  <c:v>43780</c:v>
                </c:pt>
                <c:pt idx="98">
                  <c:v>43787</c:v>
                </c:pt>
                <c:pt idx="99">
                  <c:v>43794</c:v>
                </c:pt>
                <c:pt idx="100">
                  <c:v>43801</c:v>
                </c:pt>
                <c:pt idx="101">
                  <c:v>43808</c:v>
                </c:pt>
                <c:pt idx="102">
                  <c:v>43815</c:v>
                </c:pt>
                <c:pt idx="103">
                  <c:v>43822</c:v>
                </c:pt>
                <c:pt idx="104">
                  <c:v>43829</c:v>
                </c:pt>
                <c:pt idx="105">
                  <c:v>43836</c:v>
                </c:pt>
                <c:pt idx="106">
                  <c:v>43843</c:v>
                </c:pt>
                <c:pt idx="107">
                  <c:v>43850</c:v>
                </c:pt>
                <c:pt idx="108">
                  <c:v>43857</c:v>
                </c:pt>
                <c:pt idx="109">
                  <c:v>43864</c:v>
                </c:pt>
                <c:pt idx="110">
                  <c:v>43871</c:v>
                </c:pt>
                <c:pt idx="111">
                  <c:v>43878</c:v>
                </c:pt>
                <c:pt idx="112">
                  <c:v>43885</c:v>
                </c:pt>
                <c:pt idx="113">
                  <c:v>43892</c:v>
                </c:pt>
                <c:pt idx="114">
                  <c:v>43899</c:v>
                </c:pt>
                <c:pt idx="115">
                  <c:v>43906</c:v>
                </c:pt>
                <c:pt idx="116">
                  <c:v>43913</c:v>
                </c:pt>
                <c:pt idx="117">
                  <c:v>43920</c:v>
                </c:pt>
                <c:pt idx="118">
                  <c:v>43927</c:v>
                </c:pt>
                <c:pt idx="119">
                  <c:v>43934</c:v>
                </c:pt>
                <c:pt idx="120">
                  <c:v>43941</c:v>
                </c:pt>
                <c:pt idx="121">
                  <c:v>43948</c:v>
                </c:pt>
                <c:pt idx="122">
                  <c:v>43955</c:v>
                </c:pt>
                <c:pt idx="123">
                  <c:v>43962</c:v>
                </c:pt>
                <c:pt idx="124">
                  <c:v>43969</c:v>
                </c:pt>
                <c:pt idx="125">
                  <c:v>43976</c:v>
                </c:pt>
                <c:pt idx="126">
                  <c:v>43983</c:v>
                </c:pt>
                <c:pt idx="127">
                  <c:v>43990</c:v>
                </c:pt>
                <c:pt idx="128">
                  <c:v>43997</c:v>
                </c:pt>
                <c:pt idx="129">
                  <c:v>44004</c:v>
                </c:pt>
                <c:pt idx="130">
                  <c:v>44011</c:v>
                </c:pt>
                <c:pt idx="131">
                  <c:v>44018</c:v>
                </c:pt>
                <c:pt idx="132">
                  <c:v>44025</c:v>
                </c:pt>
                <c:pt idx="133">
                  <c:v>44032</c:v>
                </c:pt>
                <c:pt idx="134">
                  <c:v>44039</c:v>
                </c:pt>
                <c:pt idx="135">
                  <c:v>44046</c:v>
                </c:pt>
                <c:pt idx="136">
                  <c:v>44053</c:v>
                </c:pt>
                <c:pt idx="137">
                  <c:v>44060</c:v>
                </c:pt>
                <c:pt idx="138">
                  <c:v>44067</c:v>
                </c:pt>
                <c:pt idx="139">
                  <c:v>44074</c:v>
                </c:pt>
                <c:pt idx="140">
                  <c:v>44081</c:v>
                </c:pt>
                <c:pt idx="141">
                  <c:v>44088</c:v>
                </c:pt>
                <c:pt idx="142">
                  <c:v>44095</c:v>
                </c:pt>
                <c:pt idx="143">
                  <c:v>44102</c:v>
                </c:pt>
              </c:numCache>
            </c:numRef>
          </c:xVal>
          <c:yVal>
            <c:numRef>
              <c:f>BestVisibility!$C$5:$C$153</c:f>
              <c:numCache>
                <c:formatCode>_-* #,##0.00_-;\-* #,##0.00_-;_-* "-"??_-;_-@_-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4.7482806322514657</c:v>
                </c:pt>
                <c:pt idx="7">
                  <c:v>6.3353335662704735</c:v>
                </c:pt>
                <c:pt idx="8">
                  <c:v>7.9683568051827223</c:v>
                </c:pt>
                <c:pt idx="9">
                  <c:v>9.6202287037524155</c:v>
                </c:pt>
                <c:pt idx="10">
                  <c:v>11.264289089561391</c:v>
                </c:pt>
                <c:pt idx="11">
                  <c:v>12.879311759946816</c:v>
                </c:pt>
                <c:pt idx="12">
                  <c:v>14.447734819373485</c:v>
                </c:pt>
                <c:pt idx="13">
                  <c:v>15.941131693609844</c:v>
                </c:pt>
                <c:pt idx="14">
                  <c:v>17.341886440537358</c:v>
                </c:pt>
                <c:pt idx="15">
                  <c:v>18.614278193546209</c:v>
                </c:pt>
                <c:pt idx="16">
                  <c:v>19.730265845876847</c:v>
                </c:pt>
                <c:pt idx="17">
                  <c:v>20.652962678099083</c:v>
                </c:pt>
                <c:pt idx="18">
                  <c:v>21.342617928835228</c:v>
                </c:pt>
                <c:pt idx="19">
                  <c:v>21.764832475913668</c:v>
                </c:pt>
                <c:pt idx="20">
                  <c:v>21.901036159846843</c:v>
                </c:pt>
                <c:pt idx="21">
                  <c:v>21.738224297711117</c:v>
                </c:pt>
                <c:pt idx="22">
                  <c:v>21.291770607074053</c:v>
                </c:pt>
                <c:pt idx="23">
                  <c:v>20.594238829382615</c:v>
                </c:pt>
                <c:pt idx="24">
                  <c:v>19.69366261894352</c:v>
                </c:pt>
                <c:pt idx="25">
                  <c:v>18.642843831385782</c:v>
                </c:pt>
                <c:pt idx="26">
                  <c:v>17.500377621791703</c:v>
                </c:pt>
                <c:pt idx="27">
                  <c:v>16.306559206479903</c:v>
                </c:pt>
                <c:pt idx="28">
                  <c:v>15.092046203144072</c:v>
                </c:pt>
                <c:pt idx="29">
                  <c:v>13.874943351574656</c:v>
                </c:pt>
                <c:pt idx="30">
                  <c:v>12.659716967163035</c:v>
                </c:pt>
                <c:pt idx="31">
                  <c:v>11.453033070229456</c:v>
                </c:pt>
                <c:pt idx="32">
                  <c:v>10.242980269403208</c:v>
                </c:pt>
                <c:pt idx="33">
                  <c:v>9.0266214944426206</c:v>
                </c:pt>
                <c:pt idx="34">
                  <c:v>7.7949501073025909</c:v>
                </c:pt>
                <c:pt idx="35">
                  <c:v>6.5354367989016184</c:v>
                </c:pt>
                <c:pt idx="36">
                  <c:v>5.2339811730204646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8.760637630920348</c:v>
                </c:pt>
                <c:pt idx="45">
                  <c:v>16.166079907283081</c:v>
                </c:pt>
                <c:pt idx="46">
                  <c:v>21.387230437449716</c:v>
                </c:pt>
                <c:pt idx="47">
                  <c:v>24.510575690319918</c:v>
                </c:pt>
                <c:pt idx="48">
                  <c:v>25.924877343381425</c:v>
                </c:pt>
                <c:pt idx="49">
                  <c:v>26.076125940016741</c:v>
                </c:pt>
                <c:pt idx="50">
                  <c:v>25.368061613312729</c:v>
                </c:pt>
                <c:pt idx="51">
                  <c:v>24.124826376693953</c:v>
                </c:pt>
                <c:pt idx="52">
                  <c:v>22.589798514847971</c:v>
                </c:pt>
                <c:pt idx="53">
                  <c:v>20.931133800347116</c:v>
                </c:pt>
                <c:pt idx="54">
                  <c:v>19.25885927330761</c:v>
                </c:pt>
                <c:pt idx="55">
                  <c:v>17.635823529590059</c:v>
                </c:pt>
                <c:pt idx="56">
                  <c:v>16.097235666072354</c:v>
                </c:pt>
                <c:pt idx="57">
                  <c:v>14.658945119296613</c:v>
                </c:pt>
                <c:pt idx="58">
                  <c:v>13.326161228306376</c:v>
                </c:pt>
                <c:pt idx="59">
                  <c:v>12.100697850727787</c:v>
                </c:pt>
                <c:pt idx="60">
                  <c:v>10.981305467626424</c:v>
                </c:pt>
                <c:pt idx="61">
                  <c:v>9.9689082908272866</c:v>
                </c:pt>
                <c:pt idx="62">
                  <c:v>9.0645347702423109</c:v>
                </c:pt>
                <c:pt idx="63">
                  <c:v>8.2680708444842299</c:v>
                </c:pt>
                <c:pt idx="64">
                  <c:v>7.5786148833281759</c:v>
                </c:pt>
                <c:pt idx="65">
                  <c:v>6.9977218612223204</c:v>
                </c:pt>
                <c:pt idx="66">
                  <c:v>6.5265634375196546</c:v>
                </c:pt>
                <c:pt idx="67">
                  <c:v>6.1644701611952586</c:v>
                </c:pt>
                <c:pt idx="68">
                  <c:v>5.9073990517764638</c:v>
                </c:pt>
                <c:pt idx="69">
                  <c:v>5.751583118441415</c:v>
                </c:pt>
                <c:pt idx="70">
                  <c:v>5.6924761562346564</c:v>
                </c:pt>
                <c:pt idx="71">
                  <c:v>5.7186083034455288</c:v>
                </c:pt>
                <c:pt idx="72">
                  <c:v>5.8160574601458199</c:v>
                </c:pt>
                <c:pt idx="73">
                  <c:v>5.9638307322633652</c:v>
                </c:pt>
                <c:pt idx="74">
                  <c:v>6.1381420825875708</c:v>
                </c:pt>
                <c:pt idx="75">
                  <c:v>6.2995000851321246</c:v>
                </c:pt>
                <c:pt idx="76">
                  <c:v>6.4085920186488643</c:v>
                </c:pt>
                <c:pt idx="77">
                  <c:v>6.4152747466640969</c:v>
                </c:pt>
                <c:pt idx="78">
                  <c:v>6.2732971385254714</c:v>
                </c:pt>
                <c:pt idx="79">
                  <c:v>5.9412390316375872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5.2256756369953621</c:v>
                </c:pt>
                <c:pt idx="97">
                  <c:v>5.8462280631339381</c:v>
                </c:pt>
                <c:pt idx="98">
                  <c:v>6.6290601495163033</c:v>
                </c:pt>
                <c:pt idx="99">
                  <c:v>7.6110207118287221</c:v>
                </c:pt>
                <c:pt idx="100">
                  <c:v>8.8294807510708413</c:v>
                </c:pt>
                <c:pt idx="101">
                  <c:v>10.312800302914562</c:v>
                </c:pt>
                <c:pt idx="102">
                  <c:v>12.076921046213004</c:v>
                </c:pt>
                <c:pt idx="103">
                  <c:v>14.118599016079065</c:v>
                </c:pt>
                <c:pt idx="104">
                  <c:v>16.410102816623414</c:v>
                </c:pt>
                <c:pt idx="105">
                  <c:v>18.89849905909589</c:v>
                </c:pt>
                <c:pt idx="106">
                  <c:v>21.514281627523651</c:v>
                </c:pt>
                <c:pt idx="107">
                  <c:v>24.175080599234359</c:v>
                </c:pt>
                <c:pt idx="108">
                  <c:v>26.799455358469615</c:v>
                </c:pt>
                <c:pt idx="109">
                  <c:v>29.314141036202841</c:v>
                </c:pt>
                <c:pt idx="110">
                  <c:v>31.656800788317661</c:v>
                </c:pt>
                <c:pt idx="111">
                  <c:v>33.775391323542181</c:v>
                </c:pt>
                <c:pt idx="112">
                  <c:v>35.632428310215467</c:v>
                </c:pt>
                <c:pt idx="113">
                  <c:v>37.194851834968865</c:v>
                </c:pt>
                <c:pt idx="114">
                  <c:v>38.43036839692936</c:v>
                </c:pt>
                <c:pt idx="115">
                  <c:v>39.309051161393853</c:v>
                </c:pt>
                <c:pt idx="116">
                  <c:v>39.787306327169496</c:v>
                </c:pt>
                <c:pt idx="117">
                  <c:v>39.809674044922261</c:v>
                </c:pt>
                <c:pt idx="118">
                  <c:v>39.307675637334931</c:v>
                </c:pt>
                <c:pt idx="119">
                  <c:v>38.188917090579693</c:v>
                </c:pt>
                <c:pt idx="120">
                  <c:v>36.333662080099515</c:v>
                </c:pt>
                <c:pt idx="121">
                  <c:v>33.60019602857642</c:v>
                </c:pt>
                <c:pt idx="122">
                  <c:v>29.816472215706806</c:v>
                </c:pt>
                <c:pt idx="123">
                  <c:v>24.80193152104097</c:v>
                </c:pt>
                <c:pt idx="124">
                  <c:v>18.442775681484701</c:v>
                </c:pt>
                <c:pt idx="125">
                  <c:v>10.853115737587034</c:v>
                </c:pt>
                <c:pt idx="126">
                  <c:v>0</c:v>
                </c:pt>
                <c:pt idx="127">
                  <c:v>0</c:v>
                </c:pt>
                <c:pt idx="128">
                  <c:v>5.6510070902614471</c:v>
                </c:pt>
                <c:pt idx="129">
                  <c:v>9.5349835438722295</c:v>
                </c:pt>
                <c:pt idx="130">
                  <c:v>13.4328025448741</c:v>
                </c:pt>
                <c:pt idx="131">
                  <c:v>17.203178083998214</c:v>
                </c:pt>
                <c:pt idx="132">
                  <c:v>20.770883889846871</c:v>
                </c:pt>
                <c:pt idx="133">
                  <c:v>24.073060836644515</c:v>
                </c:pt>
                <c:pt idx="134">
                  <c:v>27.04839212616271</c:v>
                </c:pt>
                <c:pt idx="135">
                  <c:v>29.641913162196278</c:v>
                </c:pt>
                <c:pt idx="136">
                  <c:v>31.808015089960811</c:v>
                </c:pt>
                <c:pt idx="137">
                  <c:v>33.519176294258898</c:v>
                </c:pt>
                <c:pt idx="138">
                  <c:v>34.770640777401475</c:v>
                </c:pt>
                <c:pt idx="139">
                  <c:v>35.572955852781227</c:v>
                </c:pt>
                <c:pt idx="140">
                  <c:v>35.945448610027192</c:v>
                </c:pt>
                <c:pt idx="141">
                  <c:v>35.923465987488939</c:v>
                </c:pt>
                <c:pt idx="142">
                  <c:v>35.545224034596053</c:v>
                </c:pt>
                <c:pt idx="143">
                  <c:v>34.846955551321699</c:v>
                </c:pt>
              </c:numCache>
            </c:numRef>
          </c:yVal>
          <c:smooth val="1"/>
        </c:ser>
        <c:axId val="184908032"/>
        <c:axId val="184913920"/>
      </c:scatterChart>
      <c:valAx>
        <c:axId val="184908032"/>
        <c:scaling>
          <c:orientation val="minMax"/>
          <c:max val="44102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84913920"/>
        <c:crosses val="autoZero"/>
        <c:crossBetween val="midCat"/>
        <c:majorUnit val="365"/>
        <c:minorUnit val="90"/>
      </c:valAx>
      <c:valAx>
        <c:axId val="184913920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84908032"/>
        <c:crosses val="autoZero"/>
        <c:crossBetween val="midCat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</c:title>
    <c:plotArea>
      <c:layout>
        <c:manualLayout>
          <c:layoutTarget val="inner"/>
          <c:xMode val="edge"/>
          <c:yMode val="edge"/>
          <c:x val="8.6455722446458896E-2"/>
          <c:y val="0.12779820517879484"/>
          <c:w val="0.82658620613599776"/>
          <c:h val="0.6867753603692478"/>
        </c:manualLayout>
      </c:layout>
      <c:scatterChart>
        <c:scatterStyle val="smoothMarker"/>
        <c:ser>
          <c:idx val="1"/>
          <c:order val="0"/>
          <c:tx>
            <c:strRef>
              <c:f>BestVisibility!$F$4</c:f>
              <c:strCache>
                <c:ptCount val="1"/>
                <c:pt idx="0">
                  <c:v>Size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dd/mm/yyyy\ hh:mm</c:formatCode>
                <c:ptCount val="144"/>
                <c:pt idx="0">
                  <c:v>43101</c:v>
                </c:pt>
                <c:pt idx="1">
                  <c:v>43108</c:v>
                </c:pt>
                <c:pt idx="2">
                  <c:v>43115</c:v>
                </c:pt>
                <c:pt idx="3">
                  <c:v>43122</c:v>
                </c:pt>
                <c:pt idx="4">
                  <c:v>43129</c:v>
                </c:pt>
                <c:pt idx="5">
                  <c:v>43136</c:v>
                </c:pt>
                <c:pt idx="6">
                  <c:v>43143</c:v>
                </c:pt>
                <c:pt idx="7">
                  <c:v>43150</c:v>
                </c:pt>
                <c:pt idx="8">
                  <c:v>43157</c:v>
                </c:pt>
                <c:pt idx="9">
                  <c:v>43164</c:v>
                </c:pt>
                <c:pt idx="10">
                  <c:v>43171</c:v>
                </c:pt>
                <c:pt idx="11">
                  <c:v>43178</c:v>
                </c:pt>
                <c:pt idx="12">
                  <c:v>43185</c:v>
                </c:pt>
                <c:pt idx="13">
                  <c:v>43192</c:v>
                </c:pt>
                <c:pt idx="14">
                  <c:v>43199</c:v>
                </c:pt>
                <c:pt idx="15">
                  <c:v>43206</c:v>
                </c:pt>
                <c:pt idx="16">
                  <c:v>43213</c:v>
                </c:pt>
                <c:pt idx="17">
                  <c:v>43220</c:v>
                </c:pt>
                <c:pt idx="18">
                  <c:v>43227</c:v>
                </c:pt>
                <c:pt idx="19">
                  <c:v>43234</c:v>
                </c:pt>
                <c:pt idx="20">
                  <c:v>43241</c:v>
                </c:pt>
                <c:pt idx="21">
                  <c:v>43248</c:v>
                </c:pt>
                <c:pt idx="22">
                  <c:v>43255</c:v>
                </c:pt>
                <c:pt idx="23">
                  <c:v>43262</c:v>
                </c:pt>
                <c:pt idx="24">
                  <c:v>43269</c:v>
                </c:pt>
                <c:pt idx="25">
                  <c:v>43276</c:v>
                </c:pt>
                <c:pt idx="26">
                  <c:v>43283</c:v>
                </c:pt>
                <c:pt idx="27">
                  <c:v>43290</c:v>
                </c:pt>
                <c:pt idx="28">
                  <c:v>43297</c:v>
                </c:pt>
                <c:pt idx="29">
                  <c:v>43304</c:v>
                </c:pt>
                <c:pt idx="30">
                  <c:v>43311</c:v>
                </c:pt>
                <c:pt idx="31">
                  <c:v>43318</c:v>
                </c:pt>
                <c:pt idx="32">
                  <c:v>43325</c:v>
                </c:pt>
                <c:pt idx="33">
                  <c:v>43332</c:v>
                </c:pt>
                <c:pt idx="34">
                  <c:v>43339</c:v>
                </c:pt>
                <c:pt idx="35">
                  <c:v>43346</c:v>
                </c:pt>
                <c:pt idx="36">
                  <c:v>43353</c:v>
                </c:pt>
                <c:pt idx="37">
                  <c:v>43360</c:v>
                </c:pt>
                <c:pt idx="38">
                  <c:v>43367</c:v>
                </c:pt>
                <c:pt idx="39">
                  <c:v>43374</c:v>
                </c:pt>
                <c:pt idx="40">
                  <c:v>43381</c:v>
                </c:pt>
                <c:pt idx="41">
                  <c:v>43388</c:v>
                </c:pt>
                <c:pt idx="42">
                  <c:v>43395</c:v>
                </c:pt>
                <c:pt idx="43">
                  <c:v>43402</c:v>
                </c:pt>
                <c:pt idx="44">
                  <c:v>43409</c:v>
                </c:pt>
                <c:pt idx="45">
                  <c:v>43416</c:v>
                </c:pt>
                <c:pt idx="46">
                  <c:v>43423</c:v>
                </c:pt>
                <c:pt idx="47">
                  <c:v>43430</c:v>
                </c:pt>
                <c:pt idx="48">
                  <c:v>43437</c:v>
                </c:pt>
                <c:pt idx="49">
                  <c:v>43444</c:v>
                </c:pt>
                <c:pt idx="50">
                  <c:v>43451</c:v>
                </c:pt>
                <c:pt idx="51">
                  <c:v>43458</c:v>
                </c:pt>
                <c:pt idx="52">
                  <c:v>43465</c:v>
                </c:pt>
                <c:pt idx="53">
                  <c:v>43472</c:v>
                </c:pt>
                <c:pt idx="54">
                  <c:v>43479</c:v>
                </c:pt>
                <c:pt idx="55">
                  <c:v>43486</c:v>
                </c:pt>
                <c:pt idx="56">
                  <c:v>43493</c:v>
                </c:pt>
                <c:pt idx="57">
                  <c:v>43500</c:v>
                </c:pt>
                <c:pt idx="58">
                  <c:v>43507</c:v>
                </c:pt>
                <c:pt idx="59">
                  <c:v>43514</c:v>
                </c:pt>
                <c:pt idx="60">
                  <c:v>43521</c:v>
                </c:pt>
                <c:pt idx="61">
                  <c:v>43528</c:v>
                </c:pt>
                <c:pt idx="62">
                  <c:v>43535</c:v>
                </c:pt>
                <c:pt idx="63">
                  <c:v>43542</c:v>
                </c:pt>
                <c:pt idx="64">
                  <c:v>43549</c:v>
                </c:pt>
                <c:pt idx="65">
                  <c:v>43556</c:v>
                </c:pt>
                <c:pt idx="66">
                  <c:v>43563</c:v>
                </c:pt>
                <c:pt idx="67">
                  <c:v>43570</c:v>
                </c:pt>
                <c:pt idx="68">
                  <c:v>43577</c:v>
                </c:pt>
                <c:pt idx="69">
                  <c:v>43584</c:v>
                </c:pt>
                <c:pt idx="70">
                  <c:v>43591</c:v>
                </c:pt>
                <c:pt idx="71">
                  <c:v>43598</c:v>
                </c:pt>
                <c:pt idx="72">
                  <c:v>43605</c:v>
                </c:pt>
                <c:pt idx="73">
                  <c:v>43612</c:v>
                </c:pt>
                <c:pt idx="74">
                  <c:v>43619</c:v>
                </c:pt>
                <c:pt idx="75">
                  <c:v>43626</c:v>
                </c:pt>
                <c:pt idx="76">
                  <c:v>43633</c:v>
                </c:pt>
                <c:pt idx="77">
                  <c:v>43640</c:v>
                </c:pt>
                <c:pt idx="78">
                  <c:v>43647</c:v>
                </c:pt>
                <c:pt idx="79">
                  <c:v>43654</c:v>
                </c:pt>
                <c:pt idx="80">
                  <c:v>43661</c:v>
                </c:pt>
                <c:pt idx="81">
                  <c:v>43668</c:v>
                </c:pt>
                <c:pt idx="82">
                  <c:v>43675</c:v>
                </c:pt>
                <c:pt idx="83">
                  <c:v>43682</c:v>
                </c:pt>
                <c:pt idx="84">
                  <c:v>43689</c:v>
                </c:pt>
                <c:pt idx="85">
                  <c:v>43696</c:v>
                </c:pt>
                <c:pt idx="86">
                  <c:v>43703</c:v>
                </c:pt>
                <c:pt idx="87">
                  <c:v>43710</c:v>
                </c:pt>
                <c:pt idx="88">
                  <c:v>43717</c:v>
                </c:pt>
                <c:pt idx="89">
                  <c:v>43724</c:v>
                </c:pt>
                <c:pt idx="90">
                  <c:v>43731</c:v>
                </c:pt>
                <c:pt idx="91">
                  <c:v>43738</c:v>
                </c:pt>
                <c:pt idx="92">
                  <c:v>43745</c:v>
                </c:pt>
                <c:pt idx="93">
                  <c:v>43752</c:v>
                </c:pt>
                <c:pt idx="94">
                  <c:v>43759</c:v>
                </c:pt>
                <c:pt idx="95">
                  <c:v>43766</c:v>
                </c:pt>
                <c:pt idx="96">
                  <c:v>43773</c:v>
                </c:pt>
                <c:pt idx="97">
                  <c:v>43780</c:v>
                </c:pt>
                <c:pt idx="98">
                  <c:v>43787</c:v>
                </c:pt>
                <c:pt idx="99">
                  <c:v>43794</c:v>
                </c:pt>
                <c:pt idx="100">
                  <c:v>43801</c:v>
                </c:pt>
                <c:pt idx="101">
                  <c:v>43808</c:v>
                </c:pt>
                <c:pt idx="102">
                  <c:v>43815</c:v>
                </c:pt>
                <c:pt idx="103">
                  <c:v>43822</c:v>
                </c:pt>
                <c:pt idx="104">
                  <c:v>43829</c:v>
                </c:pt>
                <c:pt idx="105">
                  <c:v>43836</c:v>
                </c:pt>
                <c:pt idx="106">
                  <c:v>43843</c:v>
                </c:pt>
                <c:pt idx="107">
                  <c:v>43850</c:v>
                </c:pt>
                <c:pt idx="108">
                  <c:v>43857</c:v>
                </c:pt>
                <c:pt idx="109">
                  <c:v>43864</c:v>
                </c:pt>
                <c:pt idx="110">
                  <c:v>43871</c:v>
                </c:pt>
                <c:pt idx="111">
                  <c:v>43878</c:v>
                </c:pt>
                <c:pt idx="112">
                  <c:v>43885</c:v>
                </c:pt>
                <c:pt idx="113">
                  <c:v>43892</c:v>
                </c:pt>
                <c:pt idx="114">
                  <c:v>43899</c:v>
                </c:pt>
                <c:pt idx="115">
                  <c:v>43906</c:v>
                </c:pt>
                <c:pt idx="116">
                  <c:v>43913</c:v>
                </c:pt>
                <c:pt idx="117">
                  <c:v>43920</c:v>
                </c:pt>
                <c:pt idx="118">
                  <c:v>43927</c:v>
                </c:pt>
                <c:pt idx="119">
                  <c:v>43934</c:v>
                </c:pt>
                <c:pt idx="120">
                  <c:v>43941</c:v>
                </c:pt>
                <c:pt idx="121">
                  <c:v>43948</c:v>
                </c:pt>
                <c:pt idx="122">
                  <c:v>43955</c:v>
                </c:pt>
                <c:pt idx="123">
                  <c:v>43962</c:v>
                </c:pt>
                <c:pt idx="124">
                  <c:v>43969</c:v>
                </c:pt>
                <c:pt idx="125">
                  <c:v>43976</c:v>
                </c:pt>
                <c:pt idx="126">
                  <c:v>43983</c:v>
                </c:pt>
                <c:pt idx="127">
                  <c:v>43990</c:v>
                </c:pt>
                <c:pt idx="128">
                  <c:v>43997</c:v>
                </c:pt>
                <c:pt idx="129">
                  <c:v>44004</c:v>
                </c:pt>
                <c:pt idx="130">
                  <c:v>44011</c:v>
                </c:pt>
                <c:pt idx="131">
                  <c:v>44018</c:v>
                </c:pt>
                <c:pt idx="132">
                  <c:v>44025</c:v>
                </c:pt>
                <c:pt idx="133">
                  <c:v>44032</c:v>
                </c:pt>
                <c:pt idx="134">
                  <c:v>44039</c:v>
                </c:pt>
                <c:pt idx="135">
                  <c:v>44046</c:v>
                </c:pt>
                <c:pt idx="136">
                  <c:v>44053</c:v>
                </c:pt>
                <c:pt idx="137">
                  <c:v>44060</c:v>
                </c:pt>
                <c:pt idx="138">
                  <c:v>44067</c:v>
                </c:pt>
                <c:pt idx="139">
                  <c:v>44074</c:v>
                </c:pt>
                <c:pt idx="140">
                  <c:v>44081</c:v>
                </c:pt>
                <c:pt idx="141">
                  <c:v>44088</c:v>
                </c:pt>
                <c:pt idx="142">
                  <c:v>44095</c:v>
                </c:pt>
                <c:pt idx="143">
                  <c:v>44102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9.8996956373710727</c:v>
                </c:pt>
                <c:pt idx="1">
                  <c:v>9.889565745214453</c:v>
                </c:pt>
                <c:pt idx="2">
                  <c:v>9.890535824520823</c:v>
                </c:pt>
                <c:pt idx="3">
                  <c:v>9.9026120196180827</c:v>
                </c:pt>
                <c:pt idx="4">
                  <c:v>9.9259435453662466</c:v>
                </c:pt>
                <c:pt idx="5">
                  <c:v>9.9608287561503239</c:v>
                </c:pt>
                <c:pt idx="6">
                  <c:v>10.007721720570064</c:v>
                </c:pt>
                <c:pt idx="7">
                  <c:v>10.067239186306653</c:v>
                </c:pt>
                <c:pt idx="8">
                  <c:v>10.140167921398305</c:v>
                </c:pt>
                <c:pt idx="9">
                  <c:v>10.227472542878569</c:v>
                </c:pt>
                <c:pt idx="10">
                  <c:v>10.330304096897496</c:v>
                </c:pt>
                <c:pt idx="11">
                  <c:v>10.450009816612532</c:v>
                </c:pt>
                <c:pt idx="12">
                  <c:v>10.588144678789078</c:v>
                </c:pt>
                <c:pt idx="13">
                  <c:v>10.746485583056549</c:v>
                </c:pt>
                <c:pt idx="14">
                  <c:v>10.92704920900877</c:v>
                </c:pt>
                <c:pt idx="15">
                  <c:v>11.132114867279387</c:v>
                </c:pt>
                <c:pt idx="16">
                  <c:v>11.36425396673298</c:v>
                </c:pt>
                <c:pt idx="17">
                  <c:v>11.626368091374518</c:v>
                </c:pt>
                <c:pt idx="18">
                  <c:v>11.921738146591164</c:v>
                </c:pt>
                <c:pt idx="19">
                  <c:v>12.254087635193446</c:v>
                </c:pt>
                <c:pt idx="20">
                  <c:v>12.627663915436962</c:v>
                </c:pt>
                <c:pt idx="21">
                  <c:v>13.047342342656769</c:v>
                </c:pt>
                <c:pt idx="22">
                  <c:v>13.518759636973735</c:v>
                </c:pt>
                <c:pt idx="23">
                  <c:v>14.048484713943861</c:v>
                </c:pt>
                <c:pt idx="24">
                  <c:v>14.644237851339046</c:v>
                </c:pt>
                <c:pt idx="25">
                  <c:v>15.315172579146537</c:v>
                </c:pt>
                <c:pt idx="26">
                  <c:v>16.072239374346097</c:v>
                </c:pt>
                <c:pt idx="27">
                  <c:v>16.928656505628666</c:v>
                </c:pt>
                <c:pt idx="28">
                  <c:v>17.9005212427017</c:v>
                </c:pt>
                <c:pt idx="29">
                  <c:v>19.007604194548527</c:v>
                </c:pt>
                <c:pt idx="30">
                  <c:v>20.274379181000377</c:v>
                </c:pt>
                <c:pt idx="31">
                  <c:v>21.731346696746545</c:v>
                </c:pt>
                <c:pt idx="32">
                  <c:v>23.416698386484885</c:v>
                </c:pt>
                <c:pt idx="33">
                  <c:v>25.378312260531718</c:v>
                </c:pt>
                <c:pt idx="34">
                  <c:v>27.67588719196225</c:v>
                </c:pt>
                <c:pt idx="35">
                  <c:v>30.382536739406699</c:v>
                </c:pt>
                <c:pt idx="36">
                  <c:v>33.583938934182648</c:v>
                </c:pt>
                <c:pt idx="37">
                  <c:v>37.370252270057719</c:v>
                </c:pt>
                <c:pt idx="38">
                  <c:v>41.80977331825239</c:v>
                </c:pt>
                <c:pt idx="39">
                  <c:v>46.882274326388476</c:v>
                </c:pt>
                <c:pt idx="40">
                  <c:v>52.340866353935752</c:v>
                </c:pt>
                <c:pt idx="41">
                  <c:v>57.506889735811733</c:v>
                </c:pt>
                <c:pt idx="42">
                  <c:v>61.181411517232021</c:v>
                </c:pt>
                <c:pt idx="43">
                  <c:v>62.095986766034144</c:v>
                </c:pt>
                <c:pt idx="44">
                  <c:v>59.881354950159711</c:v>
                </c:pt>
                <c:pt idx="45">
                  <c:v>55.419060463291473</c:v>
                </c:pt>
                <c:pt idx="46">
                  <c:v>50.04896430145682</c:v>
                </c:pt>
                <c:pt idx="47">
                  <c:v>44.751117507685954</c:v>
                </c:pt>
                <c:pt idx="48">
                  <c:v>39.986823502495689</c:v>
                </c:pt>
                <c:pt idx="49">
                  <c:v>35.880164871798165</c:v>
                </c:pt>
                <c:pt idx="50">
                  <c:v>32.400328910891794</c:v>
                </c:pt>
                <c:pt idx="51">
                  <c:v>29.464240654797702</c:v>
                </c:pt>
                <c:pt idx="52">
                  <c:v>26.981742559046808</c:v>
                </c:pt>
                <c:pt idx="53">
                  <c:v>24.871939433794353</c:v>
                </c:pt>
                <c:pt idx="54">
                  <c:v>23.06726127989722</c:v>
                </c:pt>
                <c:pt idx="55">
                  <c:v>21.512933070302182</c:v>
                </c:pt>
                <c:pt idx="56">
                  <c:v>20.165060090783314</c:v>
                </c:pt>
                <c:pt idx="57">
                  <c:v>18.988555287783239</c:v>
                </c:pt>
                <c:pt idx="58">
                  <c:v>17.955316118957519</c:v>
                </c:pt>
                <c:pt idx="59">
                  <c:v>17.042740073001653</c:v>
                </c:pt>
                <c:pt idx="60">
                  <c:v>16.232555670596444</c:v>
                </c:pt>
                <c:pt idx="61">
                  <c:v>15.509914460279113</c:v>
                </c:pt>
                <c:pt idx="62">
                  <c:v>14.862688289027044</c:v>
                </c:pt>
                <c:pt idx="63">
                  <c:v>14.280924336265986</c:v>
                </c:pt>
                <c:pt idx="64">
                  <c:v>13.756420266980111</c:v>
                </c:pt>
                <c:pt idx="65">
                  <c:v>13.282390698088813</c:v>
                </c:pt>
                <c:pt idx="66">
                  <c:v>12.853203306271011</c:v>
                </c:pt>
                <c:pt idx="67">
                  <c:v>12.464168388718653</c:v>
                </c:pt>
                <c:pt idx="68">
                  <c:v>12.111369794976598</c:v>
                </c:pt>
                <c:pt idx="69">
                  <c:v>11.791528179839908</c:v>
                </c:pt>
                <c:pt idx="70">
                  <c:v>11.501889749159648</c:v>
                </c:pt>
                <c:pt idx="71">
                  <c:v>11.240135295457607</c:v>
                </c:pt>
                <c:pt idx="72">
                  <c:v>11.004305512199226</c:v>
                </c:pt>
                <c:pt idx="73">
                  <c:v>10.792739462307924</c:v>
                </c:pt>
                <c:pt idx="74">
                  <c:v>10.604023729830056</c:v>
                </c:pt>
                <c:pt idx="75">
                  <c:v>10.436950313295606</c:v>
                </c:pt>
                <c:pt idx="76">
                  <c:v>10.290481703630322</c:v>
                </c:pt>
                <c:pt idx="77">
                  <c:v>10.163721927944408</c:v>
                </c:pt>
                <c:pt idx="78">
                  <c:v>10.055892607137974</c:v>
                </c:pt>
                <c:pt idx="79">
                  <c:v>9.9663133018814101</c:v>
                </c:pt>
                <c:pt idx="80">
                  <c:v>9.8943856111047381</c:v>
                </c:pt>
                <c:pt idx="81">
                  <c:v>9.8395806356654383</c:v>
                </c:pt>
                <c:pt idx="82">
                  <c:v>9.8014295450728284</c:v>
                </c:pt>
                <c:pt idx="83">
                  <c:v>9.779517061246608</c:v>
                </c:pt>
                <c:pt idx="84">
                  <c:v>9.7734777283043837</c:v>
                </c:pt>
                <c:pt idx="85">
                  <c:v>9.7829948567066563</c:v>
                </c:pt>
                <c:pt idx="86">
                  <c:v>9.8078020269660264</c:v>
                </c:pt>
                <c:pt idx="87">
                  <c:v>9.8476870208607945</c:v>
                </c:pt>
                <c:pt idx="88">
                  <c:v>9.9024980238031368</c:v>
                </c:pt>
                <c:pt idx="89">
                  <c:v>9.9721519266954139</c:v>
                </c:pt>
                <c:pt idx="90">
                  <c:v>10.056644552683776</c:v>
                </c:pt>
                <c:pt idx="91">
                  <c:v>10.15606266370885</c:v>
                </c:pt>
                <c:pt idx="92">
                  <c:v>10.270597655323733</c:v>
                </c:pt>
                <c:pt idx="93">
                  <c:v>10.400560942864548</c:v>
                </c:pt>
                <c:pt idx="94">
                  <c:v>10.546401169275009</c:v>
                </c:pt>
                <c:pt idx="95">
                  <c:v>10.708723526547056</c:v>
                </c:pt>
                <c:pt idx="96">
                  <c:v>10.888311675199475</c:v>
                </c:pt>
                <c:pt idx="97">
                  <c:v>11.086152967223393</c:v>
                </c:pt>
                <c:pt idx="98">
                  <c:v>11.303467927296934</c:v>
                </c:pt>
                <c:pt idx="99">
                  <c:v>11.541745228516072</c:v>
                </c:pt>
                <c:pt idx="100">
                  <c:v>11.80278372211945</c:v>
                </c:pt>
                <c:pt idx="101">
                  <c:v>12.088743463541201</c:v>
                </c:pt>
                <c:pt idx="102">
                  <c:v>12.402208148404648</c:v>
                </c:pt>
                <c:pt idx="103">
                  <c:v>12.746261974679351</c:v>
                </c:pt>
                <c:pt idx="104">
                  <c:v>13.124584743495779</c:v>
                </c:pt>
                <c:pt idx="105">
                  <c:v>13.541570074842259</c:v>
                </c:pt>
                <c:pt idx="106">
                  <c:v>14.002473116383989</c:v>
                </c:pt>
                <c:pt idx="107">
                  <c:v>14.513596056925358</c:v>
                </c:pt>
                <c:pt idx="108">
                  <c:v>15.08252262542465</c:v>
                </c:pt>
                <c:pt idx="109">
                  <c:v>15.718416424403562</c:v>
                </c:pt>
                <c:pt idx="110">
                  <c:v>16.432403060157583</c:v>
                </c:pt>
                <c:pt idx="111">
                  <c:v>17.238062683543369</c:v>
                </c:pt>
                <c:pt idx="112">
                  <c:v>18.152067991541283</c:v>
                </c:pt>
                <c:pt idx="113">
                  <c:v>19.195012577698851</c:v>
                </c:pt>
                <c:pt idx="114">
                  <c:v>20.39248386932022</c:v>
                </c:pt>
                <c:pt idx="115">
                  <c:v>21.776437850869002</c:v>
                </c:pt>
                <c:pt idx="116">
                  <c:v>23.386913378628297</c:v>
                </c:pt>
                <c:pt idx="117">
                  <c:v>25.274041392501374</c:v>
                </c:pt>
                <c:pt idx="118">
                  <c:v>27.500058407569611</c:v>
                </c:pt>
                <c:pt idx="119">
                  <c:v>30.140382698850217</c:v>
                </c:pt>
                <c:pt idx="120">
                  <c:v>33.281200313744257</c:v>
                </c:pt>
                <c:pt idx="121">
                  <c:v>37.00726967458418</c:v>
                </c:pt>
                <c:pt idx="122">
                  <c:v>41.365908419627317</c:v>
                </c:pt>
                <c:pt idx="123">
                  <c:v>46.28113140186251</c:v>
                </c:pt>
                <c:pt idx="124">
                  <c:v>51.390532001758686</c:v>
                </c:pt>
                <c:pt idx="125">
                  <c:v>55.851845925009258</c:v>
                </c:pt>
                <c:pt idx="126">
                  <c:v>58.402515046803295</c:v>
                </c:pt>
                <c:pt idx="127">
                  <c:v>58.052283312186191</c:v>
                </c:pt>
                <c:pt idx="128">
                  <c:v>54.949607960547297</c:v>
                </c:pt>
                <c:pt idx="129">
                  <c:v>50.236539989549719</c:v>
                </c:pt>
                <c:pt idx="130">
                  <c:v>45.113888029249061</c:v>
                </c:pt>
                <c:pt idx="131">
                  <c:v>40.302034323938202</c:v>
                </c:pt>
                <c:pt idx="132">
                  <c:v>36.07938091568878</c:v>
                </c:pt>
                <c:pt idx="133">
                  <c:v>32.482554621351575</c:v>
                </c:pt>
                <c:pt idx="134">
                  <c:v>29.450848867826014</c:v>
                </c:pt>
                <c:pt idx="135">
                  <c:v>26.897681772324031</c:v>
                </c:pt>
                <c:pt idx="136">
                  <c:v>24.739276797603978</c:v>
                </c:pt>
                <c:pt idx="137">
                  <c:v>22.90372469644538</c:v>
                </c:pt>
                <c:pt idx="138">
                  <c:v>21.332219863455169</c:v>
                </c:pt>
                <c:pt idx="139">
                  <c:v>19.977619687268639</c:v>
                </c:pt>
                <c:pt idx="140">
                  <c:v>18.802375513744938</c:v>
                </c:pt>
                <c:pt idx="141">
                  <c:v>17.776570056870266</c:v>
                </c:pt>
                <c:pt idx="142">
                  <c:v>16.876272454622796</c:v>
                </c:pt>
                <c:pt idx="143">
                  <c:v>16.082228105060306</c:v>
                </c:pt>
              </c:numCache>
            </c:numRef>
          </c:yVal>
          <c:smooth val="1"/>
        </c:ser>
        <c:axId val="185042432"/>
        <c:axId val="185043968"/>
      </c:scatterChart>
      <c:scatterChart>
        <c:scatterStyle val="smoothMarker"/>
        <c:ser>
          <c:idx val="2"/>
          <c:order val="1"/>
          <c:tx>
            <c:strRef>
              <c:f>BestVisibility!$E$4</c:f>
              <c:strCache>
                <c:ptCount val="1"/>
                <c:pt idx="0">
                  <c:v>Mag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dd/mm/yyyy\ hh:mm</c:formatCode>
                <c:ptCount val="149"/>
                <c:pt idx="0">
                  <c:v>43101</c:v>
                </c:pt>
                <c:pt idx="1">
                  <c:v>43108</c:v>
                </c:pt>
                <c:pt idx="2">
                  <c:v>43115</c:v>
                </c:pt>
                <c:pt idx="3">
                  <c:v>43122</c:v>
                </c:pt>
                <c:pt idx="4">
                  <c:v>43129</c:v>
                </c:pt>
                <c:pt idx="5">
                  <c:v>43136</c:v>
                </c:pt>
                <c:pt idx="6">
                  <c:v>43143</c:v>
                </c:pt>
                <c:pt idx="7">
                  <c:v>43150</c:v>
                </c:pt>
                <c:pt idx="8">
                  <c:v>43157</c:v>
                </c:pt>
                <c:pt idx="9">
                  <c:v>43164</c:v>
                </c:pt>
                <c:pt idx="10">
                  <c:v>43171</c:v>
                </c:pt>
                <c:pt idx="11">
                  <c:v>43178</c:v>
                </c:pt>
                <c:pt idx="12">
                  <c:v>43185</c:v>
                </c:pt>
                <c:pt idx="13">
                  <c:v>43192</c:v>
                </c:pt>
                <c:pt idx="14">
                  <c:v>43199</c:v>
                </c:pt>
                <c:pt idx="15">
                  <c:v>43206</c:v>
                </c:pt>
                <c:pt idx="16">
                  <c:v>43213</c:v>
                </c:pt>
                <c:pt idx="17">
                  <c:v>43220</c:v>
                </c:pt>
                <c:pt idx="18">
                  <c:v>43227</c:v>
                </c:pt>
                <c:pt idx="19">
                  <c:v>43234</c:v>
                </c:pt>
                <c:pt idx="20">
                  <c:v>43241</c:v>
                </c:pt>
                <c:pt idx="21">
                  <c:v>43248</c:v>
                </c:pt>
                <c:pt idx="22">
                  <c:v>43255</c:v>
                </c:pt>
                <c:pt idx="23">
                  <c:v>43262</c:v>
                </c:pt>
                <c:pt idx="24">
                  <c:v>43269</c:v>
                </c:pt>
                <c:pt idx="25">
                  <c:v>43276</c:v>
                </c:pt>
                <c:pt idx="26">
                  <c:v>43283</c:v>
                </c:pt>
                <c:pt idx="27">
                  <c:v>43290</c:v>
                </c:pt>
                <c:pt idx="28">
                  <c:v>43297</c:v>
                </c:pt>
                <c:pt idx="29">
                  <c:v>43304</c:v>
                </c:pt>
                <c:pt idx="30">
                  <c:v>43311</c:v>
                </c:pt>
                <c:pt idx="31">
                  <c:v>43318</c:v>
                </c:pt>
                <c:pt idx="32">
                  <c:v>43325</c:v>
                </c:pt>
                <c:pt idx="33">
                  <c:v>43332</c:v>
                </c:pt>
                <c:pt idx="34">
                  <c:v>43339</c:v>
                </c:pt>
                <c:pt idx="35">
                  <c:v>43346</c:v>
                </c:pt>
                <c:pt idx="36">
                  <c:v>43353</c:v>
                </c:pt>
                <c:pt idx="37">
                  <c:v>43360</c:v>
                </c:pt>
                <c:pt idx="38">
                  <c:v>43367</c:v>
                </c:pt>
                <c:pt idx="39">
                  <c:v>43374</c:v>
                </c:pt>
                <c:pt idx="40">
                  <c:v>43381</c:v>
                </c:pt>
                <c:pt idx="41">
                  <c:v>43388</c:v>
                </c:pt>
                <c:pt idx="42">
                  <c:v>43395</c:v>
                </c:pt>
                <c:pt idx="43">
                  <c:v>43402</c:v>
                </c:pt>
                <c:pt idx="44">
                  <c:v>43409</c:v>
                </c:pt>
                <c:pt idx="45">
                  <c:v>43416</c:v>
                </c:pt>
                <c:pt idx="46">
                  <c:v>43423</c:v>
                </c:pt>
                <c:pt idx="47">
                  <c:v>43430</c:v>
                </c:pt>
                <c:pt idx="48">
                  <c:v>43437</c:v>
                </c:pt>
                <c:pt idx="49">
                  <c:v>43444</c:v>
                </c:pt>
                <c:pt idx="50">
                  <c:v>43451</c:v>
                </c:pt>
                <c:pt idx="51">
                  <c:v>43458</c:v>
                </c:pt>
                <c:pt idx="52">
                  <c:v>43465</c:v>
                </c:pt>
                <c:pt idx="53">
                  <c:v>43472</c:v>
                </c:pt>
                <c:pt idx="54">
                  <c:v>43479</c:v>
                </c:pt>
                <c:pt idx="55">
                  <c:v>43486</c:v>
                </c:pt>
                <c:pt idx="56">
                  <c:v>43493</c:v>
                </c:pt>
                <c:pt idx="57">
                  <c:v>43500</c:v>
                </c:pt>
                <c:pt idx="58">
                  <c:v>43507</c:v>
                </c:pt>
                <c:pt idx="59">
                  <c:v>43514</c:v>
                </c:pt>
                <c:pt idx="60">
                  <c:v>43521</c:v>
                </c:pt>
                <c:pt idx="61">
                  <c:v>43528</c:v>
                </c:pt>
                <c:pt idx="62">
                  <c:v>43535</c:v>
                </c:pt>
                <c:pt idx="63">
                  <c:v>43542</c:v>
                </c:pt>
                <c:pt idx="64">
                  <c:v>43549</c:v>
                </c:pt>
                <c:pt idx="65">
                  <c:v>43556</c:v>
                </c:pt>
                <c:pt idx="66">
                  <c:v>43563</c:v>
                </c:pt>
                <c:pt idx="67">
                  <c:v>43570</c:v>
                </c:pt>
                <c:pt idx="68">
                  <c:v>43577</c:v>
                </c:pt>
                <c:pt idx="69">
                  <c:v>43584</c:v>
                </c:pt>
                <c:pt idx="70">
                  <c:v>43591</c:v>
                </c:pt>
                <c:pt idx="71">
                  <c:v>43598</c:v>
                </c:pt>
                <c:pt idx="72">
                  <c:v>43605</c:v>
                </c:pt>
                <c:pt idx="73">
                  <c:v>43612</c:v>
                </c:pt>
                <c:pt idx="74">
                  <c:v>43619</c:v>
                </c:pt>
                <c:pt idx="75">
                  <c:v>43626</c:v>
                </c:pt>
                <c:pt idx="76">
                  <c:v>43633</c:v>
                </c:pt>
                <c:pt idx="77">
                  <c:v>43640</c:v>
                </c:pt>
                <c:pt idx="78">
                  <c:v>43647</c:v>
                </c:pt>
                <c:pt idx="79">
                  <c:v>43654</c:v>
                </c:pt>
                <c:pt idx="80">
                  <c:v>43661</c:v>
                </c:pt>
                <c:pt idx="81">
                  <c:v>43668</c:v>
                </c:pt>
                <c:pt idx="82">
                  <c:v>43675</c:v>
                </c:pt>
                <c:pt idx="83">
                  <c:v>43682</c:v>
                </c:pt>
                <c:pt idx="84">
                  <c:v>43689</c:v>
                </c:pt>
                <c:pt idx="85">
                  <c:v>43696</c:v>
                </c:pt>
                <c:pt idx="86">
                  <c:v>43703</c:v>
                </c:pt>
                <c:pt idx="87">
                  <c:v>43710</c:v>
                </c:pt>
                <c:pt idx="88">
                  <c:v>43717</c:v>
                </c:pt>
                <c:pt idx="89">
                  <c:v>43724</c:v>
                </c:pt>
                <c:pt idx="90">
                  <c:v>43731</c:v>
                </c:pt>
                <c:pt idx="91">
                  <c:v>43738</c:v>
                </c:pt>
                <c:pt idx="92">
                  <c:v>43745</c:v>
                </c:pt>
                <c:pt idx="93">
                  <c:v>43752</c:v>
                </c:pt>
                <c:pt idx="94">
                  <c:v>43759</c:v>
                </c:pt>
                <c:pt idx="95">
                  <c:v>43766</c:v>
                </c:pt>
                <c:pt idx="96">
                  <c:v>43773</c:v>
                </c:pt>
                <c:pt idx="97">
                  <c:v>43780</c:v>
                </c:pt>
                <c:pt idx="98">
                  <c:v>43787</c:v>
                </c:pt>
                <c:pt idx="99">
                  <c:v>43794</c:v>
                </c:pt>
                <c:pt idx="100">
                  <c:v>43801</c:v>
                </c:pt>
                <c:pt idx="101">
                  <c:v>43808</c:v>
                </c:pt>
                <c:pt idx="102">
                  <c:v>43815</c:v>
                </c:pt>
                <c:pt idx="103">
                  <c:v>43822</c:v>
                </c:pt>
                <c:pt idx="104">
                  <c:v>43829</c:v>
                </c:pt>
                <c:pt idx="105">
                  <c:v>43836</c:v>
                </c:pt>
                <c:pt idx="106">
                  <c:v>43843</c:v>
                </c:pt>
                <c:pt idx="107">
                  <c:v>43850</c:v>
                </c:pt>
                <c:pt idx="108">
                  <c:v>43857</c:v>
                </c:pt>
                <c:pt idx="109">
                  <c:v>43864</c:v>
                </c:pt>
                <c:pt idx="110">
                  <c:v>43871</c:v>
                </c:pt>
                <c:pt idx="111">
                  <c:v>43878</c:v>
                </c:pt>
                <c:pt idx="112">
                  <c:v>43885</c:v>
                </c:pt>
                <c:pt idx="113">
                  <c:v>43892</c:v>
                </c:pt>
                <c:pt idx="114">
                  <c:v>43899</c:v>
                </c:pt>
                <c:pt idx="115">
                  <c:v>43906</c:v>
                </c:pt>
                <c:pt idx="116">
                  <c:v>43913</c:v>
                </c:pt>
                <c:pt idx="117">
                  <c:v>43920</c:v>
                </c:pt>
                <c:pt idx="118">
                  <c:v>43927</c:v>
                </c:pt>
                <c:pt idx="119">
                  <c:v>43934</c:v>
                </c:pt>
                <c:pt idx="120">
                  <c:v>43941</c:v>
                </c:pt>
                <c:pt idx="121">
                  <c:v>43948</c:v>
                </c:pt>
                <c:pt idx="122">
                  <c:v>43955</c:v>
                </c:pt>
                <c:pt idx="123">
                  <c:v>43962</c:v>
                </c:pt>
                <c:pt idx="124">
                  <c:v>43969</c:v>
                </c:pt>
                <c:pt idx="125">
                  <c:v>43976</c:v>
                </c:pt>
                <c:pt idx="126">
                  <c:v>43983</c:v>
                </c:pt>
                <c:pt idx="127">
                  <c:v>43990</c:v>
                </c:pt>
                <c:pt idx="128">
                  <c:v>43997</c:v>
                </c:pt>
                <c:pt idx="129">
                  <c:v>44004</c:v>
                </c:pt>
                <c:pt idx="130">
                  <c:v>44011</c:v>
                </c:pt>
                <c:pt idx="131">
                  <c:v>44018</c:v>
                </c:pt>
                <c:pt idx="132">
                  <c:v>44025</c:v>
                </c:pt>
                <c:pt idx="133">
                  <c:v>44032</c:v>
                </c:pt>
                <c:pt idx="134">
                  <c:v>44039</c:v>
                </c:pt>
                <c:pt idx="135">
                  <c:v>44046</c:v>
                </c:pt>
                <c:pt idx="136">
                  <c:v>44053</c:v>
                </c:pt>
                <c:pt idx="137">
                  <c:v>44060</c:v>
                </c:pt>
                <c:pt idx="138">
                  <c:v>44067</c:v>
                </c:pt>
                <c:pt idx="139">
                  <c:v>44074</c:v>
                </c:pt>
                <c:pt idx="140">
                  <c:v>44081</c:v>
                </c:pt>
                <c:pt idx="141">
                  <c:v>44088</c:v>
                </c:pt>
                <c:pt idx="142">
                  <c:v>44095</c:v>
                </c:pt>
                <c:pt idx="143">
                  <c:v>44102</c:v>
                </c:pt>
              </c:numCache>
            </c:numRef>
          </c:xVal>
          <c:yVal>
            <c:numRef>
              <c:f>BestVisibility!$E$5:$E$153</c:f>
              <c:numCache>
                <c:formatCode>_-* #,##0.0_-;\-* #,##0.0_-;_-* "-"??_-;_-@_-</c:formatCode>
                <c:ptCount val="149"/>
                <c:pt idx="0">
                  <c:v>-3.8318697408179965</c:v>
                </c:pt>
                <c:pt idx="1">
                  <c:v>-3.8501343362431264</c:v>
                </c:pt>
                <c:pt idx="2">
                  <c:v>-3.833905977676086</c:v>
                </c:pt>
                <c:pt idx="3">
                  <c:v>-3.8082944906047511</c:v>
                </c:pt>
                <c:pt idx="4">
                  <c:v>-3.7845484061170112</c:v>
                </c:pt>
                <c:pt idx="5">
                  <c:v>-3.7634392420040039</c:v>
                </c:pt>
                <c:pt idx="6">
                  <c:v>-3.7450850494509416</c:v>
                </c:pt>
                <c:pt idx="7">
                  <c:v>-3.7295006469978027</c:v>
                </c:pt>
                <c:pt idx="8">
                  <c:v>-3.7166807380817608</c:v>
                </c:pt>
                <c:pt idx="9">
                  <c:v>-3.7066229672005266</c:v>
                </c:pt>
                <c:pt idx="10">
                  <c:v>-3.6993376423741227</c:v>
                </c:pt>
                <c:pt idx="11">
                  <c:v>-3.6948533466734679</c:v>
                </c:pt>
                <c:pt idx="12">
                  <c:v>-3.6932208708607672</c:v>
                </c:pt>
                <c:pt idx="13">
                  <c:v>-3.6945162209481945</c:v>
                </c:pt>
                <c:pt idx="14">
                  <c:v>-3.6988429459369261</c:v>
                </c:pt>
                <c:pt idx="15">
                  <c:v>-3.7063338561496071</c:v>
                </c:pt>
                <c:pt idx="16">
                  <c:v>-3.7171521414889046</c:v>
                </c:pt>
                <c:pt idx="17">
                  <c:v>-3.7314918854504575</c:v>
                </c:pt>
                <c:pt idx="18">
                  <c:v>-3.7495779825947446</c:v>
                </c:pt>
                <c:pt idx="19">
                  <c:v>-3.7716654953700592</c:v>
                </c:pt>
                <c:pt idx="20">
                  <c:v>-3.798038524591917</c:v>
                </c:pt>
                <c:pt idx="21">
                  <c:v>-3.8290087089458464</c:v>
                </c:pt>
                <c:pt idx="22">
                  <c:v>-3.8649135060339908</c:v>
                </c:pt>
                <c:pt idx="23">
                  <c:v>-3.9061144238734422</c:v>
                </c:pt>
                <c:pt idx="24">
                  <c:v>-3.9529953618606104</c:v>
                </c:pt>
                <c:pt idx="25">
                  <c:v>-4.0059611600213962</c:v>
                </c:pt>
                <c:pt idx="26">
                  <c:v>-4.065436322820954</c:v>
                </c:pt>
                <c:pt idx="27">
                  <c:v>-4.1318636504747062</c:v>
                </c:pt>
                <c:pt idx="28">
                  <c:v>-4.2057021001555732</c:v>
                </c:pt>
                <c:pt idx="29">
                  <c:v>-4.2874225212578878</c:v>
                </c:pt>
                <c:pt idx="30">
                  <c:v>-4.3774987384997486</c:v>
                </c:pt>
                <c:pt idx="31">
                  <c:v>-4.4763894450089072</c:v>
                </c:pt>
                <c:pt idx="32">
                  <c:v>-4.584502804512347</c:v>
                </c:pt>
                <c:pt idx="33">
                  <c:v>-4.70212928796367</c:v>
                </c:pt>
                <c:pt idx="34">
                  <c:v>-4.8293167664474099</c:v>
                </c:pt>
                <c:pt idx="35">
                  <c:v>-4.9656412221232973</c:v>
                </c:pt>
                <c:pt idx="36">
                  <c:v>-5.1097904054590391</c:v>
                </c:pt>
                <c:pt idx="37">
                  <c:v>-5.2588201786267419</c:v>
                </c:pt>
                <c:pt idx="38">
                  <c:v>-5.4068735043992318</c:v>
                </c:pt>
                <c:pt idx="39">
                  <c:v>-5.5431603035298949</c:v>
                </c:pt>
                <c:pt idx="40">
                  <c:v>-5.6494632857879363</c:v>
                </c:pt>
                <c:pt idx="41">
                  <c:v>-5.6995322898121366</c:v>
                </c:pt>
                <c:pt idx="42">
                  <c:v>-5.6710024720383307</c:v>
                </c:pt>
                <c:pt idx="43">
                  <c:v>-5.6499160339589771</c:v>
                </c:pt>
                <c:pt idx="44">
                  <c:v>-5.7235661379864755</c:v>
                </c:pt>
                <c:pt idx="45">
                  <c:v>-5.7251574255753317</c:v>
                </c:pt>
                <c:pt idx="46">
                  <c:v>-5.6543782229328743</c:v>
                </c:pt>
                <c:pt idx="47">
                  <c:v>-5.5394220036297499</c:v>
                </c:pt>
                <c:pt idx="48">
                  <c:v>-5.4032002091180695</c:v>
                </c:pt>
                <c:pt idx="49">
                  <c:v>-5.2601871413178136</c:v>
                </c:pt>
                <c:pt idx="50">
                  <c:v>-5.1185134201708449</c:v>
                </c:pt>
                <c:pt idx="51">
                  <c:v>-4.9823764855825434</c:v>
                </c:pt>
                <c:pt idx="52">
                  <c:v>-4.8537265977520976</c:v>
                </c:pt>
                <c:pt idx="53">
                  <c:v>-4.7332855753014513</c:v>
                </c:pt>
                <c:pt idx="54">
                  <c:v>-4.6211286489705543</c:v>
                </c:pt>
                <c:pt idx="55">
                  <c:v>-4.5170094283253617</c:v>
                </c:pt>
                <c:pt idx="56">
                  <c:v>-4.4205394888309186</c:v>
                </c:pt>
                <c:pt idx="57">
                  <c:v>-4.3312865395632798</c:v>
                </c:pt>
                <c:pt idx="58">
                  <c:v>-4.2488268849179356</c:v>
                </c:pt>
                <c:pt idx="59">
                  <c:v>-4.1727720283337186</c:v>
                </c:pt>
                <c:pt idx="60">
                  <c:v>-4.1027805198944769</c:v>
                </c:pt>
                <c:pt idx="61">
                  <c:v>-4.0385613212371476</c:v>
                </c:pt>
                <c:pt idx="62">
                  <c:v>-3.9798722883168312</c:v>
                </c:pt>
                <c:pt idx="63">
                  <c:v>-3.9265158747813995</c:v>
                </c:pt>
                <c:pt idx="64">
                  <c:v>-3.8783333104864135</c:v>
                </c:pt>
                <c:pt idx="65">
                  <c:v>-3.8351980234050069</c:v>
                </c:pt>
                <c:pt idx="66">
                  <c:v>-3.7970087910124635</c:v>
                </c:pt>
                <c:pt idx="67">
                  <c:v>-3.7636829415553477</c:v>
                </c:pt>
                <c:pt idx="68">
                  <c:v>-3.7351498272452641</c:v>
                </c:pt>
                <c:pt idx="69">
                  <c:v>-3.7113447322864213</c:v>
                </c:pt>
                <c:pt idx="70">
                  <c:v>-3.6922033423562253</c:v>
                </c:pt>
                <c:pt idx="71">
                  <c:v>-3.677656878608023</c:v>
                </c:pt>
                <c:pt idx="72">
                  <c:v>-3.6676279814645554</c:v>
                </c:pt>
                <c:pt idx="73">
                  <c:v>-3.6620274116618861</c:v>
                </c:pt>
                <c:pt idx="74">
                  <c:v>-3.6607516106550575</c:v>
                </c:pt>
                <c:pt idx="75">
                  <c:v>-3.6636811214482519</c:v>
                </c:pt>
                <c:pt idx="76">
                  <c:v>-3.670679792229067</c:v>
                </c:pt>
                <c:pt idx="77">
                  <c:v>-3.6815945294385757</c:v>
                </c:pt>
                <c:pt idx="78">
                  <c:v>-3.6962550205632483</c:v>
                </c:pt>
                <c:pt idx="79">
                  <c:v>-3.7144719766707688</c:v>
                </c:pt>
                <c:pt idx="80">
                  <c:v>-3.736029886767374</c:v>
                </c:pt>
                <c:pt idx="81">
                  <c:v>-3.7606611694239933</c:v>
                </c:pt>
                <c:pt idx="82">
                  <c:v>-3.7879467543025878</c:v>
                </c:pt>
                <c:pt idx="83">
                  <c:v>-3.8168068857683091</c:v>
                </c:pt>
                <c:pt idx="84">
                  <c:v>-3.8410164831302156</c:v>
                </c:pt>
                <c:pt idx="85">
                  <c:v>-3.8333901878282881</c:v>
                </c:pt>
                <c:pt idx="86">
                  <c:v>-3.8076336653494138</c:v>
                </c:pt>
                <c:pt idx="87">
                  <c:v>-3.7818324837304726</c:v>
                </c:pt>
                <c:pt idx="88">
                  <c:v>-3.758420508498503</c:v>
                </c:pt>
                <c:pt idx="89">
                  <c:v>-3.7379244446377111</c:v>
                </c:pt>
                <c:pt idx="90">
                  <c:v>-3.7205457975781333</c:v>
                </c:pt>
                <c:pt idx="91">
                  <c:v>-3.7063970502370251</c:v>
                </c:pt>
                <c:pt idx="92">
                  <c:v>-3.6955578690512079</c:v>
                </c:pt>
                <c:pt idx="93">
                  <c:v>-3.6880924662330226</c:v>
                </c:pt>
                <c:pt idx="94">
                  <c:v>-3.6840559398356589</c:v>
                </c:pt>
                <c:pt idx="95">
                  <c:v>-3.6834970275798566</c:v>
                </c:pt>
                <c:pt idx="96">
                  <c:v>-3.6864597130004202</c:v>
                </c:pt>
                <c:pt idx="97">
                  <c:v>-3.6929846120917413</c:v>
                </c:pt>
                <c:pt idx="98">
                  <c:v>-3.7031105394698032</c:v>
                </c:pt>
                <c:pt idx="99">
                  <c:v>-3.7168764478137772</c:v>
                </c:pt>
                <c:pt idx="100">
                  <c:v>-3.7343238489492978</c:v>
                </c:pt>
                <c:pt idx="101">
                  <c:v>-3.7554997862705006</c:v>
                </c:pt>
                <c:pt idx="102">
                  <c:v>-3.780460406327919</c:v>
                </c:pt>
                <c:pt idx="103">
                  <c:v>-3.8092751584132705</c:v>
                </c:pt>
                <c:pt idx="104">
                  <c:v>-3.8420316276403081</c:v>
                </c:pt>
                <c:pt idx="105">
                  <c:v>-3.8788409740479857</c:v>
                </c:pt>
                <c:pt idx="106">
                  <c:v>-3.9198439087686321</c:v>
                </c:pt>
                <c:pt idx="107">
                  <c:v>-3.9652170712207009</c:v>
                </c:pt>
                <c:pt idx="108">
                  <c:v>-4.015179597109495</c:v>
                </c:pt>
                <c:pt idx="109">
                  <c:v>-4.0699995419902688</c:v>
                </c:pt>
                <c:pt idx="110">
                  <c:v>-4.1299996553727789</c:v>
                </c:pt>
                <c:pt idx="111">
                  <c:v>-4.1955617268077017</c:v>
                </c:pt>
                <c:pt idx="112">
                  <c:v>-4.2671282772118717</c:v>
                </c:pt>
                <c:pt idx="113">
                  <c:v>-4.3451996009665841</c:v>
                </c:pt>
                <c:pt idx="114">
                  <c:v>-4.4303228130936176</c:v>
                </c:pt>
                <c:pt idx="115">
                  <c:v>-4.5230671332257515</c:v>
                </c:pt>
                <c:pt idx="116">
                  <c:v>-4.6239752410766624</c:v>
                </c:pt>
                <c:pt idx="117">
                  <c:v>-4.7334724963653176</c:v>
                </c:pt>
                <c:pt idx="118">
                  <c:v>-4.8517011123729477</c:v>
                </c:pt>
                <c:pt idx="119">
                  <c:v>-4.9782197811204982</c:v>
                </c:pt>
                <c:pt idx="120">
                  <c:v>-5.1114631436746851</c:v>
                </c:pt>
                <c:pt idx="121">
                  <c:v>-5.2477841504755673</c:v>
                </c:pt>
                <c:pt idx="122">
                  <c:v>-5.379827587603744</c:v>
                </c:pt>
                <c:pt idx="123">
                  <c:v>-5.4940512138471913</c:v>
                </c:pt>
                <c:pt idx="124">
                  <c:v>-5.5679404861258721</c:v>
                </c:pt>
                <c:pt idx="125">
                  <c:v>-5.569866895262594</c:v>
                </c:pt>
                <c:pt idx="126">
                  <c:v>-5.468108733352917</c:v>
                </c:pt>
                <c:pt idx="127">
                  <c:v>-5.4938285754445992</c:v>
                </c:pt>
                <c:pt idx="128">
                  <c:v>-5.5646634766064453</c:v>
                </c:pt>
                <c:pt idx="129">
                  <c:v>-5.5380957548341083</c:v>
                </c:pt>
                <c:pt idx="130">
                  <c:v>-5.4474997222216777</c:v>
                </c:pt>
                <c:pt idx="131">
                  <c:v>-5.3228806757947771</c:v>
                </c:pt>
                <c:pt idx="132">
                  <c:v>-5.1846310561234121</c:v>
                </c:pt>
                <c:pt idx="133">
                  <c:v>-5.0447416246929233</c:v>
                </c:pt>
                <c:pt idx="134">
                  <c:v>-4.9096491512477067</c:v>
                </c:pt>
                <c:pt idx="135">
                  <c:v>-4.7825164391577317</c:v>
                </c:pt>
                <c:pt idx="136">
                  <c:v>-4.6646755319844697</c:v>
                </c:pt>
                <c:pt idx="137">
                  <c:v>-4.5564644034241484</c:v>
                </c:pt>
                <c:pt idx="138">
                  <c:v>-4.4576956022163845</c:v>
                </c:pt>
                <c:pt idx="139">
                  <c:v>-4.3679155756860162</c:v>
                </c:pt>
                <c:pt idx="140">
                  <c:v>-4.2865476814641079</c:v>
                </c:pt>
                <c:pt idx="141">
                  <c:v>-4.2129709753046916</c:v>
                </c:pt>
                <c:pt idx="142">
                  <c:v>-4.1465635338517854</c:v>
                </c:pt>
                <c:pt idx="143">
                  <c:v>-4.0867261707265623</c:v>
                </c:pt>
              </c:numCache>
            </c:numRef>
          </c:yVal>
          <c:smooth val="1"/>
        </c:ser>
        <c:axId val="185051392"/>
        <c:axId val="185049856"/>
      </c:scatterChart>
      <c:valAx>
        <c:axId val="185042432"/>
        <c:scaling>
          <c:orientation val="minMax"/>
          <c:max val="44102"/>
          <c:min val="43101"/>
        </c:scaling>
        <c:axPos val="b"/>
        <c:majorGridlines/>
        <c:numFmt formatCode="mm\-yyyy" sourceLinked="0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85043968"/>
        <c:crosses val="autoZero"/>
        <c:crossBetween val="midCat"/>
        <c:majorUnit val="365"/>
        <c:minorUnit val="90"/>
      </c:valAx>
      <c:valAx>
        <c:axId val="185043968"/>
        <c:scaling>
          <c:orientation val="minMax"/>
          <c:min val="0"/>
        </c:scaling>
        <c:axPos val="l"/>
        <c:majorGridlines/>
        <c:numFmt formatCode="#,##0.00;\-#,##0.00" sourceLinked="0"/>
        <c:tickLblPos val="nextTo"/>
        <c:crossAx val="185042432"/>
        <c:crosses val="autoZero"/>
        <c:crossBetween val="midCat"/>
      </c:valAx>
      <c:valAx>
        <c:axId val="185049856"/>
        <c:scaling>
          <c:orientation val="maxMin"/>
        </c:scaling>
        <c:axPos val="r"/>
        <c:numFmt formatCode="_-* #,##0.0_-;\-* #,##0.0_-;_-* &quot;-&quot;??_-;_-@_-" sourceLinked="1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185051392"/>
        <c:crosses val="max"/>
        <c:crossBetween val="midCat"/>
      </c:valAx>
      <c:valAx>
        <c:axId val="185051392"/>
        <c:scaling>
          <c:orientation val="minMax"/>
        </c:scaling>
        <c:delete val="1"/>
        <c:axPos val="t"/>
        <c:numFmt formatCode="dd/mm/yyyy\ hh:mm" sourceLinked="1"/>
        <c:tickLblPos val="none"/>
        <c:crossAx val="185049856"/>
        <c:crosses val="autoZero"/>
        <c:crossBetween val="midCat"/>
      </c:valAx>
    </c:plotArea>
    <c:plotVisOnly val="1"/>
  </c:chart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4"/>
  <sheetViews>
    <sheetView workbookViewId="0">
      <selection activeCell="B12" sqref="B12"/>
    </sheetView>
  </sheetViews>
  <sheetFormatPr defaultRowHeight="15"/>
  <cols>
    <col min="1" max="1" width="12.28515625" bestFit="1" customWidth="1"/>
    <col min="2" max="2" width="15.85546875" bestFit="1" customWidth="1"/>
    <col min="3" max="3" width="12" bestFit="1" customWidth="1"/>
    <col min="5" max="5" width="17.42578125" bestFit="1" customWidth="1"/>
    <col min="6" max="6" width="17.85546875" bestFit="1" customWidth="1"/>
    <col min="7" max="7" width="12" bestFit="1" customWidth="1"/>
    <col min="8" max="8" width="13.140625" bestFit="1" customWidth="1"/>
    <col min="9" max="9" width="10.85546875" customWidth="1"/>
    <col min="10" max="10" width="10.5703125" bestFit="1" customWidth="1"/>
    <col min="11" max="14" width="10" bestFit="1" customWidth="1"/>
    <col min="15" max="15" width="10.85546875" bestFit="1" customWidth="1"/>
    <col min="16" max="17" width="10" bestFit="1" customWidth="1"/>
  </cols>
  <sheetData>
    <row r="1" spans="1:17" ht="15.75" thickBot="1">
      <c r="B1" s="2">
        <v>43156</v>
      </c>
      <c r="G1" s="3" t="s">
        <v>65</v>
      </c>
      <c r="H1" s="10">
        <f>VLOOKUP(F2,planetlookup,2,0)</f>
        <v>4</v>
      </c>
    </row>
    <row r="2" spans="1:17" ht="15.75" thickBot="1">
      <c r="A2" s="29" t="s">
        <v>44</v>
      </c>
      <c r="C2" t="s">
        <v>45</v>
      </c>
      <c r="E2" s="56" t="s">
        <v>34</v>
      </c>
      <c r="F2" s="51" t="s">
        <v>30</v>
      </c>
      <c r="G2" s="47" t="s">
        <v>61</v>
      </c>
      <c r="H2" s="10" t="s">
        <v>62</v>
      </c>
      <c r="I2" s="48" t="s">
        <v>37</v>
      </c>
      <c r="J2" s="17" t="s">
        <v>28</v>
      </c>
      <c r="K2" s="16" t="s">
        <v>26</v>
      </c>
      <c r="L2" s="50" t="s">
        <v>27</v>
      </c>
      <c r="M2" s="48" t="s">
        <v>60</v>
      </c>
      <c r="N2" s="17" t="s">
        <v>30</v>
      </c>
      <c r="O2" s="17" t="s">
        <v>31</v>
      </c>
      <c r="P2" s="17" t="s">
        <v>66</v>
      </c>
      <c r="Q2" s="17" t="s">
        <v>33</v>
      </c>
    </row>
    <row r="3" spans="1:17">
      <c r="A3" s="22" t="s">
        <v>9</v>
      </c>
      <c r="B3" s="23">
        <f>IF(C3=0,YEAR(B1),C3)</f>
        <v>2018</v>
      </c>
      <c r="C3" s="18">
        <v>2018</v>
      </c>
      <c r="D3" s="18"/>
      <c r="E3" s="18" t="s">
        <v>14</v>
      </c>
      <c r="F3" s="73">
        <f>EccentricAnomaly(meananomaly(planetno,dd), eccentricity(planetno,dd))*180/PI()</f>
        <v>209.50371392800929</v>
      </c>
      <c r="G3" s="3"/>
      <c r="H3" s="18"/>
      <c r="I3" s="10"/>
      <c r="J3" s="18"/>
      <c r="K3" s="18"/>
      <c r="M3" s="19"/>
      <c r="N3" s="7"/>
      <c r="O3" s="7"/>
      <c r="P3" s="7"/>
      <c r="Q3" s="7"/>
    </row>
    <row r="4" spans="1:17">
      <c r="A4" s="24" t="s">
        <v>13</v>
      </c>
      <c r="B4" s="25">
        <f>IF(C4=0,MONTH(B1),C4)</f>
        <v>2</v>
      </c>
      <c r="C4" s="19">
        <v>2</v>
      </c>
      <c r="D4" s="19"/>
      <c r="E4" s="19" t="s">
        <v>63</v>
      </c>
      <c r="F4" s="70">
        <f>plandist(planetno,dd)</f>
        <v>5.4222888491046852</v>
      </c>
      <c r="G4" s="62">
        <f ca="1">OFFSET(J4,0,planetno)</f>
        <v>5.4231988477092683</v>
      </c>
      <c r="H4" s="65">
        <f ca="1">ROUND(ABS(F4-G4)*IF(planetno=0,erad,au),0)/IF(planetno=0,erad,au)/F4</f>
        <v>1.6782572980285798E-4</v>
      </c>
      <c r="I4" s="7">
        <v>0.98990259999999997</v>
      </c>
      <c r="J4" s="45">
        <f>367419.465/erad</f>
        <v>57.606052077878502</v>
      </c>
      <c r="K4" s="19">
        <f>52631000/au</f>
        <v>0.35181650483211058</v>
      </c>
      <c r="L4">
        <f>108658000/au</f>
        <v>0.7263338675314448</v>
      </c>
      <c r="M4" s="19">
        <f>235693000/au</f>
        <v>1.5755103926088168</v>
      </c>
      <c r="N4" s="7">
        <f>811299000/au</f>
        <v>5.4231988477092683</v>
      </c>
      <c r="O4" s="7">
        <f>1505768000/au</f>
        <v>10.065437381923914</v>
      </c>
      <c r="P4" s="7">
        <f>2976507000/au</f>
        <v>19.896720361541885</v>
      </c>
      <c r="Q4" s="7">
        <f>4479518000/au</f>
        <v>29.943728336769706</v>
      </c>
    </row>
    <row r="5" spans="1:17">
      <c r="A5" s="24" t="s">
        <v>10</v>
      </c>
      <c r="B5" s="25">
        <f>IF(C5=0,DAY(B1),C5)</f>
        <v>25</v>
      </c>
      <c r="C5" s="19">
        <v>25</v>
      </c>
      <c r="D5" s="19"/>
      <c r="E5" s="19" t="s">
        <v>35</v>
      </c>
      <c r="F5" s="70">
        <f>PlanTrueAnomaly(planetno,dd)*180/PI()</f>
        <v>208.16201383344134</v>
      </c>
      <c r="G5" s="5"/>
      <c r="H5" s="19"/>
      <c r="I5" s="7"/>
      <c r="J5" s="19"/>
      <c r="K5" s="19"/>
      <c r="M5" s="19"/>
      <c r="N5" s="7"/>
      <c r="O5" s="7"/>
      <c r="P5" s="7"/>
      <c r="Q5" s="7"/>
    </row>
    <row r="6" spans="1:17">
      <c r="A6" s="24" t="s">
        <v>11</v>
      </c>
      <c r="B6" s="25">
        <f>IF(C6=0,HOUR(B1),C6)</f>
        <v>11</v>
      </c>
      <c r="C6" s="19">
        <v>11</v>
      </c>
      <c r="D6" s="19"/>
      <c r="E6" s="19" t="s">
        <v>50</v>
      </c>
      <c r="F6" s="70">
        <f>planetxyz(planetno,dd,1,lst, lat,temp,pres)</f>
        <v>-3.0676660042256252</v>
      </c>
      <c r="G6" s="5"/>
      <c r="H6" s="19"/>
      <c r="I6" s="7"/>
      <c r="J6" s="19">
        <f>-0.0002089*au/erad</f>
        <v>-4.8997035482491755</v>
      </c>
      <c r="K6" s="19"/>
      <c r="M6" s="19"/>
      <c r="N6" s="7"/>
      <c r="O6" s="7"/>
      <c r="P6" s="7"/>
      <c r="Q6" s="7"/>
    </row>
    <row r="7" spans="1:17">
      <c r="A7" s="24" t="s">
        <v>5</v>
      </c>
      <c r="B7" s="25">
        <f>IF(C7=0,MINUTE(B1),C7)</f>
        <v>22</v>
      </c>
      <c r="C7" s="19">
        <v>22</v>
      </c>
      <c r="D7" s="19"/>
      <c r="E7" s="19" t="s">
        <v>51</v>
      </c>
      <c r="F7" s="70">
        <f>planetxyz(planetno,dd,2,lst, lat,temp,pres)</f>
        <v>-4.0734236431241628</v>
      </c>
      <c r="G7" s="5"/>
      <c r="H7" s="19"/>
      <c r="I7" s="7"/>
      <c r="J7" s="19">
        <f>0.0024301*au/erad</f>
        <v>56.997460950695654</v>
      </c>
      <c r="K7" s="19"/>
      <c r="M7" s="19"/>
      <c r="N7" s="7"/>
      <c r="O7" s="7"/>
      <c r="P7" s="7"/>
      <c r="Q7" s="7"/>
    </row>
    <row r="8" spans="1:17" ht="15.75" thickBot="1">
      <c r="A8" s="24" t="s">
        <v>12</v>
      </c>
      <c r="B8" s="25">
        <f>IF(C8=0,SECOND(B1),C8)</f>
        <v>46</v>
      </c>
      <c r="C8" s="30">
        <v>46</v>
      </c>
      <c r="D8" s="30"/>
      <c r="E8" s="19" t="s">
        <v>52</v>
      </c>
      <c r="F8" s="70">
        <f>planetxyz(planetno,dd,3,lst, lat,temp,pres)</f>
        <v>0.10431251533706457</v>
      </c>
      <c r="G8" s="68"/>
      <c r="H8" s="19"/>
      <c r="I8" s="7"/>
      <c r="J8" s="19">
        <f>-0.0001436 *au/erad</f>
        <v>-3.3681064122957469</v>
      </c>
      <c r="K8" s="19"/>
      <c r="M8" s="19"/>
      <c r="N8" s="7"/>
      <c r="O8" s="7"/>
      <c r="P8" s="7"/>
      <c r="Q8" s="7"/>
    </row>
    <row r="9" spans="1:17">
      <c r="A9" s="24" t="s">
        <v>40</v>
      </c>
      <c r="B9" s="26">
        <v>10</v>
      </c>
      <c r="C9" t="s">
        <v>42</v>
      </c>
      <c r="E9" s="19" t="s">
        <v>53</v>
      </c>
      <c r="F9" s="70">
        <f>planetxyz(planetno,dd,4,lst, lat,temp,pres)</f>
        <v>222.80261483797986</v>
      </c>
      <c r="G9" s="71">
        <f ca="1">OFFSET(J9,0,planetno)</f>
        <v>222.60016999999999</v>
      </c>
      <c r="H9" s="53">
        <f ca="1">(F9-G9)*60*60</f>
        <v>728.80141672752643</v>
      </c>
      <c r="I9" s="63">
        <f>336+48/60+51/3600</f>
        <v>336.81416666666667</v>
      </c>
      <c r="J9" s="19">
        <f>95+28/60+8.4/3600</f>
        <v>95.469000000000008</v>
      </c>
      <c r="K9" s="19">
        <f>343+36/60+11.4/3600</f>
        <v>343.60316666666671</v>
      </c>
      <c r="L9">
        <f>348+9/60+29.8/3600</f>
        <v>348.15827777777776</v>
      </c>
      <c r="M9" s="19">
        <v>220.13582</v>
      </c>
      <c r="N9" s="7">
        <v>222.60016999999999</v>
      </c>
      <c r="O9" s="7">
        <f>277+3/60+37.9/3600</f>
        <v>277.06052777777779</v>
      </c>
      <c r="P9" s="7">
        <f>25+46/60+44.9/3600</f>
        <v>25.779138888888887</v>
      </c>
      <c r="Q9" s="7">
        <f>343+40/60+37.4/3600</f>
        <v>343.67705555555557</v>
      </c>
    </row>
    <row r="10" spans="1:17" ht="15.75" thickBot="1">
      <c r="A10" s="27" t="s">
        <v>41</v>
      </c>
      <c r="B10" s="28">
        <v>1010</v>
      </c>
      <c r="C10" t="s">
        <v>43</v>
      </c>
      <c r="E10" s="19" t="s">
        <v>54</v>
      </c>
      <c r="F10" s="70">
        <f>planetxyz(planetno,dd,5,lst, lat,temp,pres)</f>
        <v>1.1023085927552529</v>
      </c>
      <c r="G10" s="74">
        <f ca="1">OFFSET(J10,0,planetno)</f>
        <v>1.10551</v>
      </c>
      <c r="H10" s="64">
        <f ca="1">(F10-G10)*60*60</f>
        <v>-11.525066081089363</v>
      </c>
      <c r="I10" s="7">
        <f>-5.6/3600</f>
        <v>-1.5555555555555555E-3</v>
      </c>
      <c r="J10" s="19">
        <f>-4-13/60-56.6/3600</f>
        <v>-4.232388888888889</v>
      </c>
      <c r="K10" s="19">
        <f>-1-20/60-23/3600</f>
        <v>-1.3397222222222223</v>
      </c>
      <c r="L10">
        <f>-1-24/60-49.3/3600</f>
        <v>-1.4136944444444444</v>
      </c>
      <c r="M10" s="19">
        <v>0.30732999999999999</v>
      </c>
      <c r="N10" s="7">
        <v>1.10551</v>
      </c>
      <c r="O10" s="7">
        <f>52/60+38.4/3600</f>
        <v>0.87733333333333341</v>
      </c>
      <c r="P10" s="7">
        <f>-32/60-25.8/3600</f>
        <v>-0.54049999999999998</v>
      </c>
      <c r="Q10" s="7">
        <f>-54/60-18.6/3600</f>
        <v>-0.90516666666666667</v>
      </c>
    </row>
    <row r="11" spans="1:17">
      <c r="A11" s="3" t="s">
        <v>24</v>
      </c>
      <c r="B11" s="10">
        <f>51+52/60+58.11/3600</f>
        <v>51.882808333333337</v>
      </c>
      <c r="E11" s="18" t="s">
        <v>55</v>
      </c>
      <c r="F11" s="36">
        <f>planetxyz(planetno,dd,6,lst, lat,temp,pres)</f>
        <v>230.92987554298981</v>
      </c>
      <c r="G11" s="75">
        <f ca="1">OFFSET(J11,0,planetno)*15</f>
        <v>230.71559999999999</v>
      </c>
      <c r="H11" s="53">
        <f ca="1">(F11-G11)*3600</f>
        <v>771.39195476331679</v>
      </c>
      <c r="I11" s="18">
        <f>(22+34/60+11.32/3600)</f>
        <v>22.569811111111111</v>
      </c>
      <c r="J11" s="18">
        <f>6+23/60+5.44/3600</f>
        <v>6.384844444444445</v>
      </c>
      <c r="K11" s="18">
        <f>23+1/60+38.54/3600</f>
        <v>23.027372222222223</v>
      </c>
      <c r="L11" s="31">
        <f>23+18/60+39.84/3600</f>
        <v>23.311066666666669</v>
      </c>
      <c r="M11" s="18">
        <f>17+8/60+40.92/3600</f>
        <v>17.1447</v>
      </c>
      <c r="N11" s="10">
        <v>15.38104</v>
      </c>
      <c r="O11" s="10">
        <f>18+30/60+33.04/2600</f>
        <v>18.512707692307693</v>
      </c>
      <c r="P11" s="10">
        <f>1+36/60+23.65/3600</f>
        <v>1.6065694444444445</v>
      </c>
      <c r="Q11" s="10">
        <f>23+1/60+14.56/3600</f>
        <v>23.020711111111112</v>
      </c>
    </row>
    <row r="12" spans="1:17" ht="15.75" thickBot="1">
      <c r="A12" s="5" t="s">
        <v>25</v>
      </c>
      <c r="B12" s="7">
        <f>-(1+18/60+21.08/3600)</f>
        <v>-1.3058555555555555</v>
      </c>
      <c r="C12" s="7"/>
      <c r="E12" s="19" t="s">
        <v>56</v>
      </c>
      <c r="F12" s="35">
        <f>planetxyz(planetno,dd,7,lst, lat,temp,pres)</f>
        <v>-17.392675269419847</v>
      </c>
      <c r="G12" s="76">
        <f t="shared" ref="G12:G19" ca="1" si="0">OFFSET(J12,0,planetno)</f>
        <v>-17.333729999999999</v>
      </c>
      <c r="H12" s="53">
        <f ca="1">(F12-G12)*3600</f>
        <v>-212.20296991145204</v>
      </c>
      <c r="I12" s="20">
        <v>-9.0109999999999992</v>
      </c>
      <c r="J12" s="19">
        <f>19+5/60+42.1/3600</f>
        <v>19.095027777777776</v>
      </c>
      <c r="K12" s="19">
        <f>-7-41/60-0/3600</f>
        <v>-7.6833333333333336</v>
      </c>
      <c r="L12" s="33">
        <f>-5-58/60-58.2/3600</f>
        <v>-5.9828333333333337</v>
      </c>
      <c r="M12" s="19">
        <f>-22-34/60-27.1/3600</f>
        <v>-22.574194444444444</v>
      </c>
      <c r="N12" s="7">
        <v>-17.333729999999999</v>
      </c>
      <c r="O12" s="7">
        <f>-22-22/60-21.4/3600</f>
        <v>-22.372611111111112</v>
      </c>
      <c r="P12" s="7">
        <f>9+27/60+26.9/3600</f>
        <v>9.4574722222222221</v>
      </c>
      <c r="Q12" s="7">
        <f>-7-15/60-13.8/3600</f>
        <v>-7.2538333333333336</v>
      </c>
    </row>
    <row r="13" spans="1:17">
      <c r="A13" s="3" t="s">
        <v>21</v>
      </c>
      <c r="B13" s="31"/>
      <c r="C13" s="32">
        <f>days(B3,B4,B5,B6,B7,B8)</f>
        <v>6631.4741435185188</v>
      </c>
      <c r="E13" s="19" t="s">
        <v>57</v>
      </c>
      <c r="F13" s="35">
        <f>planetxyz(planetno,dd,8,lst, lat,temp,pres)</f>
        <v>-15.935076055757419</v>
      </c>
      <c r="G13" s="76">
        <f t="shared" ca="1" si="0"/>
        <v>-15.96011</v>
      </c>
      <c r="H13" s="53">
        <f ca="1">(F13-G13)*3600</f>
        <v>90.122199273293546</v>
      </c>
      <c r="I13" s="20">
        <v>27.981629999999999</v>
      </c>
      <c r="J13" s="19">
        <f>-7-14/60-49/3600</f>
        <v>-7.2469444444444449</v>
      </c>
      <c r="K13" s="19">
        <f>27+51/60+46.6/3600</f>
        <v>27.862944444444445</v>
      </c>
      <c r="L13" s="33">
        <f>28+20/60+58.1/3600</f>
        <v>28.349472222222222</v>
      </c>
      <c r="M13" s="19">
        <f>-4-48/60-32.4/3600</f>
        <v>-4.8090000000000002</v>
      </c>
      <c r="N13" s="7">
        <v>-15.96011</v>
      </c>
      <c r="O13" s="7">
        <f>5+17/60+55.3/3600</f>
        <v>5.2986944444444442</v>
      </c>
      <c r="P13" s="7">
        <f>26+4/60+3.2/3600</f>
        <v>26.067555555555554</v>
      </c>
      <c r="Q13" s="7">
        <f>28+18/60+11/3600</f>
        <v>28.303055555555556</v>
      </c>
    </row>
    <row r="14" spans="1:17">
      <c r="A14" s="5" t="s">
        <v>39</v>
      </c>
      <c r="B14" s="33"/>
      <c r="C14" s="7">
        <f>juliandate(yval,monval,dayval,hval,mval,sval)</f>
        <v>2458174.9741435186</v>
      </c>
      <c r="E14" s="19" t="s">
        <v>58</v>
      </c>
      <c r="F14" s="35">
        <f>planetxyz(planetno,dd,9,lst, lat,temp,pres)</f>
        <v>261.89647117800115</v>
      </c>
      <c r="G14" s="76">
        <f t="shared" ca="1" si="0"/>
        <v>262.09654999999998</v>
      </c>
      <c r="H14" s="53">
        <f ca="1">(F14-G14)*3600</f>
        <v>-720.28375919578593</v>
      </c>
      <c r="I14" s="20">
        <v>164.43979999999999</v>
      </c>
      <c r="J14" s="19">
        <f>45+52/60+4.9/3600</f>
        <v>45.868027777777776</v>
      </c>
      <c r="K14" s="19">
        <f>156+36/60+36.3/3600</f>
        <v>156.61008333333334</v>
      </c>
      <c r="L14" s="33">
        <f>151+28/60+39.1/3600</f>
        <v>151.47752777777777</v>
      </c>
      <c r="M14" s="19">
        <f>238+52/60+40.3/3600</f>
        <v>238.87786111111112</v>
      </c>
      <c r="N14" s="7">
        <v>262.09654999999998</v>
      </c>
      <c r="O14" s="7">
        <f>222+47/60+26.5/3600</f>
        <v>222.79069444444445</v>
      </c>
      <c r="P14" s="7">
        <f>109+2/60+43.5/3600</f>
        <v>109.04541666666667</v>
      </c>
      <c r="Q14" s="7">
        <f>156+35/60+54.9/3600</f>
        <v>156.59858333333335</v>
      </c>
    </row>
    <row r="15" spans="1:17" ht="15.75" thickBot="1">
      <c r="A15" s="8" t="s">
        <v>38</v>
      </c>
      <c r="B15" s="34"/>
      <c r="C15" s="108">
        <f>localsiderealtime(yval,monval,dayval,hval,mval,sval,long)/24</f>
        <v>0.90185155154939067</v>
      </c>
      <c r="E15" s="19" t="s">
        <v>59</v>
      </c>
      <c r="F15" s="35">
        <f>lst*360-F11</f>
        <v>93.736683014790856</v>
      </c>
      <c r="G15" s="76">
        <f t="shared" ca="1" si="0"/>
        <v>93.950958557780666</v>
      </c>
      <c r="H15" s="53">
        <f ca="1">(F15-G15)*3600</f>
        <v>-771.39195476331679</v>
      </c>
      <c r="I15" s="20">
        <v>-13.882</v>
      </c>
      <c r="J15" s="44">
        <f t="shared" ref="J15:Q15" si="1">lst*360-J11*15</f>
        <v>228.89389189111398</v>
      </c>
      <c r="K15" s="44">
        <f t="shared" si="1"/>
        <v>-20.744024775552703</v>
      </c>
      <c r="L15" s="43">
        <f t="shared" si="1"/>
        <v>-24.999441442219393</v>
      </c>
      <c r="M15" s="44">
        <f t="shared" si="1"/>
        <v>67.496058557780657</v>
      </c>
      <c r="N15" s="44">
        <f t="shared" si="1"/>
        <v>93.950958557780666</v>
      </c>
      <c r="O15" s="44">
        <f t="shared" si="1"/>
        <v>46.975943173165263</v>
      </c>
      <c r="P15" s="44">
        <f t="shared" si="1"/>
        <v>300.56801689111398</v>
      </c>
      <c r="Q15" s="44">
        <f t="shared" si="1"/>
        <v>-20.64410810888603</v>
      </c>
    </row>
    <row r="16" spans="1:17" ht="15.75" thickBot="1">
      <c r="E16" s="30" t="s">
        <v>64</v>
      </c>
      <c r="F16" s="72">
        <f>SQRT(F6^2+F7^2+F8^2)</f>
        <v>5.1004152762986354</v>
      </c>
      <c r="G16" s="76">
        <f t="shared" ca="1" si="0"/>
        <v>5.1012691319008194</v>
      </c>
      <c r="H16" s="54">
        <f ca="1">ROUND(ABS(F16-G16)*IF(planetno=0,erad,au),0)/IF(planetno=0,erad,au)/F16</f>
        <v>1.6740906177400557E-4</v>
      </c>
      <c r="I16" s="30">
        <v>0.98990259999999997</v>
      </c>
      <c r="J16" s="46">
        <f>J4</f>
        <v>57.606052077878502</v>
      </c>
      <c r="K16" s="30">
        <f>196523000/au</f>
        <v>1.3136751150295618</v>
      </c>
      <c r="L16" s="34">
        <f>249768000/au</f>
        <v>1.6695959563547453</v>
      </c>
      <c r="M16" s="30">
        <f>214819000/au</f>
        <v>1.4359763210185854</v>
      </c>
      <c r="N16" s="11">
        <f>763139000/au</f>
        <v>5.1012691319008194</v>
      </c>
      <c r="O16" s="11">
        <f>1574909000/au</f>
        <v>10.527616420144676</v>
      </c>
      <c r="P16" s="11">
        <f>3071627000/au</f>
        <v>20.532558288612059</v>
      </c>
      <c r="Q16" s="11">
        <f>4626489000/au</f>
        <v>30.92616879071662</v>
      </c>
    </row>
    <row r="17" spans="2:17">
      <c r="E17" s="58" t="s">
        <v>36</v>
      </c>
      <c r="F17" s="82">
        <f>visualmagnitude(planetno,dd)</f>
        <v>-1.8980845610401285</v>
      </c>
      <c r="G17" s="60">
        <f t="shared" ca="1" si="0"/>
        <v>-2.14</v>
      </c>
      <c r="H17" s="67">
        <f ca="1">(F17-G17)</f>
        <v>0.24191543895987166</v>
      </c>
      <c r="I17" s="57">
        <v>-26.76</v>
      </c>
      <c r="J17" s="18">
        <v>-11.82</v>
      </c>
      <c r="K17" s="18">
        <v>-1.46</v>
      </c>
      <c r="L17" s="18">
        <v>-3.6</v>
      </c>
      <c r="M17" s="18">
        <v>0.86</v>
      </c>
      <c r="N17" s="18">
        <v>-2.14</v>
      </c>
      <c r="O17" s="18">
        <v>0.56000000000000005</v>
      </c>
      <c r="P17" s="18">
        <v>5.87</v>
      </c>
      <c r="Q17" s="18">
        <v>7.96</v>
      </c>
    </row>
    <row r="18" spans="2:17">
      <c r="E18" s="58" t="s">
        <v>70</v>
      </c>
      <c r="F18" s="81">
        <f>apparentsize(planetno,dd)</f>
        <v>38.494904701658662</v>
      </c>
      <c r="G18" s="61">
        <f t="shared" ca="1" si="0"/>
        <v>38.700000000000003</v>
      </c>
      <c r="H18" s="66">
        <f ca="1">(F18-G18)</f>
        <v>-0.20509529834134099</v>
      </c>
      <c r="I18" s="19">
        <f>32*60+18.9</f>
        <v>1938.9</v>
      </c>
      <c r="J18" s="19">
        <f>32*60+30.7</f>
        <v>1950.7</v>
      </c>
      <c r="K18" s="19">
        <v>5.0999999999999996</v>
      </c>
      <c r="L18" s="19">
        <v>10</v>
      </c>
      <c r="M18" s="19">
        <v>6.5</v>
      </c>
      <c r="N18" s="19">
        <f>38.7</f>
        <v>38.700000000000003</v>
      </c>
      <c r="O18" s="19">
        <f>15.8</f>
        <v>15.8</v>
      </c>
      <c r="P18" s="19">
        <f>3.4</f>
        <v>3.4</v>
      </c>
      <c r="Q18" s="19">
        <f>2.2</f>
        <v>2.2000000000000002</v>
      </c>
    </row>
    <row r="19" spans="2:17" ht="15.75" thickBot="1">
      <c r="E19" s="59" t="s">
        <v>71</v>
      </c>
      <c r="F19" s="11"/>
      <c r="G19" s="49" t="str">
        <f t="shared" ca="1" si="0"/>
        <v>Lib</v>
      </c>
      <c r="H19" s="54"/>
      <c r="I19" s="30" t="s">
        <v>72</v>
      </c>
      <c r="J19" s="30" t="s">
        <v>75</v>
      </c>
      <c r="K19" s="30" t="s">
        <v>72</v>
      </c>
      <c r="L19" s="30" t="s">
        <v>72</v>
      </c>
      <c r="M19" s="30" t="s">
        <v>74</v>
      </c>
      <c r="N19" s="30" t="s">
        <v>73</v>
      </c>
      <c r="O19" s="30" t="s">
        <v>67</v>
      </c>
      <c r="P19" s="30" t="s">
        <v>68</v>
      </c>
      <c r="Q19" s="30" t="s">
        <v>72</v>
      </c>
    </row>
    <row r="20" spans="2:17" ht="15.75" thickBot="1">
      <c r="E20" s="58"/>
    </row>
    <row r="21" spans="2:17">
      <c r="E21" s="3" t="s">
        <v>22</v>
      </c>
      <c r="F21" s="10">
        <f>meananomaly(planetno, dd)-180</f>
        <v>-176.31957150777035</v>
      </c>
    </row>
    <row r="22" spans="2:17" ht="15.75" thickBot="1">
      <c r="E22" s="8" t="s">
        <v>23</v>
      </c>
      <c r="F22" s="11">
        <f>eccentricity(planetno, dd)</f>
        <v>4.8527636057947382E-2</v>
      </c>
    </row>
    <row r="23" spans="2:17">
      <c r="E23" s="52" t="s">
        <v>79</v>
      </c>
      <c r="F23" s="69">
        <f>SQRT(F6^2+F7^2+F8^2)-F4</f>
        <v>-0.32187357280604978</v>
      </c>
    </row>
    <row r="25" spans="2:17">
      <c r="B25" s="83"/>
    </row>
    <row r="27" spans="2:17">
      <c r="E27" s="83"/>
    </row>
    <row r="28" spans="2:17">
      <c r="E28" s="83"/>
    </row>
    <row r="30" spans="2:17">
      <c r="B30" s="86"/>
      <c r="C30" s="86"/>
    </row>
    <row r="31" spans="2:17">
      <c r="B31" s="86"/>
      <c r="C31" s="86"/>
    </row>
    <row r="33" spans="2:3">
      <c r="B33" s="21"/>
      <c r="C33" s="21"/>
    </row>
    <row r="34" spans="2:3">
      <c r="C34" s="89"/>
    </row>
  </sheetData>
  <dataValidations count="1">
    <dataValidation type="list" allowBlank="1" showInputMessage="1" showErrorMessage="1" sqref="F2">
      <formula1>planetnames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V28"/>
  <sheetViews>
    <sheetView topLeftCell="B33" workbookViewId="0">
      <selection activeCell="T44" sqref="T44"/>
    </sheetView>
  </sheetViews>
  <sheetFormatPr defaultRowHeight="15"/>
  <cols>
    <col min="1" max="1" width="53" customWidth="1"/>
    <col min="4" max="4" width="12.7109375" bestFit="1" customWidth="1"/>
    <col min="6" max="8" width="12.7109375" bestFit="1" customWidth="1"/>
    <col min="9" max="9" width="10" bestFit="1" customWidth="1"/>
    <col min="22" max="22" width="12.5703125" bestFit="1" customWidth="1"/>
  </cols>
  <sheetData>
    <row r="1" spans="1:22">
      <c r="C1" t="s">
        <v>6</v>
      </c>
      <c r="D1">
        <v>-1</v>
      </c>
      <c r="E1" t="s">
        <v>28</v>
      </c>
      <c r="F1">
        <v>0</v>
      </c>
      <c r="G1" t="s">
        <v>26</v>
      </c>
      <c r="H1">
        <v>1</v>
      </c>
      <c r="I1" t="s">
        <v>27</v>
      </c>
      <c r="J1">
        <v>2</v>
      </c>
      <c r="K1" t="s">
        <v>29</v>
      </c>
      <c r="L1">
        <v>3</v>
      </c>
      <c r="M1" t="s">
        <v>30</v>
      </c>
      <c r="N1">
        <v>4</v>
      </c>
      <c r="O1" t="s">
        <v>31</v>
      </c>
      <c r="P1">
        <v>5</v>
      </c>
      <c r="Q1" t="s">
        <v>32</v>
      </c>
      <c r="R1">
        <v>6</v>
      </c>
      <c r="S1" t="s">
        <v>33</v>
      </c>
      <c r="T1">
        <v>7</v>
      </c>
      <c r="U1" t="s">
        <v>81</v>
      </c>
      <c r="V1">
        <v>8</v>
      </c>
    </row>
    <row r="2" spans="1:22" ht="15.75" thickBot="1">
      <c r="C2" t="s">
        <v>8</v>
      </c>
      <c r="D2" t="s">
        <v>7</v>
      </c>
    </row>
    <row r="3" spans="1:22" ht="15.75">
      <c r="A3" s="1" t="s">
        <v>15</v>
      </c>
      <c r="B3" t="s">
        <v>0</v>
      </c>
      <c r="C3" s="3">
        <v>0</v>
      </c>
      <c r="D3" s="10"/>
      <c r="E3" s="3">
        <v>125.1228</v>
      </c>
      <c r="F3" s="10">
        <v>-5.2953808300000002E-2</v>
      </c>
      <c r="G3" s="41">
        <v>48.331299999999999</v>
      </c>
      <c r="H3" s="42">
        <v>3.2458700000000001E-5</v>
      </c>
      <c r="I3" s="41">
        <v>76.679900000000004</v>
      </c>
      <c r="J3" s="42">
        <v>2.4658999999999999E-5</v>
      </c>
      <c r="K3" s="3">
        <v>49.557400000000001</v>
      </c>
      <c r="L3" s="4">
        <v>2.1108099999999999E-5</v>
      </c>
      <c r="M3" s="3">
        <v>100.4542</v>
      </c>
      <c r="N3" s="4">
        <v>2.7685400000000001E-5</v>
      </c>
      <c r="O3" s="41">
        <v>113.6634</v>
      </c>
      <c r="P3" s="42">
        <v>2.3898000000000001E-5</v>
      </c>
      <c r="Q3" s="41">
        <v>74.000500000000002</v>
      </c>
      <c r="R3" s="42">
        <v>1.3978000000000001E-5</v>
      </c>
      <c r="S3" s="41">
        <v>131.78059999999999</v>
      </c>
      <c r="T3" s="42">
        <v>3.0173000000000001E-5</v>
      </c>
      <c r="U3" s="3">
        <v>174.87299999999999</v>
      </c>
      <c r="V3" s="10">
        <v>0</v>
      </c>
    </row>
    <row r="4" spans="1:22" ht="15.75">
      <c r="A4" s="1" t="s">
        <v>16</v>
      </c>
      <c r="B4" t="s">
        <v>1</v>
      </c>
      <c r="C4" s="5">
        <v>0</v>
      </c>
      <c r="D4" s="7"/>
      <c r="E4" s="5">
        <v>5.1454000000000004</v>
      </c>
      <c r="F4" s="7"/>
      <c r="G4" s="37">
        <v>7.0046999999999997</v>
      </c>
      <c r="H4" s="38">
        <v>4.9999999999999998E-8</v>
      </c>
      <c r="I4" s="37">
        <v>3.3946000000000001</v>
      </c>
      <c r="J4" s="38">
        <v>2.7500000000000001E-8</v>
      </c>
      <c r="K4" s="37">
        <v>1.8496999999999999</v>
      </c>
      <c r="L4" s="6">
        <v>-1.7800000000000001E-8</v>
      </c>
      <c r="M4" s="5">
        <v>1.3029999999999999</v>
      </c>
      <c r="N4" s="6">
        <v>-1.557E-7</v>
      </c>
      <c r="O4" s="37">
        <v>2.4885999999999999</v>
      </c>
      <c r="P4" s="6">
        <v>-1.081E-7</v>
      </c>
      <c r="Q4" s="37">
        <v>0.77329999999999999</v>
      </c>
      <c r="R4" s="38">
        <v>1.9000000000000001E-8</v>
      </c>
      <c r="S4" s="37">
        <v>1.77</v>
      </c>
      <c r="T4" s="6">
        <v>-2.5499999999999999E-7</v>
      </c>
      <c r="U4" s="5">
        <v>0</v>
      </c>
      <c r="V4" s="7"/>
    </row>
    <row r="5" spans="1:22" ht="15.75">
      <c r="A5" s="1" t="s">
        <v>17</v>
      </c>
      <c r="B5" t="s">
        <v>2</v>
      </c>
      <c r="C5" s="5">
        <v>282.94040000000001</v>
      </c>
      <c r="D5" s="12">
        <v>4.7093499999999999E-5</v>
      </c>
      <c r="E5" s="5">
        <v>318.0634</v>
      </c>
      <c r="F5" s="7">
        <v>0.1643573223</v>
      </c>
      <c r="G5" s="37">
        <v>29.124099999999999</v>
      </c>
      <c r="H5" s="38">
        <v>1.0144400000000001E-5</v>
      </c>
      <c r="I5" s="37">
        <v>54.890999999999998</v>
      </c>
      <c r="J5" s="38">
        <v>1.3837400000000001E-5</v>
      </c>
      <c r="K5" s="37">
        <v>286.5016</v>
      </c>
      <c r="L5" s="38">
        <v>2.9296099999999999E-5</v>
      </c>
      <c r="M5" s="5">
        <v>273.8777</v>
      </c>
      <c r="N5" s="6">
        <v>1.6450500000000001E-5</v>
      </c>
      <c r="O5" s="37">
        <v>339.39389999999997</v>
      </c>
      <c r="P5" s="38">
        <v>2.9766099999999999E-5</v>
      </c>
      <c r="Q5" s="37">
        <v>96.661199999999994</v>
      </c>
      <c r="R5" s="38">
        <v>3.0565000000000003E-5</v>
      </c>
      <c r="S5" s="37">
        <v>272.84609999999998</v>
      </c>
      <c r="T5" s="6">
        <v>-6.0270000000000001E-6</v>
      </c>
      <c r="U5" s="5">
        <v>288.06400000000002</v>
      </c>
      <c r="V5" s="12">
        <v>4.7093499999999999E-5</v>
      </c>
    </row>
    <row r="6" spans="1:22" ht="15.75">
      <c r="A6" s="1" t="s">
        <v>18</v>
      </c>
      <c r="B6" t="s">
        <v>3</v>
      </c>
      <c r="C6" s="5">
        <v>1.0000010180000001</v>
      </c>
      <c r="D6" s="7"/>
      <c r="E6" s="5">
        <v>60.266599999999997</v>
      </c>
      <c r="F6" s="7"/>
      <c r="G6" s="37">
        <v>0.387098</v>
      </c>
      <c r="H6" s="7"/>
      <c r="I6" s="37">
        <v>0.72333000000000003</v>
      </c>
      <c r="J6" s="7"/>
      <c r="K6" s="37">
        <v>1.5236879999999999</v>
      </c>
      <c r="L6" s="7"/>
      <c r="M6" s="5">
        <v>5.2025600000000001</v>
      </c>
      <c r="N6" s="7"/>
      <c r="O6" s="37">
        <v>9.5547500000000003</v>
      </c>
      <c r="P6" s="7"/>
      <c r="Q6" s="37">
        <v>19.181709999999999</v>
      </c>
      <c r="R6" s="6">
        <v>-1.55E-8</v>
      </c>
      <c r="S6" s="37">
        <v>30.058260000000001</v>
      </c>
      <c r="T6" s="6">
        <v>3.313E-8</v>
      </c>
      <c r="U6" s="5">
        <v>1.0000010180000001</v>
      </c>
      <c r="V6" s="7"/>
    </row>
    <row r="7" spans="1:22" ht="15.75">
      <c r="A7" s="1" t="s">
        <v>19</v>
      </c>
      <c r="B7" t="s">
        <v>4</v>
      </c>
      <c r="C7" s="5">
        <v>1.6709000000000002E-2</v>
      </c>
      <c r="D7" s="13">
        <v>-1.1509103353867213E-9</v>
      </c>
      <c r="E7" s="5">
        <v>5.4899999999999997E-2</v>
      </c>
      <c r="F7" s="7"/>
      <c r="G7" s="37">
        <v>0.20563500000000001</v>
      </c>
      <c r="H7" s="38">
        <v>5.5900000000000003E-10</v>
      </c>
      <c r="I7" s="37">
        <v>6.7730000000000004E-3</v>
      </c>
      <c r="J7" s="6">
        <v>-1.3020000000000001E-9</v>
      </c>
      <c r="K7" s="37">
        <v>9.3405000000000002E-2</v>
      </c>
      <c r="L7" s="38">
        <v>2.516E-9</v>
      </c>
      <c r="M7" s="5">
        <v>4.8497999999999999E-2</v>
      </c>
      <c r="N7" s="6">
        <v>4.4690000000000002E-9</v>
      </c>
      <c r="O7" s="37">
        <v>5.5545999999999998E-2</v>
      </c>
      <c r="P7" s="6">
        <v>-9.4989999999999996E-9</v>
      </c>
      <c r="Q7" s="37">
        <v>4.7317999999999999E-2</v>
      </c>
      <c r="R7" s="6">
        <v>7.4499999999999997E-9</v>
      </c>
      <c r="S7" s="37">
        <v>8.6060000000000008E-3</v>
      </c>
      <c r="T7" s="38">
        <v>2.1499999999999998E-9</v>
      </c>
      <c r="U7" s="5">
        <v>1.6709000000000002E-2</v>
      </c>
      <c r="V7" s="13">
        <v>-1.1509103353867213E-9</v>
      </c>
    </row>
    <row r="8" spans="1:22" ht="16.5" thickBot="1">
      <c r="A8" s="1" t="s">
        <v>20</v>
      </c>
      <c r="B8" t="s">
        <v>5</v>
      </c>
      <c r="C8" s="15">
        <v>356.04700000000003</v>
      </c>
      <c r="D8" s="14">
        <v>0.98560025849999999</v>
      </c>
      <c r="E8" s="8">
        <v>115.36539999999999</v>
      </c>
      <c r="F8" s="11">
        <v>13.064992950900001</v>
      </c>
      <c r="G8" s="39">
        <v>168.65620000000001</v>
      </c>
      <c r="H8" s="40">
        <v>4.0923344367999999</v>
      </c>
      <c r="I8" s="39">
        <v>48.005200000000002</v>
      </c>
      <c r="J8" s="40">
        <v>1.6021302244</v>
      </c>
      <c r="K8" s="39">
        <v>18.6021</v>
      </c>
      <c r="L8" s="40">
        <v>0.52402077660000002</v>
      </c>
      <c r="M8" s="8">
        <v>19.895</v>
      </c>
      <c r="N8" s="9">
        <v>8.3085300099999995E-2</v>
      </c>
      <c r="O8" s="39">
        <v>316.96699999999998</v>
      </c>
      <c r="P8" s="40">
        <v>3.3444228200000002E-2</v>
      </c>
      <c r="Q8" s="39">
        <v>142.59049999999999</v>
      </c>
      <c r="R8" s="40">
        <v>1.1725806E-2</v>
      </c>
      <c r="S8" s="39">
        <v>260.24709999999999</v>
      </c>
      <c r="T8" s="40">
        <v>5.9951470000000001E-3</v>
      </c>
      <c r="U8" s="15">
        <v>356.04700000000003</v>
      </c>
      <c r="V8" s="14">
        <v>0.98560025849999999</v>
      </c>
    </row>
    <row r="9" spans="1:22" ht="16.5" thickBot="1">
      <c r="A9" s="1" t="s">
        <v>76</v>
      </c>
      <c r="B9" t="s">
        <v>36</v>
      </c>
      <c r="C9" s="16">
        <v>-26.76</v>
      </c>
      <c r="D9" s="17"/>
      <c r="E9" s="55">
        <v>0.23</v>
      </c>
      <c r="F9">
        <v>2.5999999999999999E-2</v>
      </c>
      <c r="G9" s="77">
        <v>-0.36</v>
      </c>
      <c r="H9" s="78">
        <v>2.7E-2</v>
      </c>
      <c r="I9" s="77">
        <v>-4.34</v>
      </c>
      <c r="J9">
        <v>1.2999999999999999E-2</v>
      </c>
      <c r="K9">
        <v>-1.51</v>
      </c>
      <c r="L9">
        <v>1.6E-2</v>
      </c>
      <c r="M9" s="55">
        <v>-9.25</v>
      </c>
      <c r="N9" s="79">
        <v>1.4E-2</v>
      </c>
      <c r="O9" s="77">
        <v>-9</v>
      </c>
      <c r="P9" s="52">
        <v>4.3999999999999997E-2</v>
      </c>
      <c r="Q9" s="77">
        <v>-7.15</v>
      </c>
      <c r="R9">
        <v>1E-3</v>
      </c>
      <c r="S9" s="77">
        <v>-6.9</v>
      </c>
      <c r="T9" s="79">
        <v>1E-3</v>
      </c>
    </row>
    <row r="10" spans="1:22" ht="15.75">
      <c r="A10" s="1" t="s">
        <v>77</v>
      </c>
      <c r="B10" t="s">
        <v>78</v>
      </c>
      <c r="C10" s="55">
        <v>1919.26</v>
      </c>
      <c r="E10" s="55">
        <v>1873.7</v>
      </c>
      <c r="G10" s="77">
        <v>6.74</v>
      </c>
      <c r="I10" s="77">
        <v>16.920000000000002</v>
      </c>
      <c r="K10" s="80">
        <v>9.36</v>
      </c>
      <c r="M10" s="55">
        <v>196.34</v>
      </c>
      <c r="O10" s="77">
        <v>165.6</v>
      </c>
      <c r="Q10" s="77">
        <v>65.8</v>
      </c>
      <c r="S10" s="77">
        <v>62.2</v>
      </c>
    </row>
    <row r="12" spans="1:22" ht="15.75" thickBot="1">
      <c r="B12" t="s">
        <v>46</v>
      </c>
    </row>
    <row r="13" spans="1:22">
      <c r="B13" s="3" t="s">
        <v>6</v>
      </c>
      <c r="C13" s="10">
        <v>-1</v>
      </c>
      <c r="E13" s="3" t="s">
        <v>320</v>
      </c>
      <c r="F13" s="10">
        <v>1</v>
      </c>
    </row>
    <row r="14" spans="1:22" ht="15.75" thickBot="1">
      <c r="B14" s="5" t="s">
        <v>28</v>
      </c>
      <c r="C14" s="7">
        <v>0</v>
      </c>
      <c r="E14" s="8" t="s">
        <v>321</v>
      </c>
      <c r="F14" s="11">
        <v>2</v>
      </c>
    </row>
    <row r="15" spans="1:22">
      <c r="B15" s="5" t="s">
        <v>26</v>
      </c>
      <c r="C15" s="7">
        <v>1</v>
      </c>
      <c r="E15" s="3"/>
      <c r="F15" s="109"/>
    </row>
    <row r="16" spans="1:22">
      <c r="B16" s="5" t="s">
        <v>27</v>
      </c>
      <c r="C16" s="7">
        <v>2</v>
      </c>
      <c r="E16" s="5"/>
      <c r="F16" s="7"/>
    </row>
    <row r="17" spans="2:10">
      <c r="B17" s="5" t="s">
        <v>29</v>
      </c>
      <c r="C17" s="7">
        <v>3</v>
      </c>
      <c r="E17" s="5" t="s">
        <v>48</v>
      </c>
      <c r="F17" s="7">
        <v>149597870.69999999</v>
      </c>
    </row>
    <row r="18" spans="2:10" ht="15.75" thickBot="1">
      <c r="B18" s="5" t="s">
        <v>30</v>
      </c>
      <c r="C18" s="7">
        <v>4</v>
      </c>
      <c r="E18" s="8" t="s">
        <v>49</v>
      </c>
      <c r="F18" s="11">
        <f>6378140/1000</f>
        <v>6378.14</v>
      </c>
    </row>
    <row r="19" spans="2:10">
      <c r="B19" s="5" t="s">
        <v>31</v>
      </c>
      <c r="C19" s="7">
        <v>5</v>
      </c>
      <c r="I19" s="88"/>
      <c r="J19" s="88"/>
    </row>
    <row r="20" spans="2:10">
      <c r="B20" s="5" t="s">
        <v>32</v>
      </c>
      <c r="C20" s="7">
        <v>6</v>
      </c>
      <c r="I20" s="90"/>
      <c r="J20" s="90"/>
    </row>
    <row r="21" spans="2:10">
      <c r="B21" s="5" t="s">
        <v>33</v>
      </c>
      <c r="C21" s="7">
        <v>7</v>
      </c>
    </row>
    <row r="22" spans="2:10">
      <c r="B22" s="5" t="s">
        <v>47</v>
      </c>
      <c r="C22" s="7">
        <v>9</v>
      </c>
    </row>
    <row r="23" spans="2:10">
      <c r="B23" s="5"/>
      <c r="C23" s="7"/>
      <c r="F23" s="84">
        <v>43101</v>
      </c>
    </row>
    <row r="24" spans="2:10">
      <c r="B24" s="5"/>
      <c r="C24" s="7"/>
      <c r="F24">
        <v>31</v>
      </c>
    </row>
    <row r="25" spans="2:10">
      <c r="B25" s="5"/>
      <c r="C25" s="7"/>
      <c r="F25">
        <v>71</v>
      </c>
    </row>
    <row r="26" spans="2:10">
      <c r="B26" s="5"/>
      <c r="C26" s="7"/>
      <c r="F26" s="84">
        <f>F23+F24*F25</f>
        <v>45302</v>
      </c>
    </row>
    <row r="27" spans="2:10">
      <c r="B27" s="5"/>
      <c r="C27" s="7"/>
    </row>
    <row r="28" spans="2:10" ht="15.75" thickBot="1">
      <c r="B28" s="8"/>
      <c r="C28" s="1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S1048576"/>
  <sheetViews>
    <sheetView tabSelected="1" topLeftCell="A7" zoomScale="70" zoomScaleNormal="70" workbookViewId="0">
      <selection activeCell="Q25" sqref="Q25"/>
    </sheetView>
  </sheetViews>
  <sheetFormatPr defaultRowHeight="15"/>
  <cols>
    <col min="1" max="1" width="18.85546875" bestFit="1" customWidth="1"/>
    <col min="2" max="2" width="14.85546875" bestFit="1" customWidth="1"/>
    <col min="3" max="3" width="17.85546875" style="92" customWidth="1"/>
    <col min="4" max="4" width="10.5703125" bestFit="1" customWidth="1"/>
    <col min="5" max="5" width="7.7109375" style="94" bestFit="1" customWidth="1"/>
    <col min="6" max="6" width="8.5703125" style="94" bestFit="1" customWidth="1"/>
    <col min="17" max="17" width="14.5703125" bestFit="1" customWidth="1"/>
    <col min="18" max="18" width="15.7109375" bestFit="1" customWidth="1"/>
  </cols>
  <sheetData>
    <row r="1" spans="1:19">
      <c r="A1" t="s">
        <v>324</v>
      </c>
      <c r="B1" s="113">
        <v>51.883000000000003</v>
      </c>
      <c r="C1" s="114">
        <v>-1.3080000000000001</v>
      </c>
      <c r="E1" s="94" t="s">
        <v>325</v>
      </c>
      <c r="F1" s="94">
        <v>7</v>
      </c>
      <c r="G1" t="s">
        <v>326</v>
      </c>
      <c r="I1" s="118" t="str">
        <f>B3</f>
        <v>Venus</v>
      </c>
      <c r="J1" s="118"/>
      <c r="K1" s="118"/>
      <c r="L1" s="118"/>
      <c r="M1" s="118"/>
      <c r="N1" s="118"/>
      <c r="Q1" t="s">
        <v>341</v>
      </c>
    </row>
    <row r="2" spans="1:19" ht="15.75" thickBot="1">
      <c r="A2" s="84"/>
      <c r="B2">
        <f>VLOOKUP(B3,planetlookup,2,0)</f>
        <v>2</v>
      </c>
      <c r="C2" s="92">
        <f>VLOOKUP(C3,'Orbital Elements'!E13:F14,2,0)</f>
        <v>1</v>
      </c>
      <c r="I2" s="118"/>
      <c r="J2" s="118"/>
      <c r="K2" s="118"/>
      <c r="L2" s="118"/>
      <c r="M2" s="118"/>
      <c r="N2" s="118"/>
      <c r="Q2" t="s">
        <v>327</v>
      </c>
      <c r="R2" t="s">
        <v>331</v>
      </c>
      <c r="S2">
        <f>1+46/60</f>
        <v>1.7666666666666666</v>
      </c>
    </row>
    <row r="3" spans="1:19" ht="15.75" thickBot="1">
      <c r="A3" s="21"/>
      <c r="B3" s="115" t="s">
        <v>27</v>
      </c>
      <c r="C3" s="116" t="s">
        <v>320</v>
      </c>
      <c r="D3" s="95"/>
      <c r="Q3" t="s">
        <v>328</v>
      </c>
      <c r="R3" t="s">
        <v>334</v>
      </c>
      <c r="S3">
        <f>8+9.8/60</f>
        <v>8.163333333333334</v>
      </c>
    </row>
    <row r="4" spans="1:19" ht="15.75" thickBot="1">
      <c r="A4" s="85" t="s">
        <v>80</v>
      </c>
      <c r="B4" s="112" t="s">
        <v>319</v>
      </c>
      <c r="C4" s="111" t="s">
        <v>322</v>
      </c>
      <c r="D4" s="51" t="s">
        <v>323</v>
      </c>
      <c r="E4" s="110" t="s">
        <v>36</v>
      </c>
      <c r="F4" s="110" t="s">
        <v>69</v>
      </c>
      <c r="Q4" t="s">
        <v>329</v>
      </c>
      <c r="R4" t="s">
        <v>332</v>
      </c>
      <c r="S4">
        <f>49+53/60</f>
        <v>49.883333333333333</v>
      </c>
    </row>
    <row r="5" spans="1:19">
      <c r="A5" s="2">
        <v>43101</v>
      </c>
      <c r="B5" s="91">
        <f t="shared" ref="B5:B22" si="0">TimeofTransit(B$2,$A5,$B$1, $C$1)/24</f>
        <v>0.50008952615903313</v>
      </c>
      <c r="C5" s="93">
        <f>Y19</f>
        <v>0</v>
      </c>
      <c r="D5" s="91">
        <f>V17</f>
        <v>0</v>
      </c>
      <c r="E5" s="94">
        <f>visualmagnitude($B$2,astrodaysfromdt(A5))</f>
        <v>-3.8318697408179965</v>
      </c>
      <c r="F5" s="94">
        <f>apparentsize($B$2, astrodaysfromdt(A5))</f>
        <v>9.8996956373710727</v>
      </c>
      <c r="Q5" t="s">
        <v>330</v>
      </c>
      <c r="R5" t="s">
        <v>333</v>
      </c>
      <c r="S5">
        <f>60+49/60</f>
        <v>60.81666666666667</v>
      </c>
    </row>
    <row r="6" spans="1:19">
      <c r="A6" s="2">
        <f t="shared" ref="A6:A37" si="1">DATE(YEAR(A5), IF(unt="m",intvl,0)+MONTH(A5), IF(unt="m", 0,intvl)+DAY(A5))</f>
        <v>43108</v>
      </c>
      <c r="B6" s="91">
        <f t="shared" si="0"/>
        <v>0.50752458366475051</v>
      </c>
      <c r="C6" s="93">
        <f t="shared" ref="C6:C20" si="2">isvisible(B$2,A6,$B$1,$C$1,$C$2,"a")</f>
        <v>0</v>
      </c>
      <c r="D6" s="91">
        <f t="shared" ref="D6:D23" si="3">isvisible(B$2,A6,$B$1,$C$1,$C$2,"t")/24</f>
        <v>0</v>
      </c>
      <c r="E6" s="94">
        <f>visualmagnitude($B$2,astrodaysfromdt(A6))</f>
        <v>-3.8501343362431264</v>
      </c>
      <c r="F6" s="94">
        <f>apparentsize($B$2, astrodaysfromdt(A6))</f>
        <v>9.889565745214453</v>
      </c>
    </row>
    <row r="7" spans="1:19">
      <c r="A7" s="2">
        <f t="shared" si="1"/>
        <v>43115</v>
      </c>
      <c r="B7" s="91">
        <f t="shared" si="0"/>
        <v>0.51459580923210424</v>
      </c>
      <c r="C7" s="93">
        <f t="shared" si="2"/>
        <v>0</v>
      </c>
      <c r="D7" s="91">
        <f t="shared" si="3"/>
        <v>0</v>
      </c>
      <c r="E7" s="94">
        <f>visualmagnitude($B$2,astrodaysfromdt(A7))</f>
        <v>-3.833905977676086</v>
      </c>
      <c r="F7" s="94">
        <f>apparentsize($B$2, astrodaysfromdt(A7))</f>
        <v>9.890535824520823</v>
      </c>
    </row>
    <row r="8" spans="1:19">
      <c r="A8" s="2">
        <f t="shared" si="1"/>
        <v>43122</v>
      </c>
      <c r="B8" s="91">
        <f t="shared" si="0"/>
        <v>0.52111886239293292</v>
      </c>
      <c r="C8" s="93">
        <f t="shared" si="2"/>
        <v>0</v>
      </c>
      <c r="D8" s="91">
        <f t="shared" si="3"/>
        <v>0</v>
      </c>
      <c r="E8" s="94">
        <f>visualmagnitude($B$2,astrodaysfromdt(A8))</f>
        <v>-3.8082944906047511</v>
      </c>
      <c r="F8" s="94">
        <f>apparentsize($B$2, astrodaysfromdt(A8))</f>
        <v>9.9026120196180827</v>
      </c>
      <c r="Q8" t="s">
        <v>335</v>
      </c>
    </row>
    <row r="9" spans="1:19">
      <c r="A9" s="2">
        <f t="shared" si="1"/>
        <v>43129</v>
      </c>
      <c r="B9" s="91">
        <f t="shared" si="0"/>
        <v>0.52697703051735723</v>
      </c>
      <c r="C9" s="93">
        <f t="shared" si="2"/>
        <v>0</v>
      </c>
      <c r="D9" s="91">
        <f t="shared" si="3"/>
        <v>0</v>
      </c>
      <c r="E9" s="94">
        <f>visualmagnitude($B$2,astrodaysfromdt(A9))</f>
        <v>-3.7845484061170112</v>
      </c>
      <c r="F9" s="94">
        <f>apparentsize($B$2, astrodaysfromdt(A9))</f>
        <v>9.9259435453662466</v>
      </c>
      <c r="Q9" t="s">
        <v>352</v>
      </c>
    </row>
    <row r="10" spans="1:19">
      <c r="A10" s="2">
        <f t="shared" si="1"/>
        <v>43136</v>
      </c>
      <c r="B10" s="91">
        <f t="shared" si="0"/>
        <v>0.53212694490561874</v>
      </c>
      <c r="C10" s="93">
        <f t="shared" si="2"/>
        <v>0</v>
      </c>
      <c r="D10" s="91">
        <f t="shared" si="3"/>
        <v>0</v>
      </c>
      <c r="E10" s="94">
        <f>visualmagnitude($B$2,astrodaysfromdt(A10))</f>
        <v>-3.7634392420040039</v>
      </c>
      <c r="F10" s="94">
        <f>apparentsize($B$2, astrodaysfromdt(A10))</f>
        <v>9.9608287561503239</v>
      </c>
      <c r="Q10" t="s">
        <v>336</v>
      </c>
    </row>
    <row r="11" spans="1:19">
      <c r="A11" s="2">
        <f t="shared" si="1"/>
        <v>43143</v>
      </c>
      <c r="B11" s="91">
        <f t="shared" si="0"/>
        <v>0.53659279943122462</v>
      </c>
      <c r="C11" s="93">
        <f t="shared" si="2"/>
        <v>4.7482806322514657</v>
      </c>
      <c r="D11" s="91">
        <f t="shared" si="3"/>
        <v>0.71704445108933701</v>
      </c>
      <c r="E11" s="94">
        <f>visualmagnitude($B$2,astrodaysfromdt(A11))</f>
        <v>-3.7450850494509416</v>
      </c>
      <c r="F11" s="94">
        <f>apparentsize($B$2, astrodaysfromdt(A11))</f>
        <v>10.007721720570064</v>
      </c>
    </row>
    <row r="12" spans="1:19">
      <c r="A12" s="2">
        <f t="shared" si="1"/>
        <v>43150</v>
      </c>
      <c r="B12" s="91">
        <f t="shared" si="0"/>
        <v>0.54045390280661754</v>
      </c>
      <c r="C12" s="93">
        <f t="shared" si="2"/>
        <v>6.3353335662704735</v>
      </c>
      <c r="D12" s="91">
        <f t="shared" si="3"/>
        <v>0.726006604042985</v>
      </c>
      <c r="E12" s="94">
        <f>visualmagnitude($B$2,astrodaysfromdt(A12))</f>
        <v>-3.7295006469978027</v>
      </c>
      <c r="F12" s="94">
        <f>apparentsize($B$2, astrodaysfromdt(A12))</f>
        <v>10.067239186306653</v>
      </c>
      <c r="Q12" t="s">
        <v>337</v>
      </c>
    </row>
    <row r="13" spans="1:19">
      <c r="A13" s="2">
        <f t="shared" si="1"/>
        <v>43157</v>
      </c>
      <c r="B13" s="91">
        <f t="shared" si="0"/>
        <v>0.5438301628950184</v>
      </c>
      <c r="C13" s="93">
        <f t="shared" si="2"/>
        <v>7.9683568051827223</v>
      </c>
      <c r="D13" s="91">
        <f t="shared" si="3"/>
        <v>0.73484669286884163</v>
      </c>
      <c r="E13" s="94">
        <f>visualmagnitude($B$2,astrodaysfromdt(A13))</f>
        <v>-3.7166807380817608</v>
      </c>
      <c r="F13" s="94">
        <f>apparentsize($B$2, astrodaysfromdt(A13))</f>
        <v>10.140167921398305</v>
      </c>
      <c r="Q13" t="s">
        <v>338</v>
      </c>
    </row>
    <row r="14" spans="1:19">
      <c r="A14" s="2">
        <f t="shared" si="1"/>
        <v>43164</v>
      </c>
      <c r="B14" s="91">
        <f t="shared" si="0"/>
        <v>0.546868476309047</v>
      </c>
      <c r="C14" s="93">
        <f t="shared" si="2"/>
        <v>9.6202287037524155</v>
      </c>
      <c r="D14" s="91">
        <f t="shared" si="3"/>
        <v>0.74353060009034877</v>
      </c>
      <c r="E14" s="94">
        <f>visualmagnitude($B$2,astrodaysfromdt(A14))</f>
        <v>-3.7066229672005266</v>
      </c>
      <c r="F14" s="94">
        <f>apparentsize($B$2, astrodaysfromdt(A14))</f>
        <v>10.227472542878569</v>
      </c>
    </row>
    <row r="15" spans="1:19">
      <c r="A15" s="2">
        <f t="shared" si="1"/>
        <v>43171</v>
      </c>
      <c r="B15" s="91">
        <f t="shared" si="0"/>
        <v>0.54973119977066276</v>
      </c>
      <c r="C15" s="93">
        <f t="shared" si="2"/>
        <v>11.264289089561391</v>
      </c>
      <c r="D15" s="91">
        <f t="shared" si="3"/>
        <v>0.75205984372678802</v>
      </c>
      <c r="E15" s="94">
        <f>visualmagnitude($B$2,astrodaysfromdt(A15))</f>
        <v>-3.6993376423741227</v>
      </c>
      <c r="F15" s="94">
        <f>apparentsize($B$2, astrodaysfromdt(A15))</f>
        <v>10.330304096897496</v>
      </c>
      <c r="Q15" t="s">
        <v>339</v>
      </c>
    </row>
    <row r="16" spans="1:19" ht="15.75" customHeight="1">
      <c r="A16" s="2">
        <f t="shared" si="1"/>
        <v>43178</v>
      </c>
      <c r="B16" s="91">
        <f t="shared" si="0"/>
        <v>0.55258654378451932</v>
      </c>
      <c r="C16" s="93">
        <f t="shared" si="2"/>
        <v>12.879311759946816</v>
      </c>
      <c r="D16" s="91">
        <f t="shared" si="3"/>
        <v>0.76045955071583926</v>
      </c>
      <c r="E16" s="94">
        <f>visualmagnitude($B$2,astrodaysfromdt(A16))</f>
        <v>-3.6948533466734679</v>
      </c>
      <c r="F16" s="94">
        <f>apparentsize($B$2, astrodaysfromdt(A16))</f>
        <v>10.450009816612532</v>
      </c>
      <c r="Q16" t="s">
        <v>340</v>
      </c>
    </row>
    <row r="17" spans="1:17">
      <c r="A17" s="2">
        <f t="shared" si="1"/>
        <v>43185</v>
      </c>
      <c r="B17" s="91">
        <f t="shared" si="0"/>
        <v>0.55559997040044939</v>
      </c>
      <c r="C17" s="93">
        <f t="shared" si="2"/>
        <v>14.447734819373485</v>
      </c>
      <c r="D17" s="91">
        <f t="shared" si="3"/>
        <v>0.76876733804332631</v>
      </c>
      <c r="E17" s="94">
        <f>visualmagnitude($B$2,astrodaysfromdt(A17))</f>
        <v>-3.6932208708607672</v>
      </c>
      <c r="F17" s="94">
        <f>apparentsize($B$2, astrodaysfromdt(A17))</f>
        <v>10.588144678789078</v>
      </c>
      <c r="Q17" t="s">
        <v>351</v>
      </c>
    </row>
    <row r="18" spans="1:17">
      <c r="A18" s="2">
        <f t="shared" si="1"/>
        <v>43192</v>
      </c>
      <c r="B18" s="91">
        <f t="shared" si="0"/>
        <v>0.55892538958246119</v>
      </c>
      <c r="C18" s="93">
        <f t="shared" si="2"/>
        <v>15.941131693609844</v>
      </c>
      <c r="D18" s="91">
        <f t="shared" si="3"/>
        <v>0.7770230668286976</v>
      </c>
      <c r="E18" s="94">
        <f>visualmagnitude($B$2,astrodaysfromdt(A18))</f>
        <v>-3.6945162209481945</v>
      </c>
      <c r="F18" s="94">
        <f>apparentsize($B$2, astrodaysfromdt(A18))</f>
        <v>10.746485583056549</v>
      </c>
    </row>
    <row r="19" spans="1:17">
      <c r="A19" s="2">
        <f t="shared" si="1"/>
        <v>43199</v>
      </c>
      <c r="B19" s="91">
        <f t="shared" si="0"/>
        <v>0.56269504184497043</v>
      </c>
      <c r="C19" s="93">
        <f t="shared" si="2"/>
        <v>17.341886440537358</v>
      </c>
      <c r="D19" s="91">
        <f t="shared" si="3"/>
        <v>0.78525914574213485</v>
      </c>
      <c r="E19" s="94">
        <f>visualmagnitude($B$2,astrodaysfromdt(A19))</f>
        <v>-3.6988429459369261</v>
      </c>
      <c r="F19" s="94">
        <f>apparentsize($B$2, astrodaysfromdt(A19))</f>
        <v>10.92704920900877</v>
      </c>
      <c r="Q19" t="s">
        <v>342</v>
      </c>
    </row>
    <row r="20" spans="1:17">
      <c r="A20" s="2">
        <f t="shared" si="1"/>
        <v>43206</v>
      </c>
      <c r="B20" s="91">
        <f t="shared" si="0"/>
        <v>0.56700744278088211</v>
      </c>
      <c r="C20" s="93">
        <f t="shared" si="2"/>
        <v>18.614278193546209</v>
      </c>
      <c r="D20" s="91">
        <f t="shared" si="3"/>
        <v>0.79349100678824325</v>
      </c>
      <c r="E20" s="94">
        <f>visualmagnitude($B$2,astrodaysfromdt(A20))</f>
        <v>-3.7063338561496071</v>
      </c>
      <c r="F20" s="94">
        <f>apparentsize($B$2, astrodaysfromdt(A20))</f>
        <v>11.132114867279387</v>
      </c>
      <c r="Q20" t="s">
        <v>353</v>
      </c>
    </row>
    <row r="21" spans="1:17">
      <c r="A21" s="2">
        <f t="shared" si="1"/>
        <v>43213</v>
      </c>
      <c r="B21" s="91">
        <f t="shared" si="0"/>
        <v>0.57191374204357515</v>
      </c>
      <c r="C21" s="93">
        <f t="shared" ref="C21:C69" si="4">isvisible(B$2,A21,$B$1,$C$1,$C$2,"a")</f>
        <v>19.730265845876847</v>
      </c>
      <c r="D21" s="91">
        <f t="shared" si="3"/>
        <v>0.80170752282238567</v>
      </c>
      <c r="E21" s="94">
        <f>visualmagnitude($B$2,astrodaysfromdt(A21))</f>
        <v>-3.7171521414889046</v>
      </c>
      <c r="F21" s="94">
        <f>apparentsize($B$2, astrodaysfromdt(A21))</f>
        <v>11.36425396673298</v>
      </c>
      <c r="Q21" t="s">
        <v>343</v>
      </c>
    </row>
    <row r="22" spans="1:17">
      <c r="A22" s="2">
        <f t="shared" si="1"/>
        <v>43220</v>
      </c>
      <c r="B22" s="91">
        <f t="shared" si="0"/>
        <v>0.577404339550046</v>
      </c>
      <c r="C22" s="93">
        <f t="shared" si="4"/>
        <v>20.652962678099083</v>
      </c>
      <c r="D22" s="91">
        <f t="shared" si="3"/>
        <v>0.80986147860323177</v>
      </c>
      <c r="E22" s="94">
        <f>visualmagnitude($B$2,astrodaysfromdt(A22))</f>
        <v>-3.7314918854504575</v>
      </c>
      <c r="F22" s="94">
        <f>apparentsize($B$2, astrodaysfromdt(A22))</f>
        <v>11.626368091374518</v>
      </c>
      <c r="Q22" t="s">
        <v>344</v>
      </c>
    </row>
    <row r="23" spans="1:17">
      <c r="A23" s="2">
        <f t="shared" si="1"/>
        <v>43227</v>
      </c>
      <c r="B23" s="91">
        <f t="shared" ref="B23:B69" si="5">TimeofTransit(B$2,$A23,$B$1, $C$1)/24</f>
        <v>0.58339930243657612</v>
      </c>
      <c r="C23" s="93">
        <f t="shared" si="4"/>
        <v>21.342617928835228</v>
      </c>
      <c r="D23" s="91">
        <f t="shared" si="3"/>
        <v>0.81786077606272156</v>
      </c>
      <c r="E23" s="94">
        <f>visualmagnitude($B$2,astrodaysfromdt(A23))</f>
        <v>-3.7495779825947446</v>
      </c>
      <c r="F23" s="94">
        <f>apparentsize($B$2, astrodaysfromdt(A23))</f>
        <v>11.921738146591164</v>
      </c>
    </row>
    <row r="24" spans="1:17">
      <c r="A24" s="2">
        <f t="shared" si="1"/>
        <v>43234</v>
      </c>
      <c r="B24" s="91">
        <f t="shared" si="5"/>
        <v>0.58974719005184972</v>
      </c>
      <c r="C24" s="93">
        <f t="shared" si="4"/>
        <v>21.764832475913668</v>
      </c>
      <c r="D24" s="91">
        <f t="shared" ref="D24:D69" si="6">isvisible(B$2,A24,$B$1,$C$1,$C$2,"t")/24</f>
        <v>0.82556185627565382</v>
      </c>
      <c r="E24" s="94">
        <f>visualmagnitude($B$2,astrodaysfromdt(A24))</f>
        <v>-3.7716654953700592</v>
      </c>
      <c r="F24" s="94">
        <f>apparentsize($B$2, astrodaysfromdt(A24))</f>
        <v>12.254087635193446</v>
      </c>
      <c r="Q24" t="s">
        <v>354</v>
      </c>
    </row>
    <row r="25" spans="1:17">
      <c r="A25" s="2">
        <f t="shared" si="1"/>
        <v>43241</v>
      </c>
      <c r="B25" s="91">
        <f t="shared" si="5"/>
        <v>0.59623611104786622</v>
      </c>
      <c r="C25" s="93">
        <f t="shared" si="4"/>
        <v>21.901036159846843</v>
      </c>
      <c r="D25" s="91">
        <f t="shared" si="6"/>
        <v>0.83276775652012613</v>
      </c>
      <c r="E25" s="94">
        <f>visualmagnitude($B$2,astrodaysfromdt(A25))</f>
        <v>-3.798038524591917</v>
      </c>
      <c r="F25" s="94">
        <f>apparentsize($B$2, astrodaysfromdt(A25))</f>
        <v>12.627663915436962</v>
      </c>
      <c r="Q25" t="s">
        <v>345</v>
      </c>
    </row>
    <row r="26" spans="1:17">
      <c r="A26" s="2">
        <f t="shared" si="1"/>
        <v>43248</v>
      </c>
      <c r="B26" s="91">
        <f t="shared" si="5"/>
        <v>0.60261751737543745</v>
      </c>
      <c r="C26" s="93">
        <f t="shared" si="4"/>
        <v>21.738224297711117</v>
      </c>
      <c r="D26" s="91">
        <f t="shared" si="6"/>
        <v>0.83923394681217678</v>
      </c>
      <c r="E26" s="94">
        <f>visualmagnitude($B$2,astrodaysfromdt(A26))</f>
        <v>-3.8290087089458464</v>
      </c>
      <c r="F26" s="94">
        <f>apparentsize($B$2, astrodaysfromdt(A26))</f>
        <v>13.047342342656769</v>
      </c>
      <c r="Q26" t="s">
        <v>346</v>
      </c>
    </row>
    <row r="27" spans="1:17">
      <c r="A27" s="2">
        <f t="shared" si="1"/>
        <v>43255</v>
      </c>
      <c r="B27" s="91">
        <f t="shared" si="5"/>
        <v>0.60863835609060768</v>
      </c>
      <c r="C27" s="93">
        <f t="shared" si="4"/>
        <v>21.291770607074053</v>
      </c>
      <c r="D27" s="91">
        <f t="shared" si="6"/>
        <v>0.84468489923890999</v>
      </c>
      <c r="E27" s="94">
        <f>visualmagnitude($B$2,astrodaysfromdt(A27))</f>
        <v>-3.8649135060339908</v>
      </c>
      <c r="F27" s="94">
        <f>apparentsize($B$2, astrodaysfromdt(A27))</f>
        <v>13.518759636973735</v>
      </c>
    </row>
    <row r="28" spans="1:17">
      <c r="A28" s="2">
        <f t="shared" si="1"/>
        <v>43262</v>
      </c>
      <c r="B28" s="91">
        <f t="shared" si="5"/>
        <v>0.61407341589697328</v>
      </c>
      <c r="C28" s="93">
        <f t="shared" si="4"/>
        <v>20.594238829382615</v>
      </c>
      <c r="D28" s="91">
        <f t="shared" si="6"/>
        <v>0.84884230399477778</v>
      </c>
      <c r="E28" s="94">
        <f>visualmagnitude($B$2,astrodaysfromdt(A28))</f>
        <v>-3.9061144238734422</v>
      </c>
      <c r="F28" s="94">
        <f>apparentsize($B$2, astrodaysfromdt(A28))</f>
        <v>14.048484713943861</v>
      </c>
    </row>
    <row r="29" spans="1:17">
      <c r="A29" s="2">
        <f t="shared" si="1"/>
        <v>43269</v>
      </c>
      <c r="B29" s="91">
        <f t="shared" si="5"/>
        <v>0.61874952856629573</v>
      </c>
      <c r="C29" s="93">
        <f t="shared" si="4"/>
        <v>19.69366261894352</v>
      </c>
      <c r="D29" s="91">
        <f t="shared" si="6"/>
        <v>0.85146155116876399</v>
      </c>
      <c r="E29" s="94">
        <f>visualmagnitude($B$2,astrodaysfromdt(A29))</f>
        <v>-3.9529953618606104</v>
      </c>
      <c r="F29" s="94">
        <f>apparentsize($B$2, astrodaysfromdt(A29))</f>
        <v>14.644237851339046</v>
      </c>
      <c r="Q29" t="s">
        <v>347</v>
      </c>
    </row>
    <row r="30" spans="1:17" ht="18.75">
      <c r="A30" s="2">
        <f t="shared" si="1"/>
        <v>43276</v>
      </c>
      <c r="B30" s="91">
        <f t="shared" si="5"/>
        <v>0.62255683036924558</v>
      </c>
      <c r="C30" s="93">
        <f t="shared" si="4"/>
        <v>18.642843831385782</v>
      </c>
      <c r="D30" s="91">
        <f t="shared" si="6"/>
        <v>0.85236791328237382</v>
      </c>
      <c r="E30" s="94">
        <f>visualmagnitude($B$2,astrodaysfromdt(A30))</f>
        <v>-4.0059611600213962</v>
      </c>
      <c r="F30" s="94">
        <f>apparentsize($B$2, astrodaysfromdt(A30))</f>
        <v>15.315172579146537</v>
      </c>
      <c r="Q30" s="117" t="s">
        <v>348</v>
      </c>
    </row>
    <row r="31" spans="1:17">
      <c r="A31" s="2">
        <f t="shared" si="1"/>
        <v>43283</v>
      </c>
      <c r="B31" s="91">
        <f t="shared" si="5"/>
        <v>0.62544717160286611</v>
      </c>
      <c r="C31" s="93">
        <f t="shared" si="4"/>
        <v>17.500377621791703</v>
      </c>
      <c r="D31" s="91">
        <f t="shared" si="6"/>
        <v>0.85148126515223543</v>
      </c>
      <c r="E31" s="94">
        <f>visualmagnitude($B$2,astrodaysfromdt(A31))</f>
        <v>-4.065436322820954</v>
      </c>
      <c r="F31" s="94">
        <f>apparentsize($B$2, astrodaysfromdt(A31))</f>
        <v>16.072239374346097</v>
      </c>
      <c r="Q31" t="s">
        <v>349</v>
      </c>
    </row>
    <row r="32" spans="1:17" ht="18.75">
      <c r="A32" s="2">
        <f t="shared" si="1"/>
        <v>43290</v>
      </c>
      <c r="B32" s="91">
        <f t="shared" si="5"/>
        <v>0.62742323969209279</v>
      </c>
      <c r="C32" s="93">
        <f t="shared" si="4"/>
        <v>16.306559206479903</v>
      </c>
      <c r="D32" s="91">
        <f t="shared" si="6"/>
        <v>0.84882133745871979</v>
      </c>
      <c r="E32" s="94">
        <f>visualmagnitude($B$2,astrodaysfromdt(A32))</f>
        <v>-4.1318636504747062</v>
      </c>
      <c r="F32" s="94">
        <f>apparentsize($B$2, astrodaysfromdt(A32))</f>
        <v>16.928656505628666</v>
      </c>
      <c r="Q32" s="117" t="s">
        <v>350</v>
      </c>
    </row>
    <row r="33" spans="1:6">
      <c r="A33" s="2">
        <f t="shared" si="1"/>
        <v>43297</v>
      </c>
      <c r="B33" s="91">
        <f t="shared" si="5"/>
        <v>0.62852290039151104</v>
      </c>
      <c r="C33" s="93">
        <f t="shared" si="4"/>
        <v>15.092046203144072</v>
      </c>
      <c r="D33" s="91">
        <f t="shared" si="6"/>
        <v>0.84449347124979601</v>
      </c>
      <c r="E33" s="94">
        <f>visualmagnitude($B$2,astrodaysfromdt(A33))</f>
        <v>-4.2057021001555732</v>
      </c>
      <c r="F33" s="94">
        <f>apparentsize($B$2, astrodaysfromdt(A33))</f>
        <v>17.9005212427017</v>
      </c>
    </row>
    <row r="34" spans="1:6">
      <c r="A34" s="2">
        <f t="shared" si="1"/>
        <v>43304</v>
      </c>
      <c r="B34" s="91">
        <f t="shared" si="5"/>
        <v>0.62880225309716054</v>
      </c>
      <c r="C34" s="93">
        <f t="shared" si="4"/>
        <v>13.874943351574656</v>
      </c>
      <c r="D34" s="91">
        <f t="shared" si="6"/>
        <v>0.83866236698749563</v>
      </c>
      <c r="E34" s="94">
        <f>visualmagnitude($B$2,astrodaysfromdt(A34))</f>
        <v>-4.2874225212578878</v>
      </c>
      <c r="F34" s="94">
        <f>apparentsize($B$2, astrodaysfromdt(A34))</f>
        <v>19.007604194548527</v>
      </c>
    </row>
    <row r="35" spans="1:6">
      <c r="A35" s="2">
        <f t="shared" si="1"/>
        <v>43311</v>
      </c>
      <c r="B35" s="91">
        <f t="shared" si="5"/>
        <v>0.62831914520100762</v>
      </c>
      <c r="C35" s="93">
        <f t="shared" si="4"/>
        <v>12.659716967163035</v>
      </c>
      <c r="D35" s="91">
        <f t="shared" si="6"/>
        <v>0.83152374615797731</v>
      </c>
      <c r="E35" s="94">
        <f>visualmagnitude($B$2,astrodaysfromdt(A35))</f>
        <v>-4.3774987384997486</v>
      </c>
      <c r="F35" s="94">
        <f>apparentsize($B$2, astrodaysfromdt(A35))</f>
        <v>20.274379181000377</v>
      </c>
    </row>
    <row r="36" spans="1:6">
      <c r="A36" s="2">
        <f t="shared" si="1"/>
        <v>43318</v>
      </c>
      <c r="B36" s="91">
        <f t="shared" si="5"/>
        <v>0.6271172758224336</v>
      </c>
      <c r="C36" s="93">
        <f t="shared" si="4"/>
        <v>11.453033070229456</v>
      </c>
      <c r="D36" s="91">
        <f t="shared" si="6"/>
        <v>0.82328117488719688</v>
      </c>
      <c r="E36" s="94">
        <f>visualmagnitude($B$2,astrodaysfromdt(A36))</f>
        <v>-4.4763894450089072</v>
      </c>
      <c r="F36" s="94">
        <f>apparentsize($B$2, astrodaysfromdt(A36))</f>
        <v>21.731346696746545</v>
      </c>
    </row>
    <row r="37" spans="1:6">
      <c r="A37" s="2">
        <f t="shared" si="1"/>
        <v>43325</v>
      </c>
      <c r="B37" s="91">
        <f t="shared" si="5"/>
        <v>0.62520986748093277</v>
      </c>
      <c r="C37" s="93">
        <f t="shared" si="4"/>
        <v>10.242980269403208</v>
      </c>
      <c r="D37" s="91">
        <f t="shared" si="6"/>
        <v>0.81413085335412971</v>
      </c>
      <c r="E37" s="94">
        <f>visualmagnitude($B$2,astrodaysfromdt(A37))</f>
        <v>-4.584502804512347</v>
      </c>
      <c r="F37" s="94">
        <f>apparentsize($B$2, astrodaysfromdt(A37))</f>
        <v>23.416698386484885</v>
      </c>
    </row>
    <row r="38" spans="1:6">
      <c r="A38" s="2">
        <f t="shared" ref="A38:A69" si="7">DATE(YEAR(A37), IF(unt="m",intvl,0)+MONTH(A37), IF(unt="m", 0,intvl)+DAY(A37))</f>
        <v>43332</v>
      </c>
      <c r="B38" s="91">
        <f t="shared" si="5"/>
        <v>0.6225611607921514</v>
      </c>
      <c r="C38" s="93">
        <f t="shared" si="4"/>
        <v>9.0266214944426206</v>
      </c>
      <c r="D38" s="91">
        <f t="shared" si="6"/>
        <v>0.80425383067817391</v>
      </c>
      <c r="E38" s="94">
        <f>visualmagnitude($B$2,astrodaysfromdt(A38))</f>
        <v>-4.70212928796367</v>
      </c>
      <c r="F38" s="94">
        <f>apparentsize($B$2, astrodaysfromdt(A38))</f>
        <v>25.378312260531718</v>
      </c>
    </row>
    <row r="39" spans="1:6">
      <c r="A39" s="2">
        <f t="shared" si="7"/>
        <v>43339</v>
      </c>
      <c r="B39" s="91">
        <f t="shared" si="5"/>
        <v>0.61906359184208781</v>
      </c>
      <c r="C39" s="93">
        <f t="shared" si="4"/>
        <v>7.7949501073025909</v>
      </c>
      <c r="D39" s="91">
        <f t="shared" si="6"/>
        <v>0.79381366946417897</v>
      </c>
      <c r="E39" s="94">
        <f>visualmagnitude($B$2,astrodaysfromdt(A39))</f>
        <v>-4.8293167664474099</v>
      </c>
      <c r="F39" s="94">
        <f>apparentsize($B$2, astrodaysfromdt(A39))</f>
        <v>27.67588719196225</v>
      </c>
    </row>
    <row r="40" spans="1:6">
      <c r="A40" s="2">
        <f t="shared" si="7"/>
        <v>43346</v>
      </c>
      <c r="B40" s="91">
        <f t="shared" si="5"/>
        <v>0.61450850099763576</v>
      </c>
      <c r="C40" s="93">
        <f t="shared" si="4"/>
        <v>6.5354367989016184</v>
      </c>
      <c r="D40" s="91">
        <f t="shared" si="6"/>
        <v>0.78295750898364158</v>
      </c>
      <c r="E40" s="94">
        <f>visualmagnitude($B$2,astrodaysfromdt(A40))</f>
        <v>-4.9656412221232973</v>
      </c>
      <c r="F40" s="94">
        <f>apparentsize($B$2, astrodaysfromdt(A40))</f>
        <v>30.382536739406699</v>
      </c>
    </row>
    <row r="41" spans="1:6">
      <c r="A41" s="2">
        <f t="shared" si="7"/>
        <v>43353</v>
      </c>
      <c r="B41" s="91">
        <f t="shared" si="5"/>
        <v>0.60854919266651897</v>
      </c>
      <c r="C41" s="93">
        <f t="shared" si="4"/>
        <v>5.2339811730204646</v>
      </c>
      <c r="D41" s="91">
        <f t="shared" si="6"/>
        <v>0.7718189788590436</v>
      </c>
      <c r="E41" s="94">
        <f>visualmagnitude($B$2,astrodaysfromdt(A41))</f>
        <v>-5.1097904054590391</v>
      </c>
      <c r="F41" s="94">
        <f>apparentsize($B$2, astrodaysfromdt(A41))</f>
        <v>33.583938934182648</v>
      </c>
    </row>
    <row r="42" spans="1:6">
      <c r="A42" s="2">
        <f t="shared" si="7"/>
        <v>43360</v>
      </c>
      <c r="B42" s="91">
        <f t="shared" si="5"/>
        <v>0.60065897581040673</v>
      </c>
      <c r="C42" s="93">
        <f t="shared" si="4"/>
        <v>0</v>
      </c>
      <c r="D42" s="91">
        <f t="shared" si="6"/>
        <v>0</v>
      </c>
      <c r="E42" s="94">
        <f>visualmagnitude($B$2,astrodaysfromdt(A42))</f>
        <v>-5.2588201786267419</v>
      </c>
      <c r="F42" s="94">
        <f>apparentsize($B$2, astrodaysfromdt(A42))</f>
        <v>37.370252270057719</v>
      </c>
    </row>
    <row r="43" spans="1:6">
      <c r="A43" s="2">
        <f t="shared" si="7"/>
        <v>43367</v>
      </c>
      <c r="B43" s="91">
        <f t="shared" si="5"/>
        <v>0.59009843929476391</v>
      </c>
      <c r="C43" s="93">
        <f t="shared" si="4"/>
        <v>0</v>
      </c>
      <c r="D43" s="91">
        <f t="shared" si="6"/>
        <v>0</v>
      </c>
      <c r="E43" s="94">
        <f>visualmagnitude($B$2,astrodaysfromdt(A43))</f>
        <v>-5.4068735043992318</v>
      </c>
      <c r="F43" s="94">
        <f>apparentsize($B$2, astrodaysfromdt(A43))</f>
        <v>41.80977331825239</v>
      </c>
    </row>
    <row r="44" spans="1:6">
      <c r="A44" s="2">
        <f t="shared" si="7"/>
        <v>43374</v>
      </c>
      <c r="B44" s="91">
        <f t="shared" si="5"/>
        <v>0.57593631496683395</v>
      </c>
      <c r="C44" s="93">
        <f t="shared" si="4"/>
        <v>0</v>
      </c>
      <c r="D44" s="91">
        <f t="shared" si="6"/>
        <v>0</v>
      </c>
      <c r="E44" s="94">
        <f>visualmagnitude($B$2,astrodaysfromdt(A44))</f>
        <v>-5.5431603035298949</v>
      </c>
      <c r="F44" s="94">
        <f>apparentsize($B$2, astrodaysfromdt(A44))</f>
        <v>46.882274326388476</v>
      </c>
    </row>
    <row r="45" spans="1:6">
      <c r="A45" s="2">
        <f t="shared" si="7"/>
        <v>43381</v>
      </c>
      <c r="B45" s="91">
        <f t="shared" si="5"/>
        <v>0.55722876879217376</v>
      </c>
      <c r="C45" s="93">
        <f t="shared" si="4"/>
        <v>0</v>
      </c>
      <c r="D45" s="91">
        <f t="shared" si="6"/>
        <v>0</v>
      </c>
      <c r="E45" s="94">
        <f>visualmagnitude($B$2,astrodaysfromdt(A45))</f>
        <v>-5.6494632857879363</v>
      </c>
      <c r="F45" s="94">
        <f>apparentsize($B$2, astrodaysfromdt(A45))</f>
        <v>52.340866353935752</v>
      </c>
    </row>
    <row r="46" spans="1:6">
      <c r="A46" s="2">
        <f t="shared" si="7"/>
        <v>43388</v>
      </c>
      <c r="B46" s="91">
        <f t="shared" si="5"/>
        <v>0.53351752986171286</v>
      </c>
      <c r="C46" s="93">
        <f t="shared" si="4"/>
        <v>0</v>
      </c>
      <c r="D46" s="91">
        <f t="shared" si="6"/>
        <v>0</v>
      </c>
      <c r="E46" s="94">
        <f>visualmagnitude($B$2,astrodaysfromdt(A46))</f>
        <v>-5.6995322898121366</v>
      </c>
      <c r="F46" s="94">
        <f>apparentsize($B$2, astrodaysfromdt(A46))</f>
        <v>57.506889735811733</v>
      </c>
    </row>
    <row r="47" spans="1:6">
      <c r="A47" s="2">
        <f t="shared" si="7"/>
        <v>43395</v>
      </c>
      <c r="B47" s="91">
        <f t="shared" si="5"/>
        <v>0.50564134714141107</v>
      </c>
      <c r="C47" s="93">
        <f t="shared" si="4"/>
        <v>0</v>
      </c>
      <c r="D47" s="91">
        <f t="shared" si="6"/>
        <v>0</v>
      </c>
      <c r="E47" s="94">
        <f>visualmagnitude($B$2,astrodaysfromdt(A47))</f>
        <v>-5.6710024720383307</v>
      </c>
      <c r="F47" s="94">
        <f>apparentsize($B$2, astrodaysfromdt(A47))</f>
        <v>61.181411517232021</v>
      </c>
    </row>
    <row r="48" spans="1:6">
      <c r="A48" s="2">
        <f t="shared" si="7"/>
        <v>43402</v>
      </c>
      <c r="B48" s="91">
        <f t="shared" si="5"/>
        <v>0.47619049313518474</v>
      </c>
      <c r="C48" s="93">
        <f t="shared" si="4"/>
        <v>0</v>
      </c>
      <c r="D48" s="91">
        <f t="shared" si="6"/>
        <v>0</v>
      </c>
      <c r="E48" s="94">
        <f>visualmagnitude($B$2,astrodaysfromdt(A48))</f>
        <v>-5.6499160339589771</v>
      </c>
      <c r="F48" s="94">
        <f>apparentsize($B$2, astrodaysfromdt(A48))</f>
        <v>62.095986766034144</v>
      </c>
    </row>
    <row r="49" spans="1:6">
      <c r="A49" s="2">
        <f t="shared" si="7"/>
        <v>43409</v>
      </c>
      <c r="B49" s="91">
        <f t="shared" si="5"/>
        <v>0.44858609199055149</v>
      </c>
      <c r="C49" s="93">
        <f t="shared" si="4"/>
        <v>8.760637630920348</v>
      </c>
      <c r="D49" s="91">
        <f t="shared" si="6"/>
        <v>0.29713188582650957</v>
      </c>
      <c r="E49" s="94">
        <f>visualmagnitude($B$2,astrodaysfromdt(A49))</f>
        <v>-5.7235661379864755</v>
      </c>
      <c r="F49" s="94">
        <f>apparentsize($B$2, astrodaysfromdt(A49))</f>
        <v>59.881354950159711</v>
      </c>
    </row>
    <row r="50" spans="1:6">
      <c r="A50" s="2">
        <f t="shared" si="7"/>
        <v>43416</v>
      </c>
      <c r="B50" s="91">
        <f t="shared" si="5"/>
        <v>0.42530801786589018</v>
      </c>
      <c r="C50" s="93">
        <f t="shared" si="4"/>
        <v>16.166079907283081</v>
      </c>
      <c r="D50" s="91">
        <f t="shared" si="6"/>
        <v>0.30575201560783066</v>
      </c>
      <c r="E50" s="94">
        <f>visualmagnitude($B$2,astrodaysfromdt(A50))</f>
        <v>-5.7251574255753317</v>
      </c>
      <c r="F50" s="94">
        <f>apparentsize($B$2, astrodaysfromdt(A50))</f>
        <v>55.419060463291473</v>
      </c>
    </row>
    <row r="51" spans="1:6">
      <c r="A51" s="2">
        <f t="shared" si="7"/>
        <v>43423</v>
      </c>
      <c r="B51" s="91">
        <f t="shared" si="5"/>
        <v>0.40711637302925108</v>
      </c>
      <c r="C51" s="93">
        <f t="shared" si="4"/>
        <v>21.387230437449716</v>
      </c>
      <c r="D51" s="91">
        <f t="shared" si="6"/>
        <v>0.31412270811371351</v>
      </c>
      <c r="E51" s="94">
        <f>visualmagnitude($B$2,astrodaysfromdt(A51))</f>
        <v>-5.6543782229328743</v>
      </c>
      <c r="F51" s="94">
        <f>apparentsize($B$2, astrodaysfromdt(A51))</f>
        <v>50.04896430145682</v>
      </c>
    </row>
    <row r="52" spans="1:6">
      <c r="A52" s="2">
        <f t="shared" si="7"/>
        <v>43430</v>
      </c>
      <c r="B52" s="91">
        <f t="shared" si="5"/>
        <v>0.39357790493839562</v>
      </c>
      <c r="C52" s="93">
        <f t="shared" si="4"/>
        <v>24.510575690319918</v>
      </c>
      <c r="D52" s="91">
        <f t="shared" si="6"/>
        <v>0.32198461696935982</v>
      </c>
      <c r="E52" s="94">
        <f>visualmagnitude($B$2,astrodaysfromdt(A52))</f>
        <v>-5.5394220036297499</v>
      </c>
      <c r="F52" s="94">
        <f>apparentsize($B$2, astrodaysfromdt(A52))</f>
        <v>44.751117507685954</v>
      </c>
    </row>
    <row r="53" spans="1:6">
      <c r="A53" s="2">
        <f t="shared" si="7"/>
        <v>43437</v>
      </c>
      <c r="B53" s="91">
        <f t="shared" si="5"/>
        <v>0.38384560900786163</v>
      </c>
      <c r="C53" s="93">
        <f t="shared" si="4"/>
        <v>25.924877343381425</v>
      </c>
      <c r="D53" s="91">
        <f t="shared" si="6"/>
        <v>0.32902492965323976</v>
      </c>
      <c r="E53" s="94">
        <f>visualmagnitude($B$2,astrodaysfromdt(A53))</f>
        <v>-5.4032002091180695</v>
      </c>
      <c r="F53" s="94">
        <f>apparentsize($B$2, astrodaysfromdt(A53))</f>
        <v>39.986823502495689</v>
      </c>
    </row>
    <row r="54" spans="1:6">
      <c r="A54" s="2">
        <f t="shared" si="7"/>
        <v>43444</v>
      </c>
      <c r="B54" s="91">
        <f t="shared" si="5"/>
        <v>0.37710476428217188</v>
      </c>
      <c r="C54" s="93">
        <f t="shared" si="4"/>
        <v>26.076125940016741</v>
      </c>
      <c r="D54" s="91">
        <f t="shared" si="6"/>
        <v>0.3349049107763345</v>
      </c>
      <c r="E54" s="94">
        <f>visualmagnitude($B$2,astrodaysfromdt(A54))</f>
        <v>-5.2601871413178136</v>
      </c>
      <c r="F54" s="94">
        <f>apparentsize($B$2, astrodaysfromdt(A54))</f>
        <v>35.880164871798165</v>
      </c>
    </row>
    <row r="55" spans="1:6">
      <c r="A55" s="2">
        <f t="shared" si="7"/>
        <v>43451</v>
      </c>
      <c r="B55" s="91">
        <f t="shared" si="5"/>
        <v>0.3727184899008032</v>
      </c>
      <c r="C55" s="93">
        <f t="shared" si="4"/>
        <v>25.368061613312729</v>
      </c>
      <c r="D55" s="91">
        <f t="shared" si="6"/>
        <v>0.33930191545196764</v>
      </c>
      <c r="E55" s="94">
        <f>visualmagnitude($B$2,astrodaysfromdt(A55))</f>
        <v>-5.1185134201708449</v>
      </c>
      <c r="F55" s="94">
        <f>apparentsize($B$2, astrodaysfromdt(A55))</f>
        <v>32.400328910891794</v>
      </c>
    </row>
    <row r="56" spans="1:6">
      <c r="A56" s="2">
        <f t="shared" si="7"/>
        <v>43458</v>
      </c>
      <c r="B56" s="91">
        <f t="shared" si="5"/>
        <v>0.37023173439529772</v>
      </c>
      <c r="C56" s="93">
        <f t="shared" si="4"/>
        <v>24.124826376693953</v>
      </c>
      <c r="D56" s="91">
        <f t="shared" si="6"/>
        <v>0.34195731728597939</v>
      </c>
      <c r="E56" s="94">
        <f>visualmagnitude($B$2,astrodaysfromdt(A56))</f>
        <v>-4.9823764855825434</v>
      </c>
      <c r="F56" s="94">
        <f>apparentsize($B$2, astrodaysfromdt(A56))</f>
        <v>29.464240654797702</v>
      </c>
    </row>
    <row r="57" spans="1:6">
      <c r="A57" s="2">
        <f t="shared" si="7"/>
        <v>43465</v>
      </c>
      <c r="B57" s="91">
        <f t="shared" si="5"/>
        <v>0.36933005307785266</v>
      </c>
      <c r="C57" s="93">
        <f t="shared" si="4"/>
        <v>22.589798514847971</v>
      </c>
      <c r="D57" s="91">
        <f t="shared" si="6"/>
        <v>0.34271582170863218</v>
      </c>
      <c r="E57" s="94">
        <f>visualmagnitude($B$2,astrodaysfromdt(A57))</f>
        <v>-4.8537265977520976</v>
      </c>
      <c r="F57" s="94">
        <f>apparentsize($B$2, astrodaysfromdt(A57))</f>
        <v>26.981742559046808</v>
      </c>
    </row>
    <row r="58" spans="1:6">
      <c r="A58" s="2">
        <f t="shared" si="7"/>
        <v>43472</v>
      </c>
      <c r="B58" s="91">
        <f t="shared" si="5"/>
        <v>0.36979201662532502</v>
      </c>
      <c r="C58" s="93">
        <f t="shared" si="4"/>
        <v>20.931133800347116</v>
      </c>
      <c r="D58" s="91">
        <f t="shared" si="6"/>
        <v>0.34154261727827456</v>
      </c>
      <c r="E58" s="94">
        <f>visualmagnitude($B$2,astrodaysfromdt(A58))</f>
        <v>-4.7332855753014513</v>
      </c>
      <c r="F58" s="94">
        <f>apparentsize($B$2, astrodaysfromdt(A58))</f>
        <v>24.871939433794353</v>
      </c>
    </row>
    <row r="59" spans="1:6">
      <c r="A59" s="2">
        <f t="shared" si="7"/>
        <v>43479</v>
      </c>
      <c r="B59" s="91">
        <f t="shared" si="5"/>
        <v>0.37144727067540928</v>
      </c>
      <c r="C59" s="93">
        <f t="shared" si="4"/>
        <v>19.25885927330761</v>
      </c>
      <c r="D59" s="91">
        <f t="shared" si="6"/>
        <v>0.3385140522689345</v>
      </c>
      <c r="E59" s="94">
        <f>visualmagnitude($B$2,astrodaysfromdt(A59))</f>
        <v>-4.6211286489705543</v>
      </c>
      <c r="F59" s="94">
        <f>apparentsize($B$2, astrodaysfromdt(A59))</f>
        <v>23.06726127989722</v>
      </c>
    </row>
    <row r="60" spans="1:6">
      <c r="A60" s="2">
        <f t="shared" si="7"/>
        <v>43486</v>
      </c>
      <c r="B60" s="91">
        <f t="shared" si="5"/>
        <v>0.37414306846097373</v>
      </c>
      <c r="C60" s="93">
        <f t="shared" si="4"/>
        <v>17.635823529590059</v>
      </c>
      <c r="D60" s="91">
        <f t="shared" si="6"/>
        <v>0.33378897379213052</v>
      </c>
      <c r="E60" s="94">
        <f>visualmagnitude($B$2,astrodaysfromdt(A60))</f>
        <v>-4.5170094283253617</v>
      </c>
      <c r="F60" s="94">
        <f>apparentsize($B$2, astrodaysfromdt(A60))</f>
        <v>21.512933070302182</v>
      </c>
    </row>
    <row r="61" spans="1:6">
      <c r="A61" s="2">
        <f t="shared" si="7"/>
        <v>43493</v>
      </c>
      <c r="B61" s="91">
        <f t="shared" si="5"/>
        <v>0.37772010409862838</v>
      </c>
      <c r="C61" s="93">
        <f t="shared" si="4"/>
        <v>16.097235666072354</v>
      </c>
      <c r="D61" s="91">
        <f t="shared" si="6"/>
        <v>0.32757362809911694</v>
      </c>
      <c r="E61" s="94">
        <f>visualmagnitude($B$2,astrodaysfromdt(A61))</f>
        <v>-4.4205394888309186</v>
      </c>
      <c r="F61" s="94">
        <f>apparentsize($B$2, astrodaysfromdt(A61))</f>
        <v>20.165060090783314</v>
      </c>
    </row>
    <row r="62" spans="1:6">
      <c r="A62" s="2">
        <f t="shared" si="7"/>
        <v>43500</v>
      </c>
      <c r="B62" s="91">
        <f t="shared" si="5"/>
        <v>0.38199860995969565</v>
      </c>
      <c r="C62" s="93">
        <f t="shared" si="4"/>
        <v>14.658945119296613</v>
      </c>
      <c r="D62" s="91">
        <f t="shared" si="6"/>
        <v>0.32009100990984796</v>
      </c>
      <c r="E62" s="94">
        <f>visualmagnitude($B$2,astrodaysfromdt(A62))</f>
        <v>-4.3312865395632798</v>
      </c>
      <c r="F62" s="94">
        <f>apparentsize($B$2, astrodaysfromdt(A62))</f>
        <v>18.988555287783239</v>
      </c>
    </row>
    <row r="63" spans="1:6">
      <c r="A63" s="2">
        <f t="shared" si="7"/>
        <v>43507</v>
      </c>
      <c r="B63" s="91">
        <f t="shared" si="5"/>
        <v>0.38677563527754127</v>
      </c>
      <c r="C63" s="93">
        <f t="shared" si="4"/>
        <v>13.326161228306376</v>
      </c>
      <c r="D63" s="91">
        <f t="shared" si="6"/>
        <v>0.31155974144489856</v>
      </c>
      <c r="E63" s="94">
        <f>visualmagnitude($B$2,astrodaysfromdt(A63))</f>
        <v>-4.2488268849179356</v>
      </c>
      <c r="F63" s="94">
        <f>apparentsize($B$2, astrodaysfromdt(A63))</f>
        <v>17.955316118957519</v>
      </c>
    </row>
    <row r="64" spans="1:6">
      <c r="A64" s="2">
        <f t="shared" si="7"/>
        <v>43514</v>
      </c>
      <c r="B64" s="91">
        <f t="shared" si="5"/>
        <v>0.39183321399675908</v>
      </c>
      <c r="C64" s="93">
        <f t="shared" si="4"/>
        <v>12.100697850727787</v>
      </c>
      <c r="D64" s="91">
        <f t="shared" si="6"/>
        <v>0.3021825651851921</v>
      </c>
      <c r="E64" s="94">
        <f>visualmagnitude($B$2,astrodaysfromdt(A64))</f>
        <v>-4.1727720283337186</v>
      </c>
      <c r="F64" s="94">
        <f>apparentsize($B$2, astrodaysfromdt(A64))</f>
        <v>17.042740073001653</v>
      </c>
    </row>
    <row r="65" spans="1:6">
      <c r="A65" s="2">
        <f t="shared" si="7"/>
        <v>43521</v>
      </c>
      <c r="B65" s="91">
        <f t="shared" si="5"/>
        <v>0.39695488279305308</v>
      </c>
      <c r="C65" s="93">
        <f t="shared" si="4"/>
        <v>10.981305467626424</v>
      </c>
      <c r="D65" s="91">
        <f t="shared" si="6"/>
        <v>0.29214212131674272</v>
      </c>
      <c r="E65" s="94">
        <f>visualmagnitude($B$2,astrodaysfromdt(A65))</f>
        <v>-4.1027805198944769</v>
      </c>
      <c r="F65" s="94">
        <f>apparentsize($B$2, astrodaysfromdt(A65))</f>
        <v>16.232555670596444</v>
      </c>
    </row>
    <row r="66" spans="1:6">
      <c r="A66" s="2">
        <f t="shared" si="7"/>
        <v>43528</v>
      </c>
      <c r="B66" s="91">
        <f t="shared" si="5"/>
        <v>0.40194581491579245</v>
      </c>
      <c r="C66" s="93">
        <f t="shared" si="4"/>
        <v>9.9689082908272866</v>
      </c>
      <c r="D66" s="91">
        <f t="shared" si="6"/>
        <v>0.28160132299184687</v>
      </c>
      <c r="E66" s="94">
        <f>visualmagnitude($B$2,astrodaysfromdt(A66))</f>
        <v>-4.0385613212371476</v>
      </c>
      <c r="F66" s="94">
        <f>apparentsize($B$2, astrodaysfromdt(A66))</f>
        <v>15.509914460279113</v>
      </c>
    </row>
    <row r="67" spans="1:6">
      <c r="A67" s="2">
        <f t="shared" si="7"/>
        <v>43535</v>
      </c>
      <c r="B67" s="91">
        <f t="shared" si="5"/>
        <v>0.40665105800604451</v>
      </c>
      <c r="C67" s="93">
        <f t="shared" si="4"/>
        <v>9.0645347702423109</v>
      </c>
      <c r="D67" s="91">
        <f t="shared" si="6"/>
        <v>0.27070622806580913</v>
      </c>
      <c r="E67" s="94">
        <f>visualmagnitude($B$2,astrodaysfromdt(A67))</f>
        <v>-3.9798722883168312</v>
      </c>
      <c r="F67" s="94">
        <f>apparentsize($B$2, astrodaysfromdt(A67))</f>
        <v>14.862688289027044</v>
      </c>
    </row>
    <row r="68" spans="1:6">
      <c r="A68" s="2">
        <f t="shared" si="7"/>
        <v>43542</v>
      </c>
      <c r="B68" s="91">
        <f t="shared" si="5"/>
        <v>0.41096759875700445</v>
      </c>
      <c r="C68" s="93">
        <f t="shared" si="4"/>
        <v>8.2680708444842299</v>
      </c>
      <c r="D68" s="91">
        <f t="shared" si="6"/>
        <v>0.25959006546867469</v>
      </c>
      <c r="E68" s="94">
        <f>visualmagnitude($B$2,astrodaysfromdt(A68))</f>
        <v>-3.9265158747813995</v>
      </c>
      <c r="F68" s="94">
        <f>apparentsize($B$2, astrodaysfromdt(A68))</f>
        <v>14.280924336265986</v>
      </c>
    </row>
    <row r="69" spans="1:6">
      <c r="A69" s="2">
        <f t="shared" si="7"/>
        <v>43549</v>
      </c>
      <c r="B69" s="91">
        <f t="shared" si="5"/>
        <v>0.41484855693034461</v>
      </c>
      <c r="C69" s="93">
        <f t="shared" si="4"/>
        <v>7.5786148833281759</v>
      </c>
      <c r="D69" s="91">
        <f t="shared" si="6"/>
        <v>0.2483776832600646</v>
      </c>
      <c r="E69" s="94">
        <f>visualmagnitude($B$2,astrodaysfromdt(A69))</f>
        <v>-3.8783333104864135</v>
      </c>
      <c r="F69" s="94">
        <f>apparentsize($B$2, astrodaysfromdt(A69))</f>
        <v>13.756420266980111</v>
      </c>
    </row>
    <row r="70" spans="1:6">
      <c r="A70" s="2">
        <f t="shared" ref="A70:A101" si="8">DATE(YEAR(A69), IF(unt="m",intvl,0)+MONTH(A69), IF(unt="m", 0,intvl)+DAY(A69))</f>
        <v>43556</v>
      </c>
      <c r="B70" s="91">
        <f t="shared" ref="B70:B133" si="9">TimeofTransit(B$2,$A70,$B$1, $C$1)/24</f>
        <v>0.41830036878669258</v>
      </c>
      <c r="C70" s="93">
        <f t="shared" ref="C70:C133" si="10">isvisible(B$2,A70,$B$1,$C$1,$C$2,"a")</f>
        <v>6.9977218612223204</v>
      </c>
      <c r="D70" s="91">
        <f t="shared" ref="D70:D133" si="11">isvisible(B$2,A70,$B$1,$C$1,$C$2,"t")/24</f>
        <v>0.23719008014590637</v>
      </c>
      <c r="E70" s="94">
        <f>visualmagnitude($B$2,astrodaysfromdt(A70))</f>
        <v>-3.8351980234050069</v>
      </c>
      <c r="F70" s="94">
        <f>apparentsize($B$2, astrodaysfromdt(A70))</f>
        <v>13.282390698088813</v>
      </c>
    </row>
    <row r="71" spans="1:6">
      <c r="A71" s="2">
        <f t="shared" si="8"/>
        <v>43563</v>
      </c>
      <c r="B71" s="91">
        <f t="shared" si="9"/>
        <v>0.42137530282224017</v>
      </c>
      <c r="C71" s="93">
        <f t="shared" si="10"/>
        <v>6.5265634375196546</v>
      </c>
      <c r="D71" s="91">
        <f t="shared" si="11"/>
        <v>0.22614889607919161</v>
      </c>
      <c r="E71" s="94">
        <f>visualmagnitude($B$2,astrodaysfromdt(A71))</f>
        <v>-3.7970087910124635</v>
      </c>
      <c r="F71" s="94">
        <f>apparentsize($B$2, astrodaysfromdt(A71))</f>
        <v>12.853203306271011</v>
      </c>
    </row>
    <row r="72" spans="1:6">
      <c r="A72" s="2">
        <f t="shared" si="8"/>
        <v>43570</v>
      </c>
      <c r="B72" s="91">
        <f t="shared" si="9"/>
        <v>0.42416184797727113</v>
      </c>
      <c r="C72" s="93">
        <f t="shared" si="10"/>
        <v>6.1644701611952586</v>
      </c>
      <c r="D72" s="91">
        <f t="shared" si="11"/>
        <v>0.21538081330750905</v>
      </c>
      <c r="E72" s="94">
        <f>visualmagnitude($B$2,astrodaysfromdt(A72))</f>
        <v>-3.7636829415553477</v>
      </c>
      <c r="F72" s="94">
        <f>apparentsize($B$2, astrodaysfromdt(A72))</f>
        <v>12.464168388718653</v>
      </c>
    </row>
    <row r="73" spans="1:6">
      <c r="A73" s="2">
        <f t="shared" si="8"/>
        <v>43577</v>
      </c>
      <c r="B73" s="91">
        <f t="shared" si="9"/>
        <v>0.42677485276387772</v>
      </c>
      <c r="C73" s="93">
        <f t="shared" si="10"/>
        <v>5.9073990517764638</v>
      </c>
      <c r="D73" s="91">
        <f t="shared" si="11"/>
        <v>0.20502178161224152</v>
      </c>
      <c r="E73" s="94">
        <f>visualmagnitude($B$2,astrodaysfromdt(A73))</f>
        <v>-3.7351498272452641</v>
      </c>
      <c r="F73" s="94">
        <f>apparentsize($B$2, astrodaysfromdt(A73))</f>
        <v>12.111369794976598</v>
      </c>
    </row>
    <row r="74" spans="1:6">
      <c r="A74" s="2">
        <f t="shared" si="8"/>
        <v>43584</v>
      </c>
      <c r="B74" s="91">
        <f t="shared" si="9"/>
        <v>0.42934634502096974</v>
      </c>
      <c r="C74" s="93">
        <f t="shared" si="10"/>
        <v>5.751583118441415</v>
      </c>
      <c r="D74" s="91">
        <f t="shared" si="11"/>
        <v>0.19522082546906203</v>
      </c>
      <c r="E74" s="94">
        <f>visualmagnitude($B$2,astrodaysfromdt(A74))</f>
        <v>-3.7113447322864213</v>
      </c>
      <c r="F74" s="94">
        <f>apparentsize($B$2, astrodaysfromdt(A74))</f>
        <v>11.791528179839908</v>
      </c>
    </row>
    <row r="75" spans="1:6">
      <c r="A75" s="2">
        <f t="shared" si="8"/>
        <v>43591</v>
      </c>
      <c r="B75" s="91">
        <f t="shared" si="9"/>
        <v>0.43201711946211324</v>
      </c>
      <c r="C75" s="93">
        <f t="shared" si="10"/>
        <v>5.6924761562346564</v>
      </c>
      <c r="D75" s="91">
        <f t="shared" si="11"/>
        <v>0.18614289371631035</v>
      </c>
      <c r="E75" s="94">
        <f>visualmagnitude($B$2,astrodaysfromdt(A75))</f>
        <v>-3.6922033423562253</v>
      </c>
      <c r="F75" s="94">
        <f>apparentsize($B$2, astrodaysfromdt(A75))</f>
        <v>11.501889749159648</v>
      </c>
    </row>
    <row r="76" spans="1:6">
      <c r="A76" s="2">
        <f t="shared" si="8"/>
        <v>43598</v>
      </c>
      <c r="B76" s="91">
        <f t="shared" si="9"/>
        <v>0.43492860656865745</v>
      </c>
      <c r="C76" s="93">
        <f t="shared" si="10"/>
        <v>5.7186083034455288</v>
      </c>
      <c r="D76" s="91">
        <f t="shared" si="11"/>
        <v>0.17796975395535561</v>
      </c>
      <c r="E76" s="94">
        <f>visualmagnitude($B$2,astrodaysfromdt(A76))</f>
        <v>-3.677656878608023</v>
      </c>
      <c r="F76" s="94">
        <f>apparentsize($B$2, astrodaysfromdt(A76))</f>
        <v>11.240135295457607</v>
      </c>
    </row>
    <row r="77" spans="1:6">
      <c r="A77" s="2">
        <f t="shared" si="8"/>
        <v>43605</v>
      </c>
      <c r="B77" s="91">
        <f t="shared" si="9"/>
        <v>0.43821426140758751</v>
      </c>
      <c r="C77" s="93">
        <f t="shared" si="10"/>
        <v>5.8160574601458199</v>
      </c>
      <c r="D77" s="91">
        <f t="shared" si="11"/>
        <v>0.17089735838608766</v>
      </c>
      <c r="E77" s="94">
        <f>visualmagnitude($B$2,astrodaysfromdt(A77))</f>
        <v>-3.6676279814645554</v>
      </c>
      <c r="F77" s="94">
        <f>apparentsize($B$2, astrodaysfromdt(A77))</f>
        <v>11.004305512199226</v>
      </c>
    </row>
    <row r="78" spans="1:6">
      <c r="A78" s="2">
        <f t="shared" si="8"/>
        <v>43612</v>
      </c>
      <c r="B78" s="91">
        <f t="shared" si="9"/>
        <v>0.44198974386888584</v>
      </c>
      <c r="C78" s="93">
        <f t="shared" si="10"/>
        <v>5.9638307322633652</v>
      </c>
      <c r="D78" s="91">
        <f t="shared" si="11"/>
        <v>0.1651276342870541</v>
      </c>
      <c r="E78" s="94">
        <f>visualmagnitude($B$2,astrodaysfromdt(A78))</f>
        <v>-3.6620274116618861</v>
      </c>
      <c r="F78" s="94">
        <f>apparentsize($B$2, astrodaysfromdt(A78))</f>
        <v>10.792739462307924</v>
      </c>
    </row>
    <row r="79" spans="1:6">
      <c r="A79" s="2">
        <f t="shared" si="8"/>
        <v>43619</v>
      </c>
      <c r="B79" s="91">
        <f t="shared" si="9"/>
        <v>0.44634155298711731</v>
      </c>
      <c r="C79" s="93">
        <f t="shared" si="10"/>
        <v>6.1381420825875708</v>
      </c>
      <c r="D79" s="91">
        <f t="shared" si="11"/>
        <v>0.16085280301116148</v>
      </c>
      <c r="E79" s="94">
        <f>visualmagnitude($B$2,astrodaysfromdt(A79))</f>
        <v>-3.6607516106550575</v>
      </c>
      <c r="F79" s="94">
        <f>apparentsize($B$2, astrodaysfromdt(A79))</f>
        <v>10.604023729830056</v>
      </c>
    </row>
    <row r="80" spans="1:6">
      <c r="A80" s="2">
        <f t="shared" si="8"/>
        <v>43626</v>
      </c>
      <c r="B80" s="91">
        <f t="shared" si="9"/>
        <v>0.45131460004635843</v>
      </c>
      <c r="C80" s="93">
        <f t="shared" si="10"/>
        <v>6.2995000851321246</v>
      </c>
      <c r="D80" s="91">
        <f t="shared" si="11"/>
        <v>0.15823188893588647</v>
      </c>
      <c r="E80" s="94">
        <f>visualmagnitude($B$2,astrodaysfromdt(A80))</f>
        <v>-3.6636811214482519</v>
      </c>
      <c r="F80" s="94">
        <f>apparentsize($B$2, astrodaysfromdt(A80))</f>
        <v>10.436950313295606</v>
      </c>
    </row>
    <row r="81" spans="1:6">
      <c r="A81" s="2">
        <f t="shared" si="8"/>
        <v>43633</v>
      </c>
      <c r="B81" s="91">
        <f t="shared" si="9"/>
        <v>0.45690044440368682</v>
      </c>
      <c r="C81" s="93">
        <f t="shared" si="10"/>
        <v>6.4085920186488643</v>
      </c>
      <c r="D81" s="91">
        <f t="shared" si="11"/>
        <v>0.15736252978569376</v>
      </c>
      <c r="E81" s="94">
        <f>visualmagnitude($B$2,astrodaysfromdt(A81))</f>
        <v>-3.670679792229067</v>
      </c>
      <c r="F81" s="94">
        <f>apparentsize($B$2, astrodaysfromdt(A81))</f>
        <v>10.290481703630322</v>
      </c>
    </row>
    <row r="82" spans="1:6">
      <c r="A82" s="2">
        <f t="shared" si="8"/>
        <v>43640</v>
      </c>
      <c r="B82" s="91">
        <f t="shared" si="9"/>
        <v>0.46302927714455677</v>
      </c>
      <c r="C82" s="93">
        <f t="shared" si="10"/>
        <v>6.4152747466640969</v>
      </c>
      <c r="D82" s="91">
        <f t="shared" si="11"/>
        <v>0.15825559561112171</v>
      </c>
      <c r="E82" s="94">
        <f>visualmagnitude($B$2,astrodaysfromdt(A82))</f>
        <v>-3.6815945294385757</v>
      </c>
      <c r="F82" s="94">
        <f>apparentsize($B$2, astrodaysfromdt(A82))</f>
        <v>10.163721927944408</v>
      </c>
    </row>
    <row r="83" spans="1:6">
      <c r="A83" s="2">
        <f t="shared" si="8"/>
        <v>43647</v>
      </c>
      <c r="B83" s="91">
        <f t="shared" si="9"/>
        <v>0.4695695095217603</v>
      </c>
      <c r="C83" s="93">
        <f t="shared" si="10"/>
        <v>6.2732971385254714</v>
      </c>
      <c r="D83" s="91">
        <f t="shared" si="11"/>
        <v>0.16082248220689022</v>
      </c>
      <c r="E83" s="94">
        <f>visualmagnitude($B$2,astrodaysfromdt(A83))</f>
        <v>-3.6962550205632483</v>
      </c>
      <c r="F83" s="94">
        <f>apparentsize($B$2, astrodaysfromdt(A83))</f>
        <v>10.055892607137974</v>
      </c>
    </row>
    <row r="84" spans="1:6">
      <c r="A84" s="2">
        <f t="shared" si="8"/>
        <v>43654</v>
      </c>
      <c r="B84" s="91">
        <f t="shared" si="9"/>
        <v>0.47633805944728036</v>
      </c>
      <c r="C84" s="93">
        <f t="shared" si="10"/>
        <v>5.9412390316375872</v>
      </c>
      <c r="D84" s="91">
        <f t="shared" si="11"/>
        <v>0.16488208174102451</v>
      </c>
      <c r="E84" s="94">
        <f>visualmagnitude($B$2,astrodaysfromdt(A84))</f>
        <v>-3.7144719766707688</v>
      </c>
      <c r="F84" s="94">
        <f>apparentsize($B$2, astrodaysfromdt(A84))</f>
        <v>9.9663133018814101</v>
      </c>
    </row>
    <row r="85" spans="1:6">
      <c r="A85" s="2">
        <f t="shared" si="8"/>
        <v>43661</v>
      </c>
      <c r="B85" s="91">
        <f t="shared" si="9"/>
        <v>0.48312164811653119</v>
      </c>
      <c r="C85" s="93">
        <f t="shared" si="10"/>
        <v>0</v>
      </c>
      <c r="D85" s="91">
        <f t="shared" si="11"/>
        <v>0</v>
      </c>
      <c r="E85" s="94">
        <f>visualmagnitude($B$2,astrodaysfromdt(A85))</f>
        <v>-3.736029886767374</v>
      </c>
      <c r="F85" s="94">
        <f>apparentsize($B$2, astrodaysfromdt(A85))</f>
        <v>9.8943856111047381</v>
      </c>
    </row>
    <row r="86" spans="1:6">
      <c r="A86" s="2">
        <f t="shared" si="8"/>
        <v>43668</v>
      </c>
      <c r="B86" s="91">
        <f t="shared" si="9"/>
        <v>0.48970543510429554</v>
      </c>
      <c r="C86" s="93">
        <f t="shared" si="10"/>
        <v>0</v>
      </c>
      <c r="D86" s="91">
        <f t="shared" si="11"/>
        <v>0</v>
      </c>
      <c r="E86" s="94">
        <f>visualmagnitude($B$2,astrodaysfromdt(A86))</f>
        <v>-3.7606611694239933</v>
      </c>
      <c r="F86" s="94">
        <f>apparentsize($B$2, astrodaysfromdt(A86))</f>
        <v>9.8395806356654383</v>
      </c>
    </row>
    <row r="87" spans="1:6">
      <c r="A87" s="2">
        <f t="shared" si="8"/>
        <v>43675</v>
      </c>
      <c r="B87" s="91">
        <f t="shared" si="9"/>
        <v>0.49590222768393405</v>
      </c>
      <c r="C87" s="93">
        <f t="shared" si="10"/>
        <v>0</v>
      </c>
      <c r="D87" s="91">
        <f t="shared" si="11"/>
        <v>0</v>
      </c>
      <c r="E87" s="94">
        <f>visualmagnitude($B$2,astrodaysfromdt(A87))</f>
        <v>-3.7879467543025878</v>
      </c>
      <c r="F87" s="94">
        <f>apparentsize($B$2, astrodaysfromdt(A87))</f>
        <v>9.8014295450728284</v>
      </c>
    </row>
    <row r="88" spans="1:6">
      <c r="A88" s="2">
        <f t="shared" si="8"/>
        <v>43682</v>
      </c>
      <c r="B88" s="91">
        <f t="shared" si="9"/>
        <v>0.50157526163790611</v>
      </c>
      <c r="C88" s="93">
        <f t="shared" si="10"/>
        <v>0</v>
      </c>
      <c r="D88" s="91">
        <f t="shared" si="11"/>
        <v>0</v>
      </c>
      <c r="E88" s="94">
        <f>visualmagnitude($B$2,astrodaysfromdt(A88))</f>
        <v>-3.8168068857683091</v>
      </c>
      <c r="F88" s="94">
        <f>apparentsize($B$2, astrodaysfromdt(A88))</f>
        <v>9.779517061246608</v>
      </c>
    </row>
    <row r="89" spans="1:6">
      <c r="A89" s="2">
        <f t="shared" si="8"/>
        <v>43689</v>
      </c>
      <c r="B89" s="91">
        <f t="shared" si="9"/>
        <v>0.5066503292771245</v>
      </c>
      <c r="C89" s="93">
        <f t="shared" si="10"/>
        <v>0</v>
      </c>
      <c r="D89" s="91">
        <f t="shared" si="11"/>
        <v>0</v>
      </c>
      <c r="E89" s="94">
        <f>visualmagnitude($B$2,astrodaysfromdt(A89))</f>
        <v>-3.8410164831302156</v>
      </c>
      <c r="F89" s="94">
        <f>apparentsize($B$2, astrodaysfromdt(A89))</f>
        <v>9.7734777283043837</v>
      </c>
    </row>
    <row r="90" spans="1:6">
      <c r="A90" s="2">
        <f t="shared" si="8"/>
        <v>43696</v>
      </c>
      <c r="B90" s="91">
        <f t="shared" si="9"/>
        <v>0.51111703345581516</v>
      </c>
      <c r="C90" s="93">
        <f t="shared" si="10"/>
        <v>0</v>
      </c>
      <c r="D90" s="91">
        <f t="shared" si="11"/>
        <v>0</v>
      </c>
      <c r="E90" s="94">
        <f>visualmagnitude($B$2,astrodaysfromdt(A90))</f>
        <v>-3.8333901878282881</v>
      </c>
      <c r="F90" s="94">
        <f>apparentsize($B$2, astrodaysfromdt(A90))</f>
        <v>9.7829948567066563</v>
      </c>
    </row>
    <row r="91" spans="1:6">
      <c r="A91" s="2">
        <f t="shared" si="8"/>
        <v>43703</v>
      </c>
      <c r="B91" s="91">
        <f t="shared" si="9"/>
        <v>0.51502198662757404</v>
      </c>
      <c r="C91" s="93">
        <f t="shared" si="10"/>
        <v>0</v>
      </c>
      <c r="D91" s="91">
        <f t="shared" si="11"/>
        <v>0</v>
      </c>
      <c r="E91" s="94">
        <f>visualmagnitude($B$2,astrodaysfromdt(A91))</f>
        <v>-3.8076336653494138</v>
      </c>
      <c r="F91" s="94">
        <f>apparentsize($B$2, astrodaysfromdt(A91))</f>
        <v>9.8078020269660264</v>
      </c>
    </row>
    <row r="92" spans="1:6">
      <c r="A92" s="2">
        <f t="shared" si="8"/>
        <v>43710</v>
      </c>
      <c r="B92" s="91">
        <f t="shared" si="9"/>
        <v>0.51845781415251035</v>
      </c>
      <c r="C92" s="93">
        <f t="shared" si="10"/>
        <v>0</v>
      </c>
      <c r="D92" s="91">
        <f t="shared" si="11"/>
        <v>0</v>
      </c>
      <c r="E92" s="94">
        <f>visualmagnitude($B$2,astrodaysfromdt(A92))</f>
        <v>-3.7818324837304726</v>
      </c>
      <c r="F92" s="94">
        <f>apparentsize($B$2, astrodaysfromdt(A92))</f>
        <v>9.8476870208607945</v>
      </c>
    </row>
    <row r="93" spans="1:6">
      <c r="A93" s="2">
        <f t="shared" si="8"/>
        <v>43717</v>
      </c>
      <c r="B93" s="91">
        <f t="shared" si="9"/>
        <v>0.52155119771589009</v>
      </c>
      <c r="C93" s="93">
        <f t="shared" si="10"/>
        <v>0</v>
      </c>
      <c r="D93" s="91">
        <f t="shared" si="11"/>
        <v>0</v>
      </c>
      <c r="E93" s="94">
        <f>visualmagnitude($B$2,astrodaysfromdt(A93))</f>
        <v>-3.758420508498503</v>
      </c>
      <c r="F93" s="94">
        <f>apparentsize($B$2, astrodaysfromdt(A93))</f>
        <v>9.9024980238031368</v>
      </c>
    </row>
    <row r="94" spans="1:6">
      <c r="A94" s="2">
        <f t="shared" si="8"/>
        <v>43724</v>
      </c>
      <c r="B94" s="91">
        <f t="shared" si="9"/>
        <v>0.52445183386786387</v>
      </c>
      <c r="C94" s="93">
        <f t="shared" si="10"/>
        <v>0</v>
      </c>
      <c r="D94" s="91">
        <f t="shared" si="11"/>
        <v>0</v>
      </c>
      <c r="E94" s="94">
        <f>visualmagnitude($B$2,astrodaysfromdt(A94))</f>
        <v>-3.7379244446377111</v>
      </c>
      <c r="F94" s="94">
        <f>apparentsize($B$2, astrodaysfromdt(A94))</f>
        <v>9.9721519266954139</v>
      </c>
    </row>
    <row r="95" spans="1:6">
      <c r="A95" s="2">
        <f t="shared" si="8"/>
        <v>43731</v>
      </c>
      <c r="B95" s="91">
        <f t="shared" si="9"/>
        <v>0.5273228451655485</v>
      </c>
      <c r="C95" s="93">
        <f t="shared" si="10"/>
        <v>0</v>
      </c>
      <c r="D95" s="91">
        <f t="shared" si="11"/>
        <v>0</v>
      </c>
      <c r="E95" s="94">
        <f>visualmagnitude($B$2,astrodaysfromdt(A95))</f>
        <v>-3.7205457975781333</v>
      </c>
      <c r="F95" s="94">
        <f>apparentsize($B$2, astrodaysfromdt(A95))</f>
        <v>10.056644552683776</v>
      </c>
    </row>
    <row r="96" spans="1:6">
      <c r="A96" s="2">
        <f t="shared" si="8"/>
        <v>43738</v>
      </c>
      <c r="B96" s="91">
        <f t="shared" si="9"/>
        <v>0.53033221560674426</v>
      </c>
      <c r="C96" s="93">
        <f t="shared" si="10"/>
        <v>0</v>
      </c>
      <c r="D96" s="91">
        <f t="shared" si="11"/>
        <v>0</v>
      </c>
      <c r="E96" s="94">
        <f>visualmagnitude($B$2,astrodaysfromdt(A96))</f>
        <v>-3.7063970502370251</v>
      </c>
      <c r="F96" s="94">
        <f>apparentsize($B$2, astrodaysfromdt(A96))</f>
        <v>10.15606266370885</v>
      </c>
    </row>
    <row r="97" spans="1:6">
      <c r="A97" s="2">
        <f t="shared" si="8"/>
        <v>43745</v>
      </c>
      <c r="B97" s="91">
        <f t="shared" si="9"/>
        <v>0.53364425935576443</v>
      </c>
      <c r="C97" s="93">
        <f t="shared" si="10"/>
        <v>0</v>
      </c>
      <c r="D97" s="91">
        <f t="shared" si="11"/>
        <v>0</v>
      </c>
      <c r="E97" s="94">
        <f>visualmagnitude($B$2,astrodaysfromdt(A97))</f>
        <v>-3.6955578690512079</v>
      </c>
      <c r="F97" s="94">
        <f>apparentsize($B$2, astrodaysfromdt(A97))</f>
        <v>10.270597655323733</v>
      </c>
    </row>
    <row r="98" spans="1:6">
      <c r="A98" s="2">
        <f t="shared" si="8"/>
        <v>43752</v>
      </c>
      <c r="B98" s="91">
        <f t="shared" si="9"/>
        <v>0.53740994299148548</v>
      </c>
      <c r="C98" s="93">
        <f t="shared" si="10"/>
        <v>0</v>
      </c>
      <c r="D98" s="91">
        <f t="shared" si="11"/>
        <v>0</v>
      </c>
      <c r="E98" s="94">
        <f>visualmagnitude($B$2,astrodaysfromdt(A98))</f>
        <v>-3.6880924662330226</v>
      </c>
      <c r="F98" s="94">
        <f>apparentsize($B$2, astrodaysfromdt(A98))</f>
        <v>10.400560942864548</v>
      </c>
    </row>
    <row r="99" spans="1:6">
      <c r="A99" s="2">
        <f t="shared" si="8"/>
        <v>43759</v>
      </c>
      <c r="B99" s="91">
        <f t="shared" si="9"/>
        <v>0.54175505979904781</v>
      </c>
      <c r="C99" s="93">
        <f t="shared" si="10"/>
        <v>0</v>
      </c>
      <c r="D99" s="91">
        <f t="shared" si="11"/>
        <v>0</v>
      </c>
      <c r="E99" s="94">
        <f>visualmagnitude($B$2,astrodaysfromdt(A99))</f>
        <v>-3.6840559398356589</v>
      </c>
      <c r="F99" s="94">
        <f>apparentsize($B$2, astrodaysfromdt(A99))</f>
        <v>10.546401169275009</v>
      </c>
    </row>
    <row r="100" spans="1:6">
      <c r="A100" s="2">
        <f t="shared" si="8"/>
        <v>43766</v>
      </c>
      <c r="B100" s="91">
        <f t="shared" si="9"/>
        <v>0.54676592826693804</v>
      </c>
      <c r="C100" s="93">
        <f t="shared" si="10"/>
        <v>0</v>
      </c>
      <c r="D100" s="91">
        <f t="shared" si="11"/>
        <v>0</v>
      </c>
      <c r="E100" s="94">
        <f>visualmagnitude($B$2,astrodaysfromdt(A100))</f>
        <v>-3.6834970275798566</v>
      </c>
      <c r="F100" s="94">
        <f>apparentsize($B$2, astrodaysfromdt(A100))</f>
        <v>10.708723526547056</v>
      </c>
    </row>
    <row r="101" spans="1:6">
      <c r="A101" s="2">
        <f t="shared" si="8"/>
        <v>43773</v>
      </c>
      <c r="B101" s="91">
        <f t="shared" si="9"/>
        <v>0.55247360291251324</v>
      </c>
      <c r="C101" s="93">
        <f t="shared" si="10"/>
        <v>5.2256756369953621</v>
      </c>
      <c r="D101" s="91">
        <f t="shared" si="11"/>
        <v>0.68884958558947285</v>
      </c>
      <c r="E101" s="94">
        <f>visualmagnitude($B$2,astrodaysfromdt(A101))</f>
        <v>-3.6864597130004202</v>
      </c>
      <c r="F101" s="94">
        <f>apparentsize($B$2, astrodaysfromdt(A101))</f>
        <v>10.888311675199475</v>
      </c>
    </row>
    <row r="102" spans="1:6">
      <c r="A102" s="2">
        <f t="shared" ref="A102:A133" si="12">DATE(YEAR(A101), IF(unt="m",intvl,0)+MONTH(A101), IF(unt="m", 0,intvl)+DAY(A101))</f>
        <v>43780</v>
      </c>
      <c r="B102" s="91">
        <f t="shared" si="9"/>
        <v>0.55883950303332852</v>
      </c>
      <c r="C102" s="93">
        <f t="shared" si="10"/>
        <v>5.8462280631339381</v>
      </c>
      <c r="D102" s="91">
        <f t="shared" si="11"/>
        <v>0.68079638461889314</v>
      </c>
      <c r="E102" s="94">
        <f>visualmagnitude($B$2,astrodaysfromdt(A102))</f>
        <v>-3.6929846120917413</v>
      </c>
      <c r="F102" s="94">
        <f>apparentsize($B$2, astrodaysfromdt(A102))</f>
        <v>11.086152967223393</v>
      </c>
    </row>
    <row r="103" spans="1:6">
      <c r="A103" s="2">
        <f t="shared" si="12"/>
        <v>43787</v>
      </c>
      <c r="B103" s="91">
        <f t="shared" si="9"/>
        <v>0.56574729958100367</v>
      </c>
      <c r="C103" s="93">
        <f t="shared" si="10"/>
        <v>6.6290601495163033</v>
      </c>
      <c r="D103" s="91">
        <f t="shared" si="11"/>
        <v>0.67391258241338858</v>
      </c>
      <c r="E103" s="94">
        <f>visualmagnitude($B$2,astrodaysfromdt(A103))</f>
        <v>-3.7031105394698032</v>
      </c>
      <c r="F103" s="94">
        <f>apparentsize($B$2, astrodaysfromdt(A103))</f>
        <v>11.303467927296934</v>
      </c>
    </row>
    <row r="104" spans="1:6">
      <c r="A104" s="2">
        <f t="shared" si="12"/>
        <v>43794</v>
      </c>
      <c r="B104" s="91">
        <f t="shared" si="9"/>
        <v>0.57300654981531429</v>
      </c>
      <c r="C104" s="93">
        <f t="shared" si="10"/>
        <v>7.6110207118287221</v>
      </c>
      <c r="D104" s="91">
        <f t="shared" si="11"/>
        <v>0.66842264553687125</v>
      </c>
      <c r="E104" s="94">
        <f>visualmagnitude($B$2,astrodaysfromdt(A104))</f>
        <v>-3.7168764478137772</v>
      </c>
      <c r="F104" s="94">
        <f>apparentsize($B$2, astrodaysfromdt(A104))</f>
        <v>11.541745228516072</v>
      </c>
    </row>
    <row r="105" spans="1:6">
      <c r="A105" s="2">
        <f t="shared" si="12"/>
        <v>43801</v>
      </c>
      <c r="B105" s="91">
        <f t="shared" si="9"/>
        <v>0.58037145876986262</v>
      </c>
      <c r="C105" s="93">
        <f t="shared" si="10"/>
        <v>8.8294807510708413</v>
      </c>
      <c r="D105" s="91">
        <f t="shared" si="11"/>
        <v>0.66454706753709869</v>
      </c>
      <c r="E105" s="94">
        <f>visualmagnitude($B$2,astrodaysfromdt(A105))</f>
        <v>-3.7343238489492978</v>
      </c>
      <c r="F105" s="94">
        <f>apparentsize($B$2, astrodaysfromdt(A105))</f>
        <v>11.80278372211945</v>
      </c>
    </row>
    <row r="106" spans="1:6">
      <c r="A106" s="2">
        <f t="shared" si="12"/>
        <v>43808</v>
      </c>
      <c r="B106" s="91">
        <f t="shared" si="9"/>
        <v>0.58757306605225346</v>
      </c>
      <c r="C106" s="93">
        <f t="shared" si="10"/>
        <v>10.312800302914562</v>
      </c>
      <c r="D106" s="91">
        <f t="shared" si="11"/>
        <v>0.66247620764846404</v>
      </c>
      <c r="E106" s="94">
        <f>visualmagnitude($B$2,astrodaysfromdt(A106))</f>
        <v>-3.7554997862705006</v>
      </c>
      <c r="F106" s="94">
        <f>apparentsize($B$2, astrodaysfromdt(A106))</f>
        <v>12.088743463541201</v>
      </c>
    </row>
    <row r="107" spans="1:6">
      <c r="A107" s="2">
        <f t="shared" si="12"/>
        <v>43815</v>
      </c>
      <c r="B107" s="91">
        <f t="shared" si="9"/>
        <v>0.59435733976259442</v>
      </c>
      <c r="C107" s="93">
        <f t="shared" si="10"/>
        <v>12.076921046213004</v>
      </c>
      <c r="D107" s="91">
        <f t="shared" si="11"/>
        <v>0.66233616324732691</v>
      </c>
      <c r="E107" s="94">
        <f>visualmagnitude($B$2,astrodaysfromdt(A107))</f>
        <v>-3.780460406327919</v>
      </c>
      <c r="F107" s="94">
        <f>apparentsize($B$2, astrodaysfromdt(A107))</f>
        <v>12.402208148404648</v>
      </c>
    </row>
    <row r="108" spans="1:6">
      <c r="A108" s="2">
        <f t="shared" si="12"/>
        <v>43822</v>
      </c>
      <c r="B108" s="91">
        <f t="shared" si="9"/>
        <v>0.60051879006221276</v>
      </c>
      <c r="C108" s="93">
        <f t="shared" si="10"/>
        <v>14.118599016079065</v>
      </c>
      <c r="D108" s="91">
        <f t="shared" si="11"/>
        <v>0.66415471074474408</v>
      </c>
      <c r="E108" s="94">
        <f>visualmagnitude($B$2,astrodaysfromdt(A108))</f>
        <v>-3.8092751584132705</v>
      </c>
      <c r="F108" s="94">
        <f>apparentsize($B$2, astrodaysfromdt(A108))</f>
        <v>12.746261974679351</v>
      </c>
    </row>
    <row r="109" spans="1:6">
      <c r="A109" s="2">
        <f t="shared" si="12"/>
        <v>43829</v>
      </c>
      <c r="B109" s="91">
        <f t="shared" si="9"/>
        <v>0.60592135249372647</v>
      </c>
      <c r="C109" s="93">
        <f t="shared" si="10"/>
        <v>16.410102816623414</v>
      </c>
      <c r="D109" s="91">
        <f t="shared" si="11"/>
        <v>0.66784006517373695</v>
      </c>
      <c r="E109" s="94">
        <f>visualmagnitude($B$2,astrodaysfromdt(A109))</f>
        <v>-3.8420316276403081</v>
      </c>
      <c r="F109" s="94">
        <f>apparentsize($B$2, astrodaysfromdt(A109))</f>
        <v>13.124584743495779</v>
      </c>
    </row>
    <row r="110" spans="1:6">
      <c r="A110" s="2">
        <f t="shared" si="12"/>
        <v>43836</v>
      </c>
      <c r="B110" s="91">
        <f t="shared" si="9"/>
        <v>0.61050388383305598</v>
      </c>
      <c r="C110" s="93">
        <f t="shared" si="10"/>
        <v>18.89849905909589</v>
      </c>
      <c r="D110" s="91">
        <f t="shared" si="11"/>
        <v>0.67318374526092384</v>
      </c>
      <c r="E110" s="94">
        <f>visualmagnitude($B$2,astrodaysfromdt(A110))</f>
        <v>-3.8788409740479857</v>
      </c>
      <c r="F110" s="94">
        <f>apparentsize($B$2, astrodaysfromdt(A110))</f>
        <v>13.541570074842259</v>
      </c>
    </row>
    <row r="111" spans="1:6">
      <c r="A111" s="2">
        <f t="shared" si="12"/>
        <v>43843</v>
      </c>
      <c r="B111" s="91">
        <f t="shared" si="9"/>
        <v>0.61427300977836663</v>
      </c>
      <c r="C111" s="93">
        <f t="shared" si="10"/>
        <v>21.514281627523651</v>
      </c>
      <c r="D111" s="91">
        <f t="shared" si="11"/>
        <v>0.6798895752294799</v>
      </c>
      <c r="E111" s="94">
        <f>visualmagnitude($B$2,astrodaysfromdt(A111))</f>
        <v>-3.9198439087686321</v>
      </c>
      <c r="F111" s="94">
        <f>apparentsize($B$2, astrodaysfromdt(A111))</f>
        <v>14.002473116383989</v>
      </c>
    </row>
    <row r="112" spans="1:6">
      <c r="A112" s="2">
        <f t="shared" si="12"/>
        <v>43850</v>
      </c>
      <c r="B112" s="91">
        <f t="shared" si="9"/>
        <v>0.61728866389319892</v>
      </c>
      <c r="C112" s="93">
        <f t="shared" si="10"/>
        <v>24.175080599234359</v>
      </c>
      <c r="D112" s="91">
        <f t="shared" si="11"/>
        <v>0.68761930392976722</v>
      </c>
      <c r="E112" s="94">
        <f>visualmagnitude($B$2,astrodaysfromdt(A112))</f>
        <v>-3.9652170712207009</v>
      </c>
      <c r="F112" s="94">
        <f>apparentsize($B$2, astrodaysfromdt(A112))</f>
        <v>14.513596056925358</v>
      </c>
    </row>
    <row r="113" spans="1:6">
      <c r="A113" s="2">
        <f t="shared" si="12"/>
        <v>43857</v>
      </c>
      <c r="B113" s="91">
        <f t="shared" si="9"/>
        <v>0.61964734652768805</v>
      </c>
      <c r="C113" s="93">
        <f t="shared" si="10"/>
        <v>26.799455358469615</v>
      </c>
      <c r="D113" s="91">
        <f t="shared" si="11"/>
        <v>0.6960396278202331</v>
      </c>
      <c r="E113" s="94">
        <f>visualmagnitude($B$2,astrodaysfromdt(A113))</f>
        <v>-4.015179597109495</v>
      </c>
      <c r="F113" s="94">
        <f>apparentsize($B$2, astrodaysfromdt(A113))</f>
        <v>15.08252262542465</v>
      </c>
    </row>
    <row r="114" spans="1:6">
      <c r="A114" s="2">
        <f t="shared" si="12"/>
        <v>43864</v>
      </c>
      <c r="B114" s="91">
        <f t="shared" si="9"/>
        <v>0.62146628252599279</v>
      </c>
      <c r="C114" s="93">
        <f t="shared" si="10"/>
        <v>29.314141036202841</v>
      </c>
      <c r="D114" s="91">
        <f t="shared" si="11"/>
        <v>0.704858281357577</v>
      </c>
      <c r="E114" s="94">
        <f>visualmagnitude($B$2,astrodaysfromdt(A114))</f>
        <v>-4.0699995419902688</v>
      </c>
      <c r="F114" s="94">
        <f>apparentsize($B$2, astrodaysfromdt(A114))</f>
        <v>15.718416424403562</v>
      </c>
    </row>
    <row r="115" spans="1:6">
      <c r="A115" s="2">
        <f t="shared" si="12"/>
        <v>43871</v>
      </c>
      <c r="B115" s="91">
        <f t="shared" si="9"/>
        <v>0.62286967413875172</v>
      </c>
      <c r="C115" s="93">
        <f t="shared" si="10"/>
        <v>31.656800788317661</v>
      </c>
      <c r="D115" s="91">
        <f t="shared" si="11"/>
        <v>0.71384419675805566</v>
      </c>
      <c r="E115" s="94">
        <f>visualmagnitude($B$2,astrodaysfromdt(A115))</f>
        <v>-4.1299996553727789</v>
      </c>
      <c r="F115" s="94">
        <f>apparentsize($B$2, astrodaysfromdt(A115))</f>
        <v>16.432403060157583</v>
      </c>
    </row>
    <row r="116" spans="1:6">
      <c r="A116" s="2">
        <f t="shared" si="12"/>
        <v>43878</v>
      </c>
      <c r="B116" s="91">
        <f t="shared" si="9"/>
        <v>0.62397681488817613</v>
      </c>
      <c r="C116" s="93">
        <f t="shared" si="10"/>
        <v>33.775391323542181</v>
      </c>
      <c r="D116" s="91">
        <f t="shared" si="11"/>
        <v>0.72283311448708309</v>
      </c>
      <c r="E116" s="94">
        <f>visualmagnitude($B$2,astrodaysfromdt(A116))</f>
        <v>-4.1955617268077017</v>
      </c>
      <c r="F116" s="94">
        <f>apparentsize($B$2, astrodaysfromdt(A116))</f>
        <v>17.238062683543369</v>
      </c>
    </row>
    <row r="117" spans="1:6">
      <c r="A117" s="2">
        <f t="shared" si="12"/>
        <v>43885</v>
      </c>
      <c r="B117" s="91">
        <f t="shared" si="9"/>
        <v>0.62489105437558157</v>
      </c>
      <c r="C117" s="93">
        <f t="shared" si="10"/>
        <v>35.632428310215467</v>
      </c>
      <c r="D117" s="91">
        <f t="shared" si="11"/>
        <v>0.73172305304515117</v>
      </c>
      <c r="E117" s="94">
        <f>visualmagnitude($B$2,astrodaysfromdt(A117))</f>
        <v>-4.2671282772118717</v>
      </c>
      <c r="F117" s="94">
        <f>apparentsize($B$2, astrodaysfromdt(A117))</f>
        <v>18.152067991541283</v>
      </c>
    </row>
    <row r="118" spans="1:6">
      <c r="A118" s="2">
        <f t="shared" si="12"/>
        <v>43892</v>
      </c>
      <c r="B118" s="91">
        <f t="shared" si="9"/>
        <v>0.62568832893119508</v>
      </c>
      <c r="C118" s="93">
        <f t="shared" si="10"/>
        <v>37.194851834968865</v>
      </c>
      <c r="D118" s="91">
        <f t="shared" si="11"/>
        <v>0.7404642428779078</v>
      </c>
      <c r="E118" s="94">
        <f>visualmagnitude($B$2,astrodaysfromdt(A118))</f>
        <v>-4.3451996009665841</v>
      </c>
      <c r="F118" s="94">
        <f>apparentsize($B$2, astrodaysfromdt(A118))</f>
        <v>19.195012577698851</v>
      </c>
    </row>
    <row r="119" spans="1:6">
      <c r="A119" s="2">
        <f t="shared" si="12"/>
        <v>43899</v>
      </c>
      <c r="B119" s="91">
        <f t="shared" si="9"/>
        <v>0.62640403877198503</v>
      </c>
      <c r="C119" s="93">
        <f t="shared" si="10"/>
        <v>38.43036839692936</v>
      </c>
      <c r="D119" s="91">
        <f t="shared" si="11"/>
        <v>0.74904695776514896</v>
      </c>
      <c r="E119" s="94">
        <f>visualmagnitude($B$2,astrodaysfromdt(A119))</f>
        <v>-4.4303228130936176</v>
      </c>
      <c r="F119" s="94">
        <f>apparentsize($B$2, astrodaysfromdt(A119))</f>
        <v>20.39248386932022</v>
      </c>
    </row>
    <row r="120" spans="1:6">
      <c r="A120" s="2">
        <f t="shared" si="12"/>
        <v>43906</v>
      </c>
      <c r="B120" s="91">
        <f t="shared" si="9"/>
        <v>0.62701737569237659</v>
      </c>
      <c r="C120" s="93">
        <f t="shared" si="10"/>
        <v>39.309051161393853</v>
      </c>
      <c r="D120" s="91">
        <f t="shared" si="11"/>
        <v>0.75748926042036546</v>
      </c>
      <c r="E120" s="94">
        <f>visualmagnitude($B$2,astrodaysfromdt(A120))</f>
        <v>-4.5230671332257515</v>
      </c>
      <c r="F120" s="94">
        <f>apparentsize($B$2, astrodaysfromdt(A120))</f>
        <v>21.776437850869002</v>
      </c>
    </row>
    <row r="121" spans="1:6">
      <c r="A121" s="2">
        <f t="shared" si="12"/>
        <v>43913</v>
      </c>
      <c r="B121" s="91">
        <f t="shared" si="9"/>
        <v>0.6274327471589719</v>
      </c>
      <c r="C121" s="93">
        <f t="shared" si="10"/>
        <v>39.787306327169496</v>
      </c>
      <c r="D121" s="91">
        <f t="shared" si="11"/>
        <v>0.76582554107433742</v>
      </c>
      <c r="E121" s="94">
        <f>visualmagnitude($B$2,astrodaysfromdt(A121))</f>
        <v>-4.6239752410766624</v>
      </c>
      <c r="F121" s="94">
        <f>apparentsize($B$2, astrodaysfromdt(A121))</f>
        <v>23.386913378628297</v>
      </c>
    </row>
    <row r="122" spans="1:6">
      <c r="A122" s="2">
        <f t="shared" si="12"/>
        <v>43920</v>
      </c>
      <c r="B122" s="91">
        <f t="shared" si="9"/>
        <v>0.62745861046328455</v>
      </c>
      <c r="C122" s="93">
        <f t="shared" si="10"/>
        <v>39.809674044922261</v>
      </c>
      <c r="D122" s="91">
        <f t="shared" si="11"/>
        <v>0.77409598867465901</v>
      </c>
      <c r="E122" s="94">
        <f>visualmagnitude($B$2,astrodaysfromdt(A122))</f>
        <v>-4.7334724963653176</v>
      </c>
      <c r="F122" s="94">
        <f>apparentsize($B$2, astrodaysfromdt(A122))</f>
        <v>25.274041392501374</v>
      </c>
    </row>
    <row r="123" spans="1:6">
      <c r="A123" s="2">
        <f t="shared" si="12"/>
        <v>43927</v>
      </c>
      <c r="B123" s="91">
        <f t="shared" si="9"/>
        <v>0.62678458689291039</v>
      </c>
      <c r="C123" s="93">
        <f t="shared" si="10"/>
        <v>39.307675637334931</v>
      </c>
      <c r="D123" s="91">
        <f t="shared" si="11"/>
        <v>0.78233674332209324</v>
      </c>
      <c r="E123" s="94">
        <f>visualmagnitude($B$2,astrodaysfromdt(A123))</f>
        <v>-4.8517011123729477</v>
      </c>
      <c r="F123" s="94">
        <f>apparentsize($B$2, astrodaysfromdt(A123))</f>
        <v>27.500058407569611</v>
      </c>
    </row>
    <row r="124" spans="1:6">
      <c r="A124" s="2">
        <f t="shared" si="12"/>
        <v>43934</v>
      </c>
      <c r="B124" s="91">
        <f t="shared" si="9"/>
        <v>0.62495787236171385</v>
      </c>
      <c r="C124" s="93">
        <f t="shared" si="10"/>
        <v>38.188917090579693</v>
      </c>
      <c r="D124" s="91">
        <f t="shared" si="11"/>
        <v>0.79057034777447155</v>
      </c>
      <c r="E124" s="94">
        <f>visualmagnitude($B$2,astrodaysfromdt(A124))</f>
        <v>-4.9782197811204982</v>
      </c>
      <c r="F124" s="94">
        <f>apparentsize($B$2, astrodaysfromdt(A124))</f>
        <v>30.140382698850217</v>
      </c>
    </row>
    <row r="125" spans="1:6">
      <c r="A125" s="2">
        <f t="shared" si="12"/>
        <v>43941</v>
      </c>
      <c r="B125" s="91">
        <f t="shared" si="9"/>
        <v>0.62135992776519566</v>
      </c>
      <c r="C125" s="93">
        <f t="shared" si="10"/>
        <v>36.333662080099515</v>
      </c>
      <c r="D125" s="91">
        <f t="shared" si="11"/>
        <v>0.79879619418566816</v>
      </c>
      <c r="E125" s="94">
        <f>visualmagnitude($B$2,astrodaysfromdt(A125))</f>
        <v>-5.1114631436746851</v>
      </c>
      <c r="F125" s="94">
        <f>apparentsize($B$2, astrodaysfromdt(A125))</f>
        <v>33.281200313744257</v>
      </c>
    </row>
    <row r="126" spans="1:6">
      <c r="A126" s="2">
        <f t="shared" si="12"/>
        <v>43948</v>
      </c>
      <c r="B126" s="91">
        <f t="shared" si="9"/>
        <v>0.61518653106586862</v>
      </c>
      <c r="C126" s="93">
        <f t="shared" si="10"/>
        <v>33.60019602857642</v>
      </c>
      <c r="D126" s="91">
        <f t="shared" si="11"/>
        <v>0.80698093192770892</v>
      </c>
      <c r="E126" s="94">
        <f>visualmagnitude($B$2,astrodaysfromdt(A126))</f>
        <v>-5.2477841504755673</v>
      </c>
      <c r="F126" s="94">
        <f>apparentsize($B$2, astrodaysfromdt(A126))</f>
        <v>37.00726967458418</v>
      </c>
    </row>
    <row r="127" spans="1:6">
      <c r="A127" s="2">
        <f t="shared" si="12"/>
        <v>43955</v>
      </c>
      <c r="B127" s="91">
        <f t="shared" si="9"/>
        <v>0.60544580201965348</v>
      </c>
      <c r="C127" s="93">
        <f t="shared" si="10"/>
        <v>29.816472215706806</v>
      </c>
      <c r="D127" s="91">
        <f t="shared" si="11"/>
        <v>0.81504928808759447</v>
      </c>
      <c r="E127" s="94">
        <f>visualmagnitude($B$2,astrodaysfromdt(A127))</f>
        <v>-5.379827587603744</v>
      </c>
      <c r="F127" s="94">
        <f>apparentsize($B$2, astrodaysfromdt(A127))</f>
        <v>41.365908419627317</v>
      </c>
    </row>
    <row r="128" spans="1:6">
      <c r="A128" s="2">
        <f t="shared" si="12"/>
        <v>43962</v>
      </c>
      <c r="B128" s="91">
        <f t="shared" si="9"/>
        <v>0.59102502935777801</v>
      </c>
      <c r="C128" s="93">
        <f t="shared" si="10"/>
        <v>24.80193152104097</v>
      </c>
      <c r="D128" s="91">
        <f t="shared" si="11"/>
        <v>0.82287647466650993</v>
      </c>
      <c r="E128" s="94">
        <f>visualmagnitude($B$2,astrodaysfromdt(A128))</f>
        <v>-5.4940512138471913</v>
      </c>
      <c r="F128" s="94">
        <f>apparentsize($B$2, astrodaysfromdt(A128))</f>
        <v>46.28113140186251</v>
      </c>
    </row>
    <row r="129" spans="1:6">
      <c r="A129" s="2">
        <f t="shared" si="12"/>
        <v>43969</v>
      </c>
      <c r="B129" s="91">
        <f t="shared" si="9"/>
        <v>0.57095126126414197</v>
      </c>
      <c r="C129" s="93">
        <f t="shared" si="10"/>
        <v>18.442775681484701</v>
      </c>
      <c r="D129" s="91">
        <f t="shared" si="11"/>
        <v>0.83028426831856839</v>
      </c>
      <c r="E129" s="94">
        <f>visualmagnitude($B$2,astrodaysfromdt(A129))</f>
        <v>-5.5679404861258721</v>
      </c>
      <c r="F129" s="94">
        <f>apparentsize($B$2, astrodaysfromdt(A129))</f>
        <v>51.390532001758686</v>
      </c>
    </row>
    <row r="130" spans="1:6">
      <c r="A130" s="2">
        <f t="shared" si="12"/>
        <v>43976</v>
      </c>
      <c r="B130" s="91">
        <f t="shared" si="9"/>
        <v>0.54501809101800081</v>
      </c>
      <c r="C130" s="93">
        <f t="shared" si="10"/>
        <v>10.853115737587034</v>
      </c>
      <c r="D130" s="91">
        <f t="shared" si="11"/>
        <v>0.83704370995419597</v>
      </c>
      <c r="E130" s="94">
        <f>visualmagnitude($B$2,astrodaysfromdt(A130))</f>
        <v>-5.569866895262594</v>
      </c>
      <c r="F130" s="94">
        <f>apparentsize($B$2, astrodaysfromdt(A130))</f>
        <v>55.851845925009258</v>
      </c>
    </row>
    <row r="131" spans="1:6">
      <c r="A131" s="2">
        <f t="shared" si="12"/>
        <v>43983</v>
      </c>
      <c r="B131" s="91">
        <f t="shared" si="9"/>
        <v>0.5146664105527492</v>
      </c>
      <c r="C131" s="93">
        <f t="shared" si="10"/>
        <v>0</v>
      </c>
      <c r="D131" s="91">
        <f t="shared" si="11"/>
        <v>0</v>
      </c>
      <c r="E131" s="94">
        <f>visualmagnitude($B$2,astrodaysfromdt(A131))</f>
        <v>-5.468108733352917</v>
      </c>
      <c r="F131" s="94">
        <f>apparentsize($B$2, astrodaysfromdt(A131))</f>
        <v>58.402515046803295</v>
      </c>
    </row>
    <row r="132" spans="1:6">
      <c r="A132" s="2">
        <f t="shared" si="12"/>
        <v>43990</v>
      </c>
      <c r="B132" s="91">
        <f t="shared" si="9"/>
        <v>0.4831824315742777</v>
      </c>
      <c r="C132" s="93">
        <f t="shared" si="10"/>
        <v>0</v>
      </c>
      <c r="D132" s="91">
        <f t="shared" si="11"/>
        <v>0</v>
      </c>
      <c r="E132" s="94">
        <f>visualmagnitude($B$2,astrodaysfromdt(A132))</f>
        <v>-5.4938285754445992</v>
      </c>
      <c r="F132" s="94">
        <f>apparentsize($B$2, astrodaysfromdt(A132))</f>
        <v>58.052283312186191</v>
      </c>
    </row>
    <row r="133" spans="1:6">
      <c r="A133" s="2">
        <f t="shared" si="12"/>
        <v>43997</v>
      </c>
      <c r="B133" s="91">
        <f t="shared" si="9"/>
        <v>0.45428346721003882</v>
      </c>
      <c r="C133" s="93">
        <f t="shared" si="10"/>
        <v>5.6510070902614471</v>
      </c>
      <c r="D133" s="91">
        <f t="shared" si="11"/>
        <v>0.15738867767970302</v>
      </c>
      <c r="E133" s="94">
        <f>visualmagnitude($B$2,astrodaysfromdt(A133))</f>
        <v>-5.5646634766064453</v>
      </c>
      <c r="F133" s="94">
        <f>apparentsize($B$2, astrodaysfromdt(A133))</f>
        <v>54.949607960547297</v>
      </c>
    </row>
    <row r="134" spans="1:6">
      <c r="A134" s="2">
        <f t="shared" ref="A134:A148" si="13">DATE(YEAR(A133), IF(unt="m",intvl,0)+MONTH(A133), IF(unt="m", 0,intvl)+DAY(A133))</f>
        <v>44004</v>
      </c>
      <c r="B134" s="91">
        <f t="shared" ref="B134:B148" si="14">TimeofTransit(B$2,$A134,$B$1, $C$1)/24</f>
        <v>0.43027145795233013</v>
      </c>
      <c r="C134" s="93">
        <f t="shared" ref="C134:C148" si="15">isvisible(B$2,A134,$B$1,$C$1,$C$2,"a")</f>
        <v>9.5349835438722295</v>
      </c>
      <c r="D134" s="91">
        <f t="shared" ref="D134:D148" si="16">isvisible(B$2,A134,$B$1,$C$1,$C$2,"t")/24</f>
        <v>0.15797278455054506</v>
      </c>
      <c r="E134" s="94">
        <f>visualmagnitude($B$2,astrodaysfromdt(A134))</f>
        <v>-5.5380957548341083</v>
      </c>
      <c r="F134" s="94">
        <f>apparentsize($B$2, astrodaysfromdt(A134))</f>
        <v>50.236539989549719</v>
      </c>
    </row>
    <row r="135" spans="1:6">
      <c r="A135" s="2">
        <f t="shared" si="13"/>
        <v>44011</v>
      </c>
      <c r="B135" s="91">
        <f t="shared" si="14"/>
        <v>0.41163191815532746</v>
      </c>
      <c r="C135" s="93">
        <f t="shared" si="15"/>
        <v>13.4328025448741</v>
      </c>
      <c r="D135" s="91">
        <f t="shared" si="16"/>
        <v>0.16025363872174889</v>
      </c>
      <c r="E135" s="94">
        <f>visualmagnitude($B$2,astrodaysfromdt(A135))</f>
        <v>-5.4474997222216777</v>
      </c>
      <c r="F135" s="94">
        <f>apparentsize($B$2, astrodaysfromdt(A135))</f>
        <v>45.113888029249061</v>
      </c>
    </row>
    <row r="136" spans="1:6">
      <c r="A136" s="2">
        <f t="shared" si="13"/>
        <v>44018</v>
      </c>
      <c r="B136" s="91">
        <f t="shared" si="14"/>
        <v>0.39779839377142318</v>
      </c>
      <c r="C136" s="93">
        <f t="shared" si="15"/>
        <v>17.203178083998214</v>
      </c>
      <c r="D136" s="91">
        <f t="shared" si="16"/>
        <v>0.16406510862068946</v>
      </c>
      <c r="E136" s="94">
        <f>visualmagnitude($B$2,astrodaysfromdt(A136))</f>
        <v>-5.3228806757947771</v>
      </c>
      <c r="F136" s="94">
        <f>apparentsize($B$2, astrodaysfromdt(A136))</f>
        <v>40.302034323938202</v>
      </c>
    </row>
    <row r="137" spans="1:6">
      <c r="A137" s="2">
        <f t="shared" si="13"/>
        <v>44025</v>
      </c>
      <c r="B137" s="91">
        <f t="shared" si="14"/>
        <v>0.38791055981186484</v>
      </c>
      <c r="C137" s="93">
        <f t="shared" si="15"/>
        <v>20.770883889846871</v>
      </c>
      <c r="D137" s="91">
        <f t="shared" si="16"/>
        <v>0.16916880295181583</v>
      </c>
      <c r="E137" s="94">
        <f>visualmagnitude($B$2,astrodaysfromdt(A137))</f>
        <v>-5.1846310561234121</v>
      </c>
      <c r="F137" s="94">
        <f>apparentsize($B$2, astrodaysfromdt(A137))</f>
        <v>36.07938091568878</v>
      </c>
    </row>
    <row r="138" spans="1:6">
      <c r="A138" s="2">
        <f t="shared" si="13"/>
        <v>44032</v>
      </c>
      <c r="B138" s="91">
        <f t="shared" si="14"/>
        <v>0.38117399322938322</v>
      </c>
      <c r="C138" s="93">
        <f t="shared" si="15"/>
        <v>24.073060836644515</v>
      </c>
      <c r="D138" s="91">
        <f t="shared" si="16"/>
        <v>0.17528945119977632</v>
      </c>
      <c r="E138" s="94">
        <f>visualmagnitude($B$2,astrodaysfromdt(A138))</f>
        <v>-5.0447416246929233</v>
      </c>
      <c r="F138" s="94">
        <f>apparentsize($B$2, astrodaysfromdt(A138))</f>
        <v>32.482554621351575</v>
      </c>
    </row>
    <row r="139" spans="1:6">
      <c r="A139" s="2">
        <f t="shared" si="13"/>
        <v>44039</v>
      </c>
      <c r="B139" s="91">
        <f t="shared" si="14"/>
        <v>0.3769511163730232</v>
      </c>
      <c r="C139" s="93">
        <f t="shared" si="15"/>
        <v>27.04839212616271</v>
      </c>
      <c r="D139" s="91">
        <f t="shared" si="16"/>
        <v>0.18215156899542487</v>
      </c>
      <c r="E139" s="94">
        <f>visualmagnitude($B$2,astrodaysfromdt(A139))</f>
        <v>-4.9096491512477067</v>
      </c>
      <c r="F139" s="94">
        <f>apparentsize($B$2, astrodaysfromdt(A139))</f>
        <v>29.450848867826014</v>
      </c>
    </row>
    <row r="140" spans="1:6">
      <c r="A140" s="2">
        <f t="shared" si="13"/>
        <v>44046</v>
      </c>
      <c r="B140" s="91">
        <f t="shared" si="14"/>
        <v>0.37474479985168102</v>
      </c>
      <c r="C140" s="93">
        <f t="shared" si="15"/>
        <v>29.641913162196278</v>
      </c>
      <c r="D140" s="91">
        <f t="shared" si="16"/>
        <v>0.18950845632586341</v>
      </c>
      <c r="E140" s="94">
        <f>visualmagnitude($B$2,astrodaysfromdt(A140))</f>
        <v>-4.7825164391577317</v>
      </c>
      <c r="F140" s="94">
        <f>apparentsize($B$2, astrodaysfromdt(A140))</f>
        <v>26.897681772324031</v>
      </c>
    </row>
    <row r="141" spans="1:6">
      <c r="A141" s="2">
        <f t="shared" si="13"/>
        <v>44053</v>
      </c>
      <c r="B141" s="91">
        <f t="shared" si="14"/>
        <v>0.37415639479117763</v>
      </c>
      <c r="C141" s="93">
        <f t="shared" si="15"/>
        <v>31.808015089960811</v>
      </c>
      <c r="D141" s="91">
        <f t="shared" si="16"/>
        <v>0.19715969110699352</v>
      </c>
      <c r="E141" s="94">
        <f>visualmagnitude($B$2,astrodaysfromdt(A141))</f>
        <v>-4.6646755319844697</v>
      </c>
      <c r="F141" s="94">
        <f>apparentsize($B$2, astrodaysfromdt(A141))</f>
        <v>24.739276797603978</v>
      </c>
    </row>
    <row r="142" spans="1:6">
      <c r="A142" s="2">
        <f t="shared" si="13"/>
        <v>44060</v>
      </c>
      <c r="B142" s="91">
        <f t="shared" si="14"/>
        <v>0.37484833138532042</v>
      </c>
      <c r="C142" s="93">
        <f t="shared" si="15"/>
        <v>33.519176294258898</v>
      </c>
      <c r="D142" s="91">
        <f t="shared" si="16"/>
        <v>0.20495775660348925</v>
      </c>
      <c r="E142" s="94">
        <f>visualmagnitude($B$2,astrodaysfromdt(A142))</f>
        <v>-4.5564644034241484</v>
      </c>
      <c r="F142" s="94">
        <f>apparentsize($B$2, astrodaysfromdt(A142))</f>
        <v>22.90372469644538</v>
      </c>
    </row>
    <row r="143" spans="1:6">
      <c r="A143" s="2">
        <f t="shared" si="13"/>
        <v>44067</v>
      </c>
      <c r="B143" s="91">
        <f t="shared" si="14"/>
        <v>0.3765197673992402</v>
      </c>
      <c r="C143" s="93">
        <f t="shared" si="15"/>
        <v>34.770640777401475</v>
      </c>
      <c r="D143" s="91">
        <f t="shared" si="16"/>
        <v>0.2128066849906278</v>
      </c>
      <c r="E143" s="94">
        <f>visualmagnitude($B$2,astrodaysfromdt(A143))</f>
        <v>-4.4576956022163845</v>
      </c>
      <c r="F143" s="94">
        <f>apparentsize($B$2, astrodaysfromdt(A143))</f>
        <v>21.332219863455169</v>
      </c>
    </row>
    <row r="144" spans="1:6">
      <c r="A144" s="2">
        <f t="shared" si="13"/>
        <v>44074</v>
      </c>
      <c r="B144" s="91">
        <f t="shared" si="14"/>
        <v>0.37889585384585511</v>
      </c>
      <c r="C144" s="93">
        <f t="shared" si="15"/>
        <v>35.572955852781227</v>
      </c>
      <c r="D144" s="91">
        <f t="shared" si="16"/>
        <v>0.22065591048133901</v>
      </c>
      <c r="E144" s="94">
        <f>visualmagnitude($B$2,astrodaysfromdt(A144))</f>
        <v>-4.3679155756860162</v>
      </c>
      <c r="F144" s="94">
        <f>apparentsize($B$2, astrodaysfromdt(A144))</f>
        <v>19.977619687268639</v>
      </c>
    </row>
    <row r="145" spans="1:6">
      <c r="A145" s="2">
        <f t="shared" si="13"/>
        <v>44081</v>
      </c>
      <c r="B145" s="91">
        <f t="shared" si="14"/>
        <v>0.38172798636386457</v>
      </c>
      <c r="C145" s="93">
        <f t="shared" si="15"/>
        <v>35.945448610027192</v>
      </c>
      <c r="D145" s="91">
        <f t="shared" si="16"/>
        <v>0.22849183913960058</v>
      </c>
      <c r="E145" s="94">
        <f>visualmagnitude($B$2,astrodaysfromdt(A145))</f>
        <v>-4.2865476814641079</v>
      </c>
      <c r="F145" s="94">
        <f>apparentsize($B$2, astrodaysfromdt(A145))</f>
        <v>18.802375513744938</v>
      </c>
    </row>
    <row r="146" spans="1:6">
      <c r="A146" s="2">
        <f t="shared" si="13"/>
        <v>44088</v>
      </c>
      <c r="B146" s="91">
        <f t="shared" si="14"/>
        <v>0.38480082539139143</v>
      </c>
      <c r="C146" s="93">
        <f t="shared" si="15"/>
        <v>35.923465987488939</v>
      </c>
      <c r="D146" s="91">
        <f t="shared" si="16"/>
        <v>0.23632870425076469</v>
      </c>
      <c r="E146" s="94">
        <f>visualmagnitude($B$2,astrodaysfromdt(A146))</f>
        <v>-4.2129709753046916</v>
      </c>
      <c r="F146" s="94">
        <f>apparentsize($B$2, astrodaysfromdt(A146))</f>
        <v>17.776570056870266</v>
      </c>
    </row>
    <row r="147" spans="1:6">
      <c r="A147" s="2">
        <f t="shared" si="13"/>
        <v>44095</v>
      </c>
      <c r="B147" s="91">
        <f t="shared" si="14"/>
        <v>0.38794140151257278</v>
      </c>
      <c r="C147" s="93">
        <f t="shared" si="15"/>
        <v>35.545224034596053</v>
      </c>
      <c r="D147" s="91">
        <f t="shared" si="16"/>
        <v>0.24419945833839726</v>
      </c>
      <c r="E147" s="94">
        <f>visualmagnitude($B$2,astrodaysfromdt(A147))</f>
        <v>-4.1465635338517854</v>
      </c>
      <c r="F147" s="94">
        <f>apparentsize($B$2, astrodaysfromdt(A147))</f>
        <v>16.876272454622796</v>
      </c>
    </row>
    <row r="148" spans="1:6">
      <c r="A148" s="2">
        <f t="shared" si="13"/>
        <v>44102</v>
      </c>
      <c r="B148" s="91">
        <f t="shared" si="14"/>
        <v>0.39102635335723029</v>
      </c>
      <c r="C148" s="93">
        <f t="shared" si="15"/>
        <v>34.846955551321699</v>
      </c>
      <c r="D148" s="91">
        <f t="shared" si="16"/>
        <v>0.25214686631824468</v>
      </c>
      <c r="E148" s="94">
        <f>visualmagnitude($B$2,astrodaysfromdt(A148))</f>
        <v>-4.0867261707265623</v>
      </c>
      <c r="F148" s="94">
        <f>apparentsize($B$2, astrodaysfromdt(A148))</f>
        <v>16.082228105060306</v>
      </c>
    </row>
    <row r="149" spans="1:6">
      <c r="A149" s="2"/>
      <c r="B149" s="91"/>
      <c r="C149" s="93"/>
    </row>
    <row r="150" spans="1:6">
      <c r="A150" s="2"/>
      <c r="B150" s="91"/>
      <c r="C150" s="93"/>
    </row>
    <row r="151" spans="1:6">
      <c r="A151" s="2"/>
      <c r="B151" s="91"/>
      <c r="C151" s="93"/>
    </row>
    <row r="152" spans="1:6">
      <c r="A152" s="2"/>
      <c r="B152" s="91"/>
      <c r="C152" s="93"/>
    </row>
    <row r="153" spans="1:6">
      <c r="A153" s="2"/>
      <c r="B153" s="91"/>
      <c r="C153" s="93"/>
    </row>
    <row r="154" spans="1:6">
      <c r="A154" s="2"/>
      <c r="B154" s="21"/>
    </row>
    <row r="155" spans="1:6">
      <c r="A155" s="2"/>
      <c r="B155" s="21"/>
    </row>
    <row r="156" spans="1:6">
      <c r="A156" s="2"/>
      <c r="B156" s="21"/>
    </row>
    <row r="157" spans="1:6">
      <c r="A157" s="2"/>
      <c r="B157" s="21"/>
    </row>
    <row r="158" spans="1:6">
      <c r="A158" s="2"/>
      <c r="B158" s="21"/>
    </row>
    <row r="159" spans="1:6">
      <c r="A159" s="2"/>
      <c r="B159" s="21"/>
    </row>
    <row r="160" spans="1:6">
      <c r="A160" s="2"/>
      <c r="B160" s="21"/>
    </row>
    <row r="161" spans="1:2">
      <c r="A161" s="2"/>
      <c r="B161" s="21"/>
    </row>
    <row r="162" spans="1:2">
      <c r="A162" s="2"/>
      <c r="B162" s="21"/>
    </row>
    <row r="163" spans="1:2">
      <c r="A163" s="2"/>
      <c r="B163" s="21"/>
    </row>
    <row r="164" spans="1:2">
      <c r="A164" s="2"/>
      <c r="B164" s="21"/>
    </row>
    <row r="165" spans="1:2">
      <c r="A165" s="2"/>
      <c r="B165" s="21"/>
    </row>
    <row r="166" spans="1:2">
      <c r="A166" s="2"/>
      <c r="B166" s="21"/>
    </row>
    <row r="167" spans="1:2">
      <c r="A167" s="2"/>
      <c r="B167" s="21"/>
    </row>
    <row r="168" spans="1:2">
      <c r="A168" s="2"/>
      <c r="B168" s="21"/>
    </row>
    <row r="169" spans="1:2">
      <c r="A169" s="2"/>
      <c r="B169" s="21"/>
    </row>
    <row r="170" spans="1:2">
      <c r="A170" s="2"/>
      <c r="B170" s="21"/>
    </row>
    <row r="171" spans="1:2">
      <c r="A171" s="2"/>
      <c r="B171" s="21"/>
    </row>
    <row r="172" spans="1:2">
      <c r="A172" s="2"/>
      <c r="B172" s="21"/>
    </row>
    <row r="173" spans="1:2">
      <c r="A173" s="2"/>
      <c r="B173" s="21"/>
    </row>
    <row r="174" spans="1:2">
      <c r="A174" s="2"/>
      <c r="B174" s="21"/>
    </row>
    <row r="175" spans="1:2">
      <c r="A175" s="2"/>
      <c r="B175" s="21"/>
    </row>
    <row r="176" spans="1:2">
      <c r="A176" s="2"/>
      <c r="B176" s="21"/>
    </row>
    <row r="177" spans="1:2">
      <c r="A177" s="2"/>
      <c r="B177" s="21"/>
    </row>
    <row r="178" spans="1:2">
      <c r="A178" s="2"/>
      <c r="B178" s="21"/>
    </row>
    <row r="179" spans="1:2">
      <c r="A179" s="2"/>
      <c r="B179" s="21"/>
    </row>
    <row r="180" spans="1:2">
      <c r="A180" s="2"/>
      <c r="B180" s="21"/>
    </row>
    <row r="181" spans="1:2">
      <c r="A181" s="2"/>
      <c r="B181" s="21"/>
    </row>
    <row r="182" spans="1:2">
      <c r="A182" s="2"/>
      <c r="B182" s="21"/>
    </row>
    <row r="183" spans="1:2">
      <c r="A183" s="2"/>
      <c r="B183" s="21"/>
    </row>
    <row r="184" spans="1:2">
      <c r="A184" s="2"/>
      <c r="B184" s="21"/>
    </row>
    <row r="185" spans="1:2">
      <c r="A185" s="2"/>
      <c r="B185" s="21"/>
    </row>
    <row r="186" spans="1:2">
      <c r="A186" s="2"/>
      <c r="B186" s="21"/>
    </row>
    <row r="187" spans="1:2">
      <c r="A187" s="2"/>
      <c r="B187" s="21"/>
    </row>
    <row r="188" spans="1:2">
      <c r="A188" s="2"/>
      <c r="B188" s="21"/>
    </row>
    <row r="189" spans="1:2">
      <c r="A189" s="2"/>
      <c r="B189" s="21"/>
    </row>
    <row r="190" spans="1:2">
      <c r="A190" s="2"/>
      <c r="B190" s="21"/>
    </row>
    <row r="191" spans="1:2">
      <c r="A191" s="2"/>
      <c r="B191" s="21"/>
    </row>
    <row r="192" spans="1:2">
      <c r="A192" s="2"/>
      <c r="B192" s="21"/>
    </row>
    <row r="193" spans="1:2">
      <c r="A193" s="2"/>
      <c r="B193" s="21"/>
    </row>
    <row r="194" spans="1:2">
      <c r="A194" s="2"/>
      <c r="B194" s="21"/>
    </row>
    <row r="195" spans="1:2">
      <c r="A195" s="2"/>
      <c r="B195" s="21"/>
    </row>
    <row r="196" spans="1:2">
      <c r="A196" s="2"/>
      <c r="B196" s="21"/>
    </row>
    <row r="197" spans="1:2">
      <c r="A197" s="2"/>
      <c r="B197" s="21"/>
    </row>
    <row r="198" spans="1:2">
      <c r="A198" s="2"/>
      <c r="B198" s="21"/>
    </row>
    <row r="199" spans="1:2">
      <c r="A199" s="2"/>
      <c r="B199" s="21"/>
    </row>
    <row r="200" spans="1:2">
      <c r="A200" s="2"/>
      <c r="B200" s="21"/>
    </row>
    <row r="201" spans="1:2">
      <c r="A201" s="2"/>
      <c r="B201" s="21"/>
    </row>
    <row r="202" spans="1:2">
      <c r="A202" s="2"/>
      <c r="B202" s="21"/>
    </row>
    <row r="203" spans="1:2">
      <c r="A203" s="2"/>
      <c r="B203" s="21"/>
    </row>
    <row r="204" spans="1:2">
      <c r="A204" s="2"/>
      <c r="B204" s="21"/>
    </row>
    <row r="205" spans="1:2">
      <c r="A205" s="2"/>
      <c r="B205" s="21"/>
    </row>
    <row r="206" spans="1:2">
      <c r="A206" s="2"/>
      <c r="B206" s="21"/>
    </row>
    <row r="207" spans="1:2">
      <c r="A207" s="2"/>
      <c r="B207" s="21"/>
    </row>
    <row r="208" spans="1:2">
      <c r="A208" s="2"/>
      <c r="B208" s="21"/>
    </row>
    <row r="209" spans="1:2">
      <c r="A209" s="2"/>
      <c r="B209" s="21"/>
    </row>
    <row r="210" spans="1:2">
      <c r="A210" s="2"/>
      <c r="B210" s="21"/>
    </row>
    <row r="211" spans="1:2">
      <c r="A211" s="2"/>
      <c r="B211" s="21"/>
    </row>
    <row r="212" spans="1:2">
      <c r="A212" s="2"/>
      <c r="B212" s="21"/>
    </row>
    <row r="213" spans="1:2">
      <c r="A213" s="2"/>
      <c r="B213" s="21"/>
    </row>
    <row r="214" spans="1:2">
      <c r="A214" s="2"/>
      <c r="B214" s="21"/>
    </row>
    <row r="215" spans="1:2">
      <c r="A215" s="2"/>
      <c r="B215" s="21"/>
    </row>
    <row r="216" spans="1:2">
      <c r="A216" s="2"/>
      <c r="B216" s="21"/>
    </row>
    <row r="217" spans="1:2">
      <c r="A217" s="2"/>
      <c r="B217" s="21"/>
    </row>
    <row r="218" spans="1:2">
      <c r="A218" s="2"/>
      <c r="B218" s="21"/>
    </row>
    <row r="219" spans="1:2">
      <c r="A219" s="2"/>
      <c r="B219" s="21"/>
    </row>
    <row r="220" spans="1:2">
      <c r="A220" s="2"/>
      <c r="B220" s="21"/>
    </row>
    <row r="221" spans="1:2">
      <c r="A221" s="2"/>
      <c r="B221" s="21"/>
    </row>
    <row r="222" spans="1:2">
      <c r="A222" s="2"/>
      <c r="B222" s="21"/>
    </row>
    <row r="223" spans="1:2">
      <c r="A223" s="2"/>
      <c r="B223" s="21"/>
    </row>
    <row r="224" spans="1:2">
      <c r="A224" s="2"/>
      <c r="B224" s="21"/>
    </row>
    <row r="225" spans="1:2">
      <c r="A225" s="2"/>
      <c r="B225" s="21"/>
    </row>
    <row r="226" spans="1:2">
      <c r="A226" s="2"/>
      <c r="B226" s="21"/>
    </row>
    <row r="227" spans="1:2">
      <c r="A227" s="2"/>
      <c r="B227" s="21"/>
    </row>
    <row r="228" spans="1:2">
      <c r="A228" s="2"/>
      <c r="B228" s="21"/>
    </row>
    <row r="229" spans="1:2">
      <c r="A229" s="2"/>
      <c r="B229" s="21"/>
    </row>
    <row r="230" spans="1:2">
      <c r="A230" s="2"/>
      <c r="B230" s="21"/>
    </row>
    <row r="231" spans="1:2">
      <c r="A231" s="2"/>
      <c r="B231" s="21"/>
    </row>
    <row r="232" spans="1:2">
      <c r="A232" s="2"/>
      <c r="B232" s="21"/>
    </row>
    <row r="233" spans="1:2">
      <c r="A233" s="2"/>
      <c r="B233" s="21"/>
    </row>
    <row r="234" spans="1:2">
      <c r="A234" s="2"/>
      <c r="B234" s="21"/>
    </row>
    <row r="235" spans="1:2">
      <c r="A235" s="2"/>
      <c r="B235" s="21"/>
    </row>
    <row r="236" spans="1:2">
      <c r="A236" s="2"/>
      <c r="B236" s="21"/>
    </row>
    <row r="237" spans="1:2">
      <c r="A237" s="2"/>
      <c r="B237" s="21"/>
    </row>
    <row r="238" spans="1:2">
      <c r="A238" s="2"/>
      <c r="B238" s="21"/>
    </row>
    <row r="239" spans="1:2">
      <c r="A239" s="2"/>
      <c r="B239" s="21"/>
    </row>
    <row r="240" spans="1:2">
      <c r="A240" s="2"/>
      <c r="B240" s="21"/>
    </row>
    <row r="241" spans="1:2">
      <c r="A241" s="2"/>
      <c r="B241" s="21"/>
    </row>
    <row r="242" spans="1:2">
      <c r="A242" s="2"/>
      <c r="B242" s="21"/>
    </row>
    <row r="243" spans="1:2">
      <c r="A243" s="2"/>
      <c r="B243" s="21"/>
    </row>
    <row r="244" spans="1:2">
      <c r="A244" s="2"/>
      <c r="B244" s="21"/>
    </row>
    <row r="245" spans="1:2">
      <c r="A245" s="2"/>
      <c r="B245" s="21"/>
    </row>
    <row r="246" spans="1:2">
      <c r="A246" s="2"/>
      <c r="B246" s="21"/>
    </row>
    <row r="247" spans="1:2">
      <c r="A247" s="2"/>
      <c r="B247" s="21"/>
    </row>
    <row r="248" spans="1:2">
      <c r="A248" s="2"/>
      <c r="B248" s="21"/>
    </row>
    <row r="249" spans="1:2">
      <c r="A249" s="2"/>
      <c r="B249" s="21"/>
    </row>
    <row r="250" spans="1:2">
      <c r="A250" s="2"/>
      <c r="B250" s="21"/>
    </row>
    <row r="251" spans="1:2">
      <c r="A251" s="2"/>
      <c r="B251" s="21"/>
    </row>
    <row r="252" spans="1:2">
      <c r="A252" s="2"/>
      <c r="B252" s="21"/>
    </row>
    <row r="253" spans="1:2">
      <c r="A253" s="2"/>
      <c r="B253" s="21"/>
    </row>
    <row r="254" spans="1:2">
      <c r="A254" s="2"/>
      <c r="B254" s="21"/>
    </row>
    <row r="255" spans="1:2">
      <c r="A255" s="2"/>
      <c r="B255" s="21"/>
    </row>
    <row r="256" spans="1:2">
      <c r="A256" s="2"/>
      <c r="B256" s="21"/>
    </row>
    <row r="257" spans="1:2">
      <c r="A257" s="2"/>
      <c r="B257" s="21"/>
    </row>
    <row r="258" spans="1:2">
      <c r="A258" s="2"/>
      <c r="B258" s="21"/>
    </row>
    <row r="259" spans="1:2">
      <c r="A259" s="2"/>
      <c r="B259" s="21"/>
    </row>
    <row r="260" spans="1:2">
      <c r="A260" s="2"/>
      <c r="B260" s="21"/>
    </row>
    <row r="261" spans="1:2">
      <c r="A261" s="2"/>
      <c r="B261" s="21"/>
    </row>
    <row r="262" spans="1:2">
      <c r="A262" s="2"/>
      <c r="B262" s="21"/>
    </row>
    <row r="263" spans="1:2">
      <c r="A263" s="2"/>
      <c r="B263" s="21"/>
    </row>
    <row r="264" spans="1:2">
      <c r="A264" s="2"/>
      <c r="B264" s="21"/>
    </row>
    <row r="265" spans="1:2">
      <c r="A265" s="2"/>
      <c r="B265" s="21"/>
    </row>
    <row r="266" spans="1:2">
      <c r="A266" s="2"/>
      <c r="B266" s="21"/>
    </row>
    <row r="267" spans="1:2">
      <c r="A267" s="2"/>
      <c r="B267" s="21"/>
    </row>
    <row r="268" spans="1:2">
      <c r="A268" s="2"/>
      <c r="B268" s="21"/>
    </row>
    <row r="269" spans="1:2">
      <c r="A269" s="2"/>
      <c r="B269" s="21"/>
    </row>
    <row r="270" spans="1:2">
      <c r="A270" s="2"/>
      <c r="B270" s="21"/>
    </row>
    <row r="271" spans="1:2">
      <c r="A271" s="2"/>
      <c r="B271" s="21"/>
    </row>
    <row r="272" spans="1:2">
      <c r="A272" s="2"/>
      <c r="B272" s="21"/>
    </row>
    <row r="273" spans="1:2">
      <c r="A273" s="2"/>
      <c r="B273" s="21"/>
    </row>
    <row r="274" spans="1:2">
      <c r="A274" s="2"/>
      <c r="B274" s="21"/>
    </row>
    <row r="275" spans="1:2">
      <c r="A275" s="2"/>
      <c r="B275" s="21"/>
    </row>
    <row r="276" spans="1:2">
      <c r="A276" s="2"/>
      <c r="B276" s="21"/>
    </row>
    <row r="277" spans="1:2">
      <c r="A277" s="2"/>
      <c r="B277" s="21"/>
    </row>
    <row r="278" spans="1:2">
      <c r="A278" s="2"/>
      <c r="B278" s="21"/>
    </row>
    <row r="279" spans="1:2">
      <c r="A279" s="2"/>
      <c r="B279" s="21"/>
    </row>
    <row r="280" spans="1:2">
      <c r="A280" s="2"/>
      <c r="B280" s="21"/>
    </row>
    <row r="281" spans="1:2">
      <c r="A281" s="2"/>
      <c r="B281" s="21"/>
    </row>
    <row r="282" spans="1:2">
      <c r="A282" s="2"/>
      <c r="B282" s="21"/>
    </row>
    <row r="283" spans="1:2">
      <c r="A283" s="2"/>
      <c r="B283" s="21"/>
    </row>
    <row r="284" spans="1:2">
      <c r="A284" s="2"/>
      <c r="B284" s="21"/>
    </row>
    <row r="285" spans="1:2">
      <c r="A285" s="2"/>
      <c r="B285" s="21"/>
    </row>
    <row r="286" spans="1:2">
      <c r="A286" s="2"/>
      <c r="B286" s="21"/>
    </row>
    <row r="287" spans="1:2">
      <c r="A287" s="2"/>
      <c r="B287" s="21"/>
    </row>
    <row r="288" spans="1:2">
      <c r="A288" s="2"/>
      <c r="B288" s="21"/>
    </row>
    <row r="289" spans="1:2">
      <c r="A289" s="2"/>
      <c r="B289" s="21"/>
    </row>
    <row r="290" spans="1:2">
      <c r="A290" s="2"/>
      <c r="B290" s="21"/>
    </row>
    <row r="291" spans="1:2">
      <c r="A291" s="2"/>
      <c r="B291" s="21"/>
    </row>
    <row r="292" spans="1:2">
      <c r="A292" s="2"/>
      <c r="B292" s="21"/>
    </row>
    <row r="293" spans="1:2">
      <c r="A293" s="2"/>
      <c r="B293" s="21"/>
    </row>
    <row r="294" spans="1:2">
      <c r="A294" s="2"/>
      <c r="B294" s="21"/>
    </row>
    <row r="295" spans="1:2">
      <c r="A295" s="2"/>
      <c r="B295" s="21"/>
    </row>
    <row r="296" spans="1:2">
      <c r="A296" s="2"/>
      <c r="B296" s="21"/>
    </row>
    <row r="297" spans="1:2">
      <c r="A297" s="2"/>
      <c r="B297" s="21"/>
    </row>
    <row r="298" spans="1:2">
      <c r="A298" s="2"/>
      <c r="B298" s="21"/>
    </row>
    <row r="299" spans="1:2">
      <c r="A299" s="2"/>
      <c r="B299" s="21"/>
    </row>
    <row r="300" spans="1:2">
      <c r="A300" s="2"/>
      <c r="B300" s="21"/>
    </row>
    <row r="301" spans="1:2">
      <c r="A301" s="2"/>
      <c r="B301" s="21"/>
    </row>
    <row r="302" spans="1:2">
      <c r="A302" s="2"/>
      <c r="B302" s="21"/>
    </row>
    <row r="303" spans="1:2">
      <c r="A303" s="2"/>
      <c r="B303" s="21"/>
    </row>
    <row r="304" spans="1:2">
      <c r="A304" s="2"/>
      <c r="B304" s="21"/>
    </row>
    <row r="305" spans="1:2">
      <c r="A305" s="2"/>
      <c r="B305" s="21"/>
    </row>
    <row r="306" spans="1:2">
      <c r="A306" s="2"/>
      <c r="B306" s="21"/>
    </row>
    <row r="307" spans="1:2">
      <c r="A307" s="2"/>
      <c r="B307" s="21"/>
    </row>
    <row r="308" spans="1:2">
      <c r="A308" s="2"/>
      <c r="B308" s="21"/>
    </row>
    <row r="309" spans="1:2">
      <c r="A309" s="2"/>
      <c r="B309" s="21"/>
    </row>
    <row r="310" spans="1:2">
      <c r="A310" s="2"/>
      <c r="B310" s="21"/>
    </row>
    <row r="311" spans="1:2">
      <c r="A311" s="2"/>
      <c r="B311" s="21"/>
    </row>
    <row r="312" spans="1:2">
      <c r="A312" s="2"/>
      <c r="B312" s="21"/>
    </row>
    <row r="313" spans="1:2">
      <c r="A313" s="2"/>
      <c r="B313" s="21"/>
    </row>
    <row r="314" spans="1:2">
      <c r="A314" s="2"/>
      <c r="B314" s="21"/>
    </row>
    <row r="315" spans="1:2">
      <c r="A315" s="2"/>
      <c r="B315" s="21"/>
    </row>
    <row r="316" spans="1:2">
      <c r="A316" s="2"/>
      <c r="B316" s="21"/>
    </row>
    <row r="317" spans="1:2">
      <c r="A317" s="2"/>
      <c r="B317" s="21"/>
    </row>
    <row r="318" spans="1:2">
      <c r="A318" s="2"/>
      <c r="B318" s="21"/>
    </row>
    <row r="319" spans="1:2">
      <c r="A319" s="2"/>
      <c r="B319" s="21"/>
    </row>
    <row r="320" spans="1:2">
      <c r="A320" s="2"/>
      <c r="B320" s="21"/>
    </row>
    <row r="321" spans="1:2">
      <c r="A321" s="2"/>
      <c r="B321" s="21"/>
    </row>
    <row r="322" spans="1:2">
      <c r="A322" s="2"/>
      <c r="B322" s="21"/>
    </row>
    <row r="323" spans="1:2">
      <c r="A323" s="2"/>
      <c r="B323" s="21"/>
    </row>
    <row r="324" spans="1:2">
      <c r="A324" s="2"/>
      <c r="B324" s="21"/>
    </row>
    <row r="325" spans="1:2">
      <c r="A325" s="2"/>
      <c r="B325" s="21"/>
    </row>
    <row r="326" spans="1:2">
      <c r="A326" s="2"/>
      <c r="B326" s="21"/>
    </row>
    <row r="327" spans="1:2">
      <c r="A327" s="2"/>
      <c r="B327" s="21"/>
    </row>
    <row r="328" spans="1:2">
      <c r="A328" s="2"/>
      <c r="B328" s="21"/>
    </row>
    <row r="329" spans="1:2">
      <c r="A329" s="2"/>
      <c r="B329" s="21"/>
    </row>
    <row r="330" spans="1:2">
      <c r="A330" s="2"/>
      <c r="B330" s="21"/>
    </row>
    <row r="331" spans="1:2">
      <c r="A331" s="2"/>
      <c r="B331" s="21"/>
    </row>
    <row r="332" spans="1:2">
      <c r="A332" s="2"/>
      <c r="B332" s="21"/>
    </row>
    <row r="333" spans="1:2">
      <c r="A333" s="2"/>
      <c r="B333" s="21"/>
    </row>
    <row r="334" spans="1:2">
      <c r="A334" s="2"/>
      <c r="B334" s="21"/>
    </row>
    <row r="335" spans="1:2">
      <c r="A335" s="2"/>
      <c r="B335" s="21"/>
    </row>
    <row r="336" spans="1:2">
      <c r="A336" s="2"/>
      <c r="B336" s="21"/>
    </row>
    <row r="337" spans="1:2">
      <c r="A337" s="2"/>
      <c r="B337" s="21"/>
    </row>
    <row r="338" spans="1:2">
      <c r="A338" s="2"/>
      <c r="B338" s="21"/>
    </row>
    <row r="339" spans="1:2">
      <c r="A339" s="2"/>
      <c r="B339" s="21"/>
    </row>
    <row r="340" spans="1:2">
      <c r="A340" s="2"/>
      <c r="B340" s="21"/>
    </row>
    <row r="341" spans="1:2">
      <c r="A341" s="2"/>
      <c r="B341" s="21"/>
    </row>
    <row r="342" spans="1:2">
      <c r="A342" s="2"/>
      <c r="B342" s="21"/>
    </row>
    <row r="343" spans="1:2">
      <c r="A343" s="2"/>
      <c r="B343" s="21"/>
    </row>
    <row r="344" spans="1:2">
      <c r="A344" s="2"/>
      <c r="B344" s="21"/>
    </row>
    <row r="345" spans="1:2">
      <c r="A345" s="2"/>
      <c r="B345" s="21"/>
    </row>
    <row r="346" spans="1:2">
      <c r="A346" s="2"/>
      <c r="B346" s="21"/>
    </row>
    <row r="347" spans="1:2">
      <c r="A347" s="2"/>
      <c r="B347" s="21"/>
    </row>
    <row r="348" spans="1:2">
      <c r="A348" s="2"/>
      <c r="B348" s="21"/>
    </row>
    <row r="349" spans="1:2">
      <c r="A349" s="2"/>
      <c r="B349" s="21"/>
    </row>
    <row r="350" spans="1:2">
      <c r="A350" s="2"/>
      <c r="B350" s="21"/>
    </row>
    <row r="351" spans="1:2">
      <c r="A351" s="2"/>
      <c r="B351" s="21"/>
    </row>
    <row r="352" spans="1:2">
      <c r="A352" s="2"/>
      <c r="B352" s="21"/>
    </row>
    <row r="353" spans="1:2">
      <c r="A353" s="2"/>
      <c r="B353" s="21"/>
    </row>
    <row r="354" spans="1:2">
      <c r="A354" s="2"/>
      <c r="B354" s="21"/>
    </row>
    <row r="355" spans="1:2">
      <c r="A355" s="2"/>
      <c r="B355" s="21"/>
    </row>
    <row r="356" spans="1:2">
      <c r="A356" s="2"/>
      <c r="B356" s="21"/>
    </row>
    <row r="357" spans="1:2">
      <c r="A357" s="2"/>
      <c r="B357" s="21"/>
    </row>
    <row r="358" spans="1:2">
      <c r="A358" s="2"/>
      <c r="B358" s="21"/>
    </row>
    <row r="359" spans="1:2">
      <c r="A359" s="2"/>
      <c r="B359" s="21"/>
    </row>
    <row r="360" spans="1:2">
      <c r="A360" s="2"/>
      <c r="B360" s="21"/>
    </row>
    <row r="361" spans="1:2">
      <c r="A361" s="2"/>
      <c r="B361" s="21"/>
    </row>
    <row r="362" spans="1:2">
      <c r="A362" s="2"/>
      <c r="B362" s="21"/>
    </row>
    <row r="363" spans="1:2">
      <c r="A363" s="2"/>
      <c r="B363" s="21"/>
    </row>
    <row r="364" spans="1:2">
      <c r="A364" s="2"/>
      <c r="B364" s="21"/>
    </row>
    <row r="365" spans="1:2">
      <c r="A365" s="2"/>
      <c r="B365" s="21"/>
    </row>
    <row r="366" spans="1:2">
      <c r="A366" s="2"/>
      <c r="B366" s="21"/>
    </row>
    <row r="367" spans="1:2">
      <c r="A367" s="2"/>
      <c r="B367" s="21"/>
    </row>
    <row r="368" spans="1:2">
      <c r="A368" s="2"/>
      <c r="B368" s="21"/>
    </row>
    <row r="369" spans="1:2">
      <c r="A369" s="2"/>
      <c r="B369" s="21"/>
    </row>
    <row r="370" spans="1:2">
      <c r="A370" s="2"/>
      <c r="B370" s="21"/>
    </row>
    <row r="371" spans="1:2">
      <c r="A371" s="2"/>
      <c r="B371" s="21"/>
    </row>
    <row r="372" spans="1:2">
      <c r="A372" s="2"/>
      <c r="B372" s="21"/>
    </row>
    <row r="373" spans="1:2">
      <c r="A373" s="2"/>
      <c r="B373" s="21"/>
    </row>
    <row r="374" spans="1:2">
      <c r="A374" s="2"/>
      <c r="B374" s="21"/>
    </row>
    <row r="375" spans="1:2">
      <c r="A375" s="2"/>
      <c r="B375" s="21"/>
    </row>
    <row r="376" spans="1:2">
      <c r="A376" s="2"/>
      <c r="B376" s="21"/>
    </row>
    <row r="377" spans="1:2">
      <c r="A377" s="2"/>
      <c r="B377" s="21"/>
    </row>
    <row r="378" spans="1:2">
      <c r="A378" s="2"/>
      <c r="B378" s="21"/>
    </row>
    <row r="379" spans="1:2">
      <c r="A379" s="2"/>
      <c r="B379" s="21"/>
    </row>
    <row r="380" spans="1:2">
      <c r="A380" s="2"/>
      <c r="B380" s="21"/>
    </row>
    <row r="381" spans="1:2">
      <c r="A381" s="2"/>
      <c r="B381" s="21"/>
    </row>
    <row r="382" spans="1:2">
      <c r="A382" s="2"/>
      <c r="B382" s="21"/>
    </row>
    <row r="383" spans="1:2">
      <c r="A383" s="2"/>
      <c r="B383" s="21"/>
    </row>
    <row r="384" spans="1:2">
      <c r="A384" s="2"/>
      <c r="B384" s="21"/>
    </row>
    <row r="385" spans="1:2">
      <c r="A385" s="2"/>
      <c r="B385" s="21"/>
    </row>
    <row r="386" spans="1:2">
      <c r="A386" s="2"/>
      <c r="B386" s="21"/>
    </row>
    <row r="387" spans="1:2">
      <c r="A387" s="2"/>
      <c r="B387" s="21"/>
    </row>
    <row r="388" spans="1:2">
      <c r="A388" s="2"/>
      <c r="B388" s="21"/>
    </row>
    <row r="389" spans="1:2">
      <c r="A389" s="2"/>
      <c r="B389" s="21"/>
    </row>
    <row r="390" spans="1:2">
      <c r="A390" s="2"/>
      <c r="B390" s="21"/>
    </row>
    <row r="391" spans="1:2">
      <c r="A391" s="2"/>
      <c r="B391" s="21"/>
    </row>
    <row r="1048576" spans="3:4">
      <c r="C1048576" s="93"/>
      <c r="D1048576" s="93"/>
    </row>
  </sheetData>
  <mergeCells count="1">
    <mergeCell ref="I1:N2"/>
  </mergeCells>
  <dataValidations count="2">
    <dataValidation type="list" allowBlank="1" showInputMessage="1" showErrorMessage="1" sqref="B3">
      <formula1>planetnames</formula1>
    </dataValidation>
    <dataValidation type="list" allowBlank="1" showInputMessage="1" showErrorMessage="1" sqref="C3">
      <formula1>visorimg</formula1>
    </dataValidation>
  </dataValidations>
  <hyperlinks>
    <hyperlink ref="Q30" r:id="rId1"/>
    <hyperlink ref="Q32" r:id="rId2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65"/>
  <sheetViews>
    <sheetView workbookViewId="0">
      <selection activeCell="B9" sqref="B9"/>
    </sheetView>
  </sheetViews>
  <sheetFormatPr defaultRowHeight="15"/>
  <cols>
    <col min="1" max="1" width="16.140625" customWidth="1"/>
    <col min="2" max="3" width="5.5703125" bestFit="1" customWidth="1"/>
    <col min="4" max="5" width="4" bestFit="1" customWidth="1"/>
    <col min="6" max="7" width="8.42578125" bestFit="1" customWidth="1"/>
    <col min="8" max="8" width="10.85546875" bestFit="1" customWidth="1"/>
    <col min="9" max="9" width="8" bestFit="1" customWidth="1"/>
    <col min="10" max="11" width="8.140625" bestFit="1" customWidth="1"/>
    <col min="12" max="12" width="5.140625" customWidth="1"/>
    <col min="13" max="13" width="4.42578125" bestFit="1" customWidth="1"/>
    <col min="14" max="15" width="12.5703125" bestFit="1" customWidth="1"/>
    <col min="16" max="16" width="8.140625" bestFit="1" customWidth="1"/>
    <col min="17" max="17" width="10.42578125" bestFit="1" customWidth="1"/>
    <col min="18" max="23" width="5.5703125" bestFit="1" customWidth="1"/>
    <col min="24" max="24" width="11.7109375" bestFit="1" customWidth="1"/>
    <col min="25" max="25" width="8" bestFit="1" customWidth="1"/>
  </cols>
  <sheetData>
    <row r="1" spans="1:25" ht="15.75" thickBot="1">
      <c r="H1" s="107">
        <f>AVERAGE(H3:H33)</f>
        <v>-21798.290677717487</v>
      </c>
      <c r="I1" s="107">
        <f>AVERAGE(I3:I33)</f>
        <v>-63366.660960888519</v>
      </c>
      <c r="R1" s="119" t="s">
        <v>191</v>
      </c>
      <c r="S1" s="119"/>
      <c r="T1" s="119" t="s">
        <v>192</v>
      </c>
      <c r="U1" s="119"/>
      <c r="V1" s="119" t="s">
        <v>190</v>
      </c>
      <c r="W1" s="119"/>
      <c r="X1" s="119" t="s">
        <v>193</v>
      </c>
      <c r="Y1" s="119"/>
    </row>
    <row r="2" spans="1:25" ht="15.75" thickBot="1">
      <c r="A2" t="s">
        <v>80</v>
      </c>
      <c r="B2" s="47" t="s">
        <v>194</v>
      </c>
      <c r="C2" s="48"/>
      <c r="D2" s="48" t="s">
        <v>197</v>
      </c>
      <c r="E2" s="17"/>
      <c r="F2" s="47" t="s">
        <v>195</v>
      </c>
      <c r="G2" s="48"/>
      <c r="H2" s="48" t="s">
        <v>196</v>
      </c>
      <c r="I2" s="17"/>
      <c r="M2" t="s">
        <v>84</v>
      </c>
      <c r="N2" t="s">
        <v>82</v>
      </c>
      <c r="O2" t="s">
        <v>83</v>
      </c>
      <c r="P2" t="s">
        <v>85</v>
      </c>
      <c r="Q2" t="s">
        <v>86</v>
      </c>
      <c r="R2" t="s">
        <v>87</v>
      </c>
      <c r="S2" t="s">
        <v>88</v>
      </c>
      <c r="T2" t="s">
        <v>87</v>
      </c>
      <c r="U2" t="s">
        <v>88</v>
      </c>
      <c r="V2" t="s">
        <v>87</v>
      </c>
      <c r="W2" t="s">
        <v>88</v>
      </c>
      <c r="X2" t="s">
        <v>89</v>
      </c>
      <c r="Y2" t="s">
        <v>90</v>
      </c>
    </row>
    <row r="3" spans="1:25">
      <c r="A3" s="84">
        <f>DATE(2018,3,M3)</f>
        <v>43160</v>
      </c>
      <c r="B3" s="96">
        <f t="shared" ref="B3:B26" si="0">LEFT(N3,5)*1</f>
        <v>0.28472222222222221</v>
      </c>
      <c r="C3" s="97">
        <f t="shared" ref="C3:C26" si="1">LEFT(O3,5)*1</f>
        <v>0.73888888888888893</v>
      </c>
      <c r="D3" s="31">
        <f>MID(N3,10,3)*1</f>
        <v>101</v>
      </c>
      <c r="E3" s="10">
        <f>MID(O3,10,3)*1</f>
        <v>259</v>
      </c>
      <c r="F3" s="96">
        <f>riseset(-1,A3,lat, long, 1,-0.8333)/24</f>
        <v>0.28579848368932831</v>
      </c>
      <c r="G3" s="97">
        <f>riseset(-1,A3,lat, long, 0,-0.8333)/24</f>
        <v>0.73858229412564513</v>
      </c>
      <c r="H3" s="102">
        <f>(F3-B3)*24*3600</f>
        <v>92.988990757966945</v>
      </c>
      <c r="I3" s="102">
        <f>(G3-C3)*24*3600</f>
        <v>-26.489787544263876</v>
      </c>
      <c r="L3" s="99"/>
      <c r="M3">
        <v>1</v>
      </c>
      <c r="N3" t="s">
        <v>91</v>
      </c>
      <c r="O3" t="s">
        <v>92</v>
      </c>
      <c r="P3" s="87">
        <v>0.45420138888888889</v>
      </c>
      <c r="Q3" t="s">
        <v>93</v>
      </c>
      <c r="R3" s="86">
        <v>0.2076388888888889</v>
      </c>
      <c r="S3" s="86">
        <v>0.81666666666666676</v>
      </c>
      <c r="T3" s="86">
        <v>0.23472222222222219</v>
      </c>
      <c r="U3" s="86">
        <v>0.7895833333333333</v>
      </c>
      <c r="V3" s="86">
        <v>0.26180555555555557</v>
      </c>
      <c r="W3" s="86">
        <v>0.76250000000000007</v>
      </c>
      <c r="X3" t="s">
        <v>94</v>
      </c>
      <c r="Y3">
        <v>148.22900000000001</v>
      </c>
    </row>
    <row r="4" spans="1:25">
      <c r="A4" s="84">
        <f t="shared" ref="A4:A33" si="2">DATE(2018,3,M4)</f>
        <v>43161</v>
      </c>
      <c r="B4" s="98">
        <f t="shared" si="0"/>
        <v>0.28333333333333333</v>
      </c>
      <c r="C4" s="99">
        <f t="shared" si="1"/>
        <v>0.7402777777777777</v>
      </c>
      <c r="D4" s="33">
        <f>MID(N4,10,3)*1</f>
        <v>101</v>
      </c>
      <c r="E4" s="7">
        <f>MID(O4,10,3)*1</f>
        <v>260</v>
      </c>
      <c r="F4" s="98"/>
      <c r="G4" s="99"/>
      <c r="H4" s="104">
        <f t="shared" ref="H4:H33" si="3">(F4-B4)*24*3600</f>
        <v>-24480</v>
      </c>
      <c r="I4" s="104">
        <f t="shared" ref="I4:I33" si="4">(G4-C4)*24*3600</f>
        <v>-63960</v>
      </c>
      <c r="L4" s="99"/>
      <c r="M4">
        <v>2</v>
      </c>
      <c r="N4" t="s">
        <v>95</v>
      </c>
      <c r="O4" t="s">
        <v>96</v>
      </c>
      <c r="P4" s="87">
        <v>0.45694444444444443</v>
      </c>
      <c r="Q4" t="s">
        <v>93</v>
      </c>
      <c r="R4" s="86">
        <v>0.20625000000000002</v>
      </c>
      <c r="S4" s="86">
        <v>0.81805555555555554</v>
      </c>
      <c r="T4" s="86">
        <v>0.23333333333333331</v>
      </c>
      <c r="U4" s="86">
        <v>0.7909722222222223</v>
      </c>
      <c r="V4" s="86">
        <v>0.25972222222222224</v>
      </c>
      <c r="W4" s="86">
        <v>0.76388888888888884</v>
      </c>
      <c r="X4" t="s">
        <v>97</v>
      </c>
      <c r="Y4">
        <v>148.26599999999999</v>
      </c>
    </row>
    <row r="5" spans="1:25">
      <c r="A5" s="84">
        <f t="shared" si="2"/>
        <v>43162</v>
      </c>
      <c r="B5" s="98">
        <f t="shared" si="0"/>
        <v>0.28194444444444444</v>
      </c>
      <c r="C5" s="99">
        <f t="shared" si="1"/>
        <v>0.7416666666666667</v>
      </c>
      <c r="D5" s="33">
        <f t="shared" ref="D5" si="5">MID(N5,10,IF(MID(N5,10,1)="1",3,2))*1</f>
        <v>100</v>
      </c>
      <c r="E5" s="7">
        <f t="shared" ref="E5:E19" si="6">MID(O5,10,3)*1</f>
        <v>260</v>
      </c>
      <c r="F5" s="98"/>
      <c r="G5" s="99"/>
      <c r="H5" s="104">
        <f t="shared" si="3"/>
        <v>-24360</v>
      </c>
      <c r="I5" s="104">
        <f t="shared" si="4"/>
        <v>-64080</v>
      </c>
      <c r="L5" s="99"/>
      <c r="M5">
        <v>3</v>
      </c>
      <c r="N5" t="s">
        <v>98</v>
      </c>
      <c r="O5" t="s">
        <v>99</v>
      </c>
      <c r="P5" s="87">
        <v>0.45969907407407407</v>
      </c>
      <c r="Q5" t="s">
        <v>100</v>
      </c>
      <c r="R5" s="86">
        <v>0.20416666666666669</v>
      </c>
      <c r="S5" s="86">
        <v>0.81944444444444453</v>
      </c>
      <c r="T5" s="86">
        <v>0.23194444444444443</v>
      </c>
      <c r="U5" s="86">
        <v>0.79166666666666663</v>
      </c>
      <c r="V5" s="86">
        <v>0.25833333333333336</v>
      </c>
      <c r="W5" s="86">
        <v>0.76527777777777783</v>
      </c>
      <c r="X5" t="s">
        <v>101</v>
      </c>
      <c r="Y5">
        <v>148.303</v>
      </c>
    </row>
    <row r="6" spans="1:25">
      <c r="A6" s="84">
        <f t="shared" si="2"/>
        <v>43163</v>
      </c>
      <c r="B6" s="98">
        <f t="shared" si="0"/>
        <v>0.28055555555555556</v>
      </c>
      <c r="C6" s="99">
        <f t="shared" si="1"/>
        <v>0.74305555555555547</v>
      </c>
      <c r="D6" s="33">
        <f>MID(N6,10,IF(MID(N6,10,1)="1",3,2))*1</f>
        <v>99</v>
      </c>
      <c r="E6" s="7">
        <f t="shared" si="6"/>
        <v>261</v>
      </c>
      <c r="F6" s="98"/>
      <c r="G6" s="99"/>
      <c r="H6" s="104">
        <f>(F6-B6)*24*3600</f>
        <v>-24240</v>
      </c>
      <c r="I6" s="104">
        <f t="shared" si="4"/>
        <v>-64199.999999999993</v>
      </c>
      <c r="L6" s="99"/>
      <c r="M6">
        <v>4</v>
      </c>
      <c r="N6" t="s">
        <v>102</v>
      </c>
      <c r="O6" t="s">
        <v>103</v>
      </c>
      <c r="P6" s="87">
        <v>0.4624537037037037</v>
      </c>
      <c r="Q6" t="s">
        <v>100</v>
      </c>
      <c r="R6" s="86">
        <v>0.20277777777777781</v>
      </c>
      <c r="S6" s="86">
        <v>0.82013888888888886</v>
      </c>
      <c r="T6" s="86">
        <v>0.2298611111111111</v>
      </c>
      <c r="U6" s="86">
        <v>0.79305555555555562</v>
      </c>
      <c r="V6" s="86">
        <v>0.25694444444444448</v>
      </c>
      <c r="W6" s="86">
        <v>0.76597222222222217</v>
      </c>
      <c r="X6" t="s">
        <v>104</v>
      </c>
      <c r="Y6">
        <v>148.34100000000001</v>
      </c>
    </row>
    <row r="7" spans="1:25">
      <c r="A7" s="84">
        <f t="shared" si="2"/>
        <v>43164</v>
      </c>
      <c r="B7" s="98">
        <f t="shared" si="0"/>
        <v>0.27916666666666667</v>
      </c>
      <c r="C7" s="99">
        <f t="shared" si="1"/>
        <v>0.74375000000000002</v>
      </c>
      <c r="D7" s="33">
        <f t="shared" ref="D7:D33" si="7">MID(N7,10,IF(MID(N7,10,1)="1",3,2))*1</f>
        <v>99</v>
      </c>
      <c r="E7" s="7">
        <f t="shared" si="6"/>
        <v>262</v>
      </c>
      <c r="F7" s="98"/>
      <c r="G7" s="99"/>
      <c r="H7" s="104">
        <f t="shared" si="3"/>
        <v>-24120</v>
      </c>
      <c r="I7" s="104">
        <f t="shared" si="4"/>
        <v>-64260.000000000007</v>
      </c>
      <c r="L7" s="99"/>
      <c r="M7">
        <v>5</v>
      </c>
      <c r="N7" t="s">
        <v>105</v>
      </c>
      <c r="O7" t="s">
        <v>106</v>
      </c>
      <c r="P7" s="87">
        <v>0.46521990740740743</v>
      </c>
      <c r="Q7" t="s">
        <v>107</v>
      </c>
      <c r="R7" s="86">
        <v>0.20138888888888887</v>
      </c>
      <c r="S7" s="86">
        <v>0.82152777777777775</v>
      </c>
      <c r="T7" s="86">
        <v>0.22847222222222222</v>
      </c>
      <c r="U7" s="86">
        <v>0.7944444444444444</v>
      </c>
      <c r="V7" s="86">
        <v>0.25555555555555559</v>
      </c>
      <c r="W7" s="86">
        <v>0.76736111111111116</v>
      </c>
      <c r="X7" t="s">
        <v>108</v>
      </c>
      <c r="Y7">
        <v>148.37899999999999</v>
      </c>
    </row>
    <row r="8" spans="1:25">
      <c r="A8" s="84">
        <f t="shared" si="2"/>
        <v>43165</v>
      </c>
      <c r="B8" s="98">
        <f t="shared" si="0"/>
        <v>0.27708333333333335</v>
      </c>
      <c r="C8" s="99">
        <f t="shared" si="1"/>
        <v>0.74513888888888891</v>
      </c>
      <c r="D8" s="33">
        <f t="shared" si="7"/>
        <v>98</v>
      </c>
      <c r="E8" s="7">
        <f t="shared" si="6"/>
        <v>262</v>
      </c>
      <c r="F8" s="98"/>
      <c r="G8" s="99"/>
      <c r="H8" s="104">
        <f t="shared" si="3"/>
        <v>-23940</v>
      </c>
      <c r="I8" s="104">
        <f t="shared" si="4"/>
        <v>-64380</v>
      </c>
      <c r="L8" s="99"/>
      <c r="M8">
        <v>6</v>
      </c>
      <c r="N8" t="s">
        <v>109</v>
      </c>
      <c r="O8" t="s">
        <v>110</v>
      </c>
      <c r="P8" s="87">
        <v>0.46797453703703701</v>
      </c>
      <c r="Q8" t="s">
        <v>100</v>
      </c>
      <c r="R8" s="86">
        <v>0.19999999999999998</v>
      </c>
      <c r="S8" s="86">
        <v>0.82291666666666663</v>
      </c>
      <c r="T8" s="86">
        <v>0.22708333333333333</v>
      </c>
      <c r="U8" s="86">
        <v>0.79583333333333339</v>
      </c>
      <c r="V8" s="86">
        <v>0.25416666666666665</v>
      </c>
      <c r="W8" s="86">
        <v>0.76874999999999993</v>
      </c>
      <c r="X8" t="s">
        <v>111</v>
      </c>
      <c r="Y8">
        <v>148.417</v>
      </c>
    </row>
    <row r="9" spans="1:25">
      <c r="A9" s="84">
        <f t="shared" si="2"/>
        <v>43166</v>
      </c>
      <c r="B9" s="98">
        <f t="shared" si="0"/>
        <v>0.27569444444444446</v>
      </c>
      <c r="C9" s="99">
        <f t="shared" si="1"/>
        <v>0.74652777777777779</v>
      </c>
      <c r="D9" s="33">
        <f t="shared" si="7"/>
        <v>97</v>
      </c>
      <c r="E9" s="7">
        <f t="shared" si="6"/>
        <v>263</v>
      </c>
      <c r="F9" s="98"/>
      <c r="G9" s="99"/>
      <c r="H9" s="104">
        <f t="shared" si="3"/>
        <v>-23820</v>
      </c>
      <c r="I9" s="104">
        <f t="shared" si="4"/>
        <v>-64500.000000000007</v>
      </c>
      <c r="L9" s="99"/>
      <c r="M9">
        <v>7</v>
      </c>
      <c r="N9" t="s">
        <v>112</v>
      </c>
      <c r="O9" t="s">
        <v>113</v>
      </c>
      <c r="P9" s="87">
        <v>0.47074074074074074</v>
      </c>
      <c r="Q9" t="s">
        <v>107</v>
      </c>
      <c r="R9" s="86">
        <v>0.19791666666666666</v>
      </c>
      <c r="S9" s="86">
        <v>0.82430555555555562</v>
      </c>
      <c r="T9" s="86">
        <v>0.22569444444444445</v>
      </c>
      <c r="U9" s="86">
        <v>0.79652777777777783</v>
      </c>
      <c r="V9" s="86">
        <v>0.25277777777777777</v>
      </c>
      <c r="W9" s="86">
        <v>0.76944444444444438</v>
      </c>
      <c r="X9" t="s">
        <v>114</v>
      </c>
      <c r="Y9">
        <v>148.45599999999999</v>
      </c>
    </row>
    <row r="10" spans="1:25">
      <c r="A10" s="84">
        <f t="shared" si="2"/>
        <v>43167</v>
      </c>
      <c r="B10" s="98">
        <f t="shared" si="0"/>
        <v>0.27430555555555552</v>
      </c>
      <c r="C10" s="99">
        <f t="shared" si="1"/>
        <v>0.74791666666666667</v>
      </c>
      <c r="D10" s="33">
        <f t="shared" si="7"/>
        <v>97</v>
      </c>
      <c r="E10" s="7">
        <f t="shared" si="6"/>
        <v>263</v>
      </c>
      <c r="F10" s="98"/>
      <c r="G10" s="99"/>
      <c r="H10" s="104">
        <f t="shared" si="3"/>
        <v>-23699.999999999996</v>
      </c>
      <c r="I10" s="104">
        <f t="shared" si="4"/>
        <v>-64620</v>
      </c>
      <c r="L10" s="99"/>
      <c r="M10">
        <v>8</v>
      </c>
      <c r="N10" t="s">
        <v>115</v>
      </c>
      <c r="O10" t="s">
        <v>116</v>
      </c>
      <c r="P10" s="87">
        <v>0.47351851851851851</v>
      </c>
      <c r="Q10" t="s">
        <v>117</v>
      </c>
      <c r="R10" s="86">
        <v>0.19652777777777777</v>
      </c>
      <c r="S10" s="86">
        <v>0.8256944444444444</v>
      </c>
      <c r="T10" s="86">
        <v>0.22430555555555556</v>
      </c>
      <c r="U10" s="86">
        <v>0.79791666666666661</v>
      </c>
      <c r="V10" s="86">
        <v>0.25069444444444444</v>
      </c>
      <c r="W10" s="86">
        <v>0.77083333333333337</v>
      </c>
      <c r="X10" t="s">
        <v>118</v>
      </c>
      <c r="Y10">
        <v>148.49600000000001</v>
      </c>
    </row>
    <row r="11" spans="1:25">
      <c r="A11" s="84">
        <f t="shared" si="2"/>
        <v>43168</v>
      </c>
      <c r="B11" s="98">
        <f t="shared" si="0"/>
        <v>0.27291666666666664</v>
      </c>
      <c r="C11" s="99">
        <f t="shared" si="1"/>
        <v>0.74861111111111101</v>
      </c>
      <c r="D11" s="33">
        <f t="shared" si="7"/>
        <v>96</v>
      </c>
      <c r="E11" s="7">
        <f t="shared" si="6"/>
        <v>264</v>
      </c>
      <c r="F11" s="98"/>
      <c r="G11" s="99"/>
      <c r="H11" s="104">
        <f t="shared" si="3"/>
        <v>-23579.999999999996</v>
      </c>
      <c r="I11" s="104">
        <f t="shared" si="4"/>
        <v>-64679.999999999993</v>
      </c>
      <c r="L11" s="99"/>
      <c r="M11">
        <v>9</v>
      </c>
      <c r="N11" t="s">
        <v>119</v>
      </c>
      <c r="O11" t="s">
        <v>120</v>
      </c>
      <c r="P11" s="87">
        <v>0.47628472222222223</v>
      </c>
      <c r="Q11" t="s">
        <v>107</v>
      </c>
      <c r="R11" s="86">
        <v>0.19513888888888889</v>
      </c>
      <c r="S11" s="86">
        <v>0.82708333333333339</v>
      </c>
      <c r="T11" s="86">
        <v>0.22222222222222221</v>
      </c>
      <c r="U11" s="86">
        <v>0.7993055555555556</v>
      </c>
      <c r="V11" s="86">
        <v>0.24930555555555556</v>
      </c>
      <c r="W11" s="86">
        <v>0.77222222222222225</v>
      </c>
      <c r="X11" t="s">
        <v>121</v>
      </c>
      <c r="Y11">
        <v>148.536</v>
      </c>
    </row>
    <row r="12" spans="1:25">
      <c r="A12" s="84">
        <f t="shared" si="2"/>
        <v>43169</v>
      </c>
      <c r="B12" s="98">
        <f t="shared" si="0"/>
        <v>0.27083333333333331</v>
      </c>
      <c r="C12" s="99">
        <f t="shared" si="1"/>
        <v>0.75</v>
      </c>
      <c r="D12" s="33">
        <f t="shared" si="7"/>
        <v>96</v>
      </c>
      <c r="E12" s="7">
        <f t="shared" si="6"/>
        <v>265</v>
      </c>
      <c r="F12" s="98"/>
      <c r="G12" s="99"/>
      <c r="H12" s="104">
        <f t="shared" si="3"/>
        <v>-23400</v>
      </c>
      <c r="I12" s="104">
        <f t="shared" si="4"/>
        <v>-64800</v>
      </c>
      <c r="L12" s="99"/>
      <c r="M12">
        <v>10</v>
      </c>
      <c r="N12" t="s">
        <v>122</v>
      </c>
      <c r="O12" t="s">
        <v>123</v>
      </c>
      <c r="P12" s="87">
        <v>0.4790625</v>
      </c>
      <c r="Q12" t="s">
        <v>117</v>
      </c>
      <c r="R12" s="86">
        <v>0.19305555555555554</v>
      </c>
      <c r="S12" s="86">
        <v>0.82847222222222217</v>
      </c>
      <c r="T12" s="86">
        <v>0.22083333333333333</v>
      </c>
      <c r="U12" s="86">
        <v>0.80069444444444438</v>
      </c>
      <c r="V12" s="86">
        <v>0.24791666666666667</v>
      </c>
      <c r="W12" s="86">
        <v>0.77361111111111114</v>
      </c>
      <c r="X12" t="s">
        <v>124</v>
      </c>
      <c r="Y12">
        <v>148.57599999999999</v>
      </c>
    </row>
    <row r="13" spans="1:25">
      <c r="A13" s="84">
        <f t="shared" si="2"/>
        <v>43170</v>
      </c>
      <c r="B13" s="98">
        <f t="shared" si="0"/>
        <v>0.26944444444444443</v>
      </c>
      <c r="C13" s="99">
        <f t="shared" si="1"/>
        <v>0.75138888888888899</v>
      </c>
      <c r="D13" s="33">
        <f t="shared" si="7"/>
        <v>95</v>
      </c>
      <c r="E13" s="7">
        <f t="shared" si="6"/>
        <v>265</v>
      </c>
      <c r="F13" s="98"/>
      <c r="G13" s="99"/>
      <c r="H13" s="104">
        <f t="shared" si="3"/>
        <v>-23280</v>
      </c>
      <c r="I13" s="104">
        <f t="shared" si="4"/>
        <v>-64920.000000000007</v>
      </c>
      <c r="L13" s="99"/>
      <c r="M13">
        <v>11</v>
      </c>
      <c r="N13" t="s">
        <v>125</v>
      </c>
      <c r="O13" t="s">
        <v>126</v>
      </c>
      <c r="P13" s="87">
        <v>0.48184027777777777</v>
      </c>
      <c r="Q13" t="s">
        <v>117</v>
      </c>
      <c r="R13" s="86">
        <v>0.19166666666666665</v>
      </c>
      <c r="S13" s="86">
        <v>0.82916666666666661</v>
      </c>
      <c r="T13" s="86">
        <v>0.21944444444444444</v>
      </c>
      <c r="U13" s="86">
        <v>0.80138888888888893</v>
      </c>
      <c r="V13" s="86">
        <v>0.24652777777777779</v>
      </c>
      <c r="W13" s="86">
        <v>0.77430555555555547</v>
      </c>
      <c r="X13" t="s">
        <v>127</v>
      </c>
      <c r="Y13">
        <v>148.61600000000001</v>
      </c>
    </row>
    <row r="14" spans="1:25">
      <c r="A14" s="84">
        <f t="shared" si="2"/>
        <v>43171</v>
      </c>
      <c r="B14" s="98">
        <f t="shared" si="0"/>
        <v>0.26805555555555555</v>
      </c>
      <c r="C14" s="99">
        <f t="shared" si="1"/>
        <v>0.75277777777777777</v>
      </c>
      <c r="D14" s="33">
        <f t="shared" si="7"/>
        <v>94</v>
      </c>
      <c r="E14" s="7">
        <f t="shared" si="6"/>
        <v>266</v>
      </c>
      <c r="F14" s="98"/>
      <c r="G14" s="99"/>
      <c r="H14" s="104">
        <f t="shared" si="3"/>
        <v>-23160</v>
      </c>
      <c r="I14" s="104">
        <f t="shared" si="4"/>
        <v>-65040</v>
      </c>
      <c r="L14" s="99"/>
      <c r="M14">
        <v>12</v>
      </c>
      <c r="N14" t="s">
        <v>128</v>
      </c>
      <c r="O14" t="s">
        <v>129</v>
      </c>
      <c r="P14" s="87">
        <v>0.48461805555555554</v>
      </c>
      <c r="Q14" t="s">
        <v>117</v>
      </c>
      <c r="R14" s="86">
        <v>0.19027777777777777</v>
      </c>
      <c r="S14" s="86">
        <v>0.8305555555555556</v>
      </c>
      <c r="T14" s="86">
        <v>0.21805555555555556</v>
      </c>
      <c r="U14" s="86">
        <v>0.8027777777777777</v>
      </c>
      <c r="V14" s="86">
        <v>0.24444444444444446</v>
      </c>
      <c r="W14" s="86">
        <v>0.77569444444444446</v>
      </c>
      <c r="X14" t="s">
        <v>130</v>
      </c>
      <c r="Y14">
        <v>148.65700000000001</v>
      </c>
    </row>
    <row r="15" spans="1:25">
      <c r="A15" s="84">
        <f t="shared" si="2"/>
        <v>43172</v>
      </c>
      <c r="B15" s="98">
        <f t="shared" si="0"/>
        <v>0.26666666666666666</v>
      </c>
      <c r="C15" s="99">
        <f t="shared" si="1"/>
        <v>0.75347222222222221</v>
      </c>
      <c r="D15" s="33">
        <f t="shared" si="7"/>
        <v>94</v>
      </c>
      <c r="E15" s="7">
        <f t="shared" si="6"/>
        <v>267</v>
      </c>
      <c r="F15" s="98"/>
      <c r="G15" s="99"/>
      <c r="H15" s="104">
        <f t="shared" si="3"/>
        <v>-23040</v>
      </c>
      <c r="I15" s="104">
        <f t="shared" si="4"/>
        <v>-65099.999999999993</v>
      </c>
      <c r="M15">
        <v>13</v>
      </c>
      <c r="N15" t="s">
        <v>131</v>
      </c>
      <c r="O15" t="s">
        <v>132</v>
      </c>
      <c r="P15" s="87">
        <v>0.48739583333333331</v>
      </c>
      <c r="Q15" t="s">
        <v>117</v>
      </c>
      <c r="R15" s="86">
        <v>0.18819444444444444</v>
      </c>
      <c r="S15" s="86">
        <v>0.83194444444444438</v>
      </c>
      <c r="T15" s="86">
        <v>0.21597222222222223</v>
      </c>
      <c r="U15" s="86">
        <v>0.8041666666666667</v>
      </c>
      <c r="V15" s="86">
        <v>0.24305555555555555</v>
      </c>
      <c r="W15" s="86">
        <v>0.77708333333333324</v>
      </c>
      <c r="X15" t="s">
        <v>133</v>
      </c>
      <c r="Y15">
        <v>148.69800000000001</v>
      </c>
    </row>
    <row r="16" spans="1:25">
      <c r="A16" s="84">
        <f t="shared" si="2"/>
        <v>43173</v>
      </c>
      <c r="B16" s="98">
        <f t="shared" si="0"/>
        <v>0.26458333333333334</v>
      </c>
      <c r="C16" s="99">
        <f t="shared" si="1"/>
        <v>0.75486111111111109</v>
      </c>
      <c r="D16" s="33">
        <f t="shared" si="7"/>
        <v>93</v>
      </c>
      <c r="E16" s="7">
        <f t="shared" si="6"/>
        <v>267</v>
      </c>
      <c r="F16" s="98"/>
      <c r="G16" s="99"/>
      <c r="H16" s="104">
        <f t="shared" si="3"/>
        <v>-22860</v>
      </c>
      <c r="I16" s="104">
        <f t="shared" si="4"/>
        <v>-65220</v>
      </c>
      <c r="M16">
        <v>14</v>
      </c>
      <c r="N16" t="s">
        <v>134</v>
      </c>
      <c r="O16" t="s">
        <v>135</v>
      </c>
      <c r="P16" s="87">
        <v>0.49018518518518522</v>
      </c>
      <c r="Q16" t="s">
        <v>136</v>
      </c>
      <c r="R16" s="86">
        <v>0.18680555555555556</v>
      </c>
      <c r="S16" s="86">
        <v>0.83333333333333337</v>
      </c>
      <c r="T16" s="86">
        <v>0.21458333333333335</v>
      </c>
      <c r="U16" s="86">
        <v>0.80555555555555547</v>
      </c>
      <c r="V16" s="86">
        <v>0.24166666666666667</v>
      </c>
      <c r="W16" s="86">
        <v>0.77847222222222223</v>
      </c>
      <c r="X16" t="s">
        <v>137</v>
      </c>
      <c r="Y16">
        <v>148.739</v>
      </c>
    </row>
    <row r="17" spans="1:25">
      <c r="A17" s="84">
        <f t="shared" si="2"/>
        <v>43174</v>
      </c>
      <c r="B17" s="98">
        <f t="shared" si="0"/>
        <v>0.26319444444444445</v>
      </c>
      <c r="C17" s="99">
        <f t="shared" si="1"/>
        <v>0.75624999999999998</v>
      </c>
      <c r="D17" s="33">
        <f t="shared" si="7"/>
        <v>92</v>
      </c>
      <c r="E17" s="7">
        <f t="shared" si="6"/>
        <v>268</v>
      </c>
      <c r="F17" s="98"/>
      <c r="G17" s="99"/>
      <c r="H17" s="104">
        <f t="shared" si="3"/>
        <v>-22740</v>
      </c>
      <c r="I17" s="104">
        <f t="shared" si="4"/>
        <v>-65339.999999999993</v>
      </c>
      <c r="M17">
        <v>15</v>
      </c>
      <c r="N17" t="s">
        <v>138</v>
      </c>
      <c r="O17" t="s">
        <v>139</v>
      </c>
      <c r="P17" s="87">
        <v>0.49297453703703703</v>
      </c>
      <c r="Q17" t="s">
        <v>136</v>
      </c>
      <c r="R17" s="86">
        <v>0.18472222222222223</v>
      </c>
      <c r="S17" s="86">
        <v>0.83472222222222225</v>
      </c>
      <c r="T17" s="86">
        <v>0.21319444444444444</v>
      </c>
      <c r="U17" s="86">
        <v>0.80694444444444446</v>
      </c>
      <c r="V17" s="86">
        <v>0.24027777777777778</v>
      </c>
      <c r="W17" s="86">
        <v>0.77916666666666667</v>
      </c>
      <c r="X17" t="s">
        <v>140</v>
      </c>
      <c r="Y17">
        <v>148.78</v>
      </c>
    </row>
    <row r="18" spans="1:25">
      <c r="A18" s="84">
        <f t="shared" si="2"/>
        <v>43175</v>
      </c>
      <c r="B18" s="98">
        <f t="shared" si="0"/>
        <v>0.26180555555555557</v>
      </c>
      <c r="C18" s="99">
        <f t="shared" si="1"/>
        <v>0.75763888888888886</v>
      </c>
      <c r="D18" s="33">
        <f t="shared" si="7"/>
        <v>92</v>
      </c>
      <c r="E18" s="7">
        <f t="shared" si="6"/>
        <v>269</v>
      </c>
      <c r="F18" s="98"/>
      <c r="G18" s="99"/>
      <c r="H18" s="104">
        <f t="shared" si="3"/>
        <v>-22620</v>
      </c>
      <c r="I18" s="104">
        <f t="shared" si="4"/>
        <v>-65460</v>
      </c>
      <c r="M18">
        <v>16</v>
      </c>
      <c r="N18" t="s">
        <v>141</v>
      </c>
      <c r="O18" t="s">
        <v>142</v>
      </c>
      <c r="P18" s="87">
        <v>0.49574074074074076</v>
      </c>
      <c r="Q18" t="s">
        <v>107</v>
      </c>
      <c r="R18" s="86">
        <v>0.18333333333333335</v>
      </c>
      <c r="S18" s="86">
        <v>0.83611111111111114</v>
      </c>
      <c r="T18" s="86">
        <v>0.21111111111111111</v>
      </c>
      <c r="U18" s="86">
        <v>0.80763888888888891</v>
      </c>
      <c r="V18" s="86">
        <v>0.23819444444444446</v>
      </c>
      <c r="W18" s="86">
        <v>0.78055555555555556</v>
      </c>
      <c r="X18" t="s">
        <v>143</v>
      </c>
      <c r="Y18">
        <v>148.821</v>
      </c>
    </row>
    <row r="19" spans="1:25">
      <c r="A19" s="84">
        <f t="shared" si="2"/>
        <v>43176</v>
      </c>
      <c r="B19" s="98">
        <f t="shared" si="0"/>
        <v>0.25972222222222224</v>
      </c>
      <c r="C19" s="99">
        <f t="shared" si="1"/>
        <v>0.7583333333333333</v>
      </c>
      <c r="D19" s="33">
        <f t="shared" si="7"/>
        <v>91</v>
      </c>
      <c r="E19" s="7">
        <f t="shared" si="6"/>
        <v>269</v>
      </c>
      <c r="F19" s="98"/>
      <c r="G19" s="99"/>
      <c r="H19" s="104">
        <f t="shared" si="3"/>
        <v>-22440.000000000004</v>
      </c>
      <c r="I19" s="104">
        <f t="shared" si="4"/>
        <v>-65520</v>
      </c>
      <c r="M19">
        <v>17</v>
      </c>
      <c r="N19" t="s">
        <v>144</v>
      </c>
      <c r="O19" t="s">
        <v>145</v>
      </c>
      <c r="P19" s="87">
        <v>0.49854166666666666</v>
      </c>
      <c r="Q19" t="s">
        <v>146</v>
      </c>
      <c r="R19" s="86">
        <v>0.18124999999999999</v>
      </c>
      <c r="S19" s="86">
        <v>0.83750000000000002</v>
      </c>
      <c r="T19" s="86">
        <v>0.20972222222222223</v>
      </c>
      <c r="U19" s="86">
        <v>0.80902777777777779</v>
      </c>
      <c r="V19" s="86">
        <v>0.23680555555555557</v>
      </c>
      <c r="W19" s="86">
        <v>0.78194444444444444</v>
      </c>
      <c r="X19" t="s">
        <v>147</v>
      </c>
      <c r="Y19">
        <v>148.86199999999999</v>
      </c>
    </row>
    <row r="20" spans="1:25">
      <c r="A20" s="84">
        <f t="shared" si="2"/>
        <v>43177</v>
      </c>
      <c r="B20" s="98">
        <f t="shared" si="0"/>
        <v>0.25833333333333336</v>
      </c>
      <c r="C20" s="99">
        <f t="shared" si="1"/>
        <v>0.7597222222222223</v>
      </c>
      <c r="D20" s="33">
        <f t="shared" si="7"/>
        <v>90</v>
      </c>
      <c r="E20" s="7">
        <f t="shared" ref="E20:E33" si="8">MID(O20,10,3)*1</f>
        <v>270</v>
      </c>
      <c r="F20" s="98"/>
      <c r="G20" s="99"/>
      <c r="H20" s="104">
        <f t="shared" si="3"/>
        <v>-22320.000000000004</v>
      </c>
      <c r="I20" s="104">
        <f t="shared" si="4"/>
        <v>-65640</v>
      </c>
      <c r="M20">
        <v>18</v>
      </c>
      <c r="N20" t="s">
        <v>148</v>
      </c>
      <c r="O20" t="s">
        <v>149</v>
      </c>
      <c r="P20" s="87">
        <v>0.50131944444444443</v>
      </c>
      <c r="Q20" t="s">
        <v>117</v>
      </c>
      <c r="R20" s="86">
        <v>0.17986111111111111</v>
      </c>
      <c r="S20" s="86">
        <v>0.83888888888888891</v>
      </c>
      <c r="T20" s="86">
        <v>0.2076388888888889</v>
      </c>
      <c r="U20" s="86">
        <v>0.81041666666666667</v>
      </c>
      <c r="V20" s="86">
        <v>0.23541666666666669</v>
      </c>
      <c r="W20" s="86">
        <v>0.78333333333333333</v>
      </c>
      <c r="X20" t="s">
        <v>150</v>
      </c>
      <c r="Y20">
        <v>148.90299999999999</v>
      </c>
    </row>
    <row r="21" spans="1:25">
      <c r="A21" s="84">
        <f t="shared" si="2"/>
        <v>43178</v>
      </c>
      <c r="B21" s="98">
        <f t="shared" si="0"/>
        <v>0.25694444444444448</v>
      </c>
      <c r="C21" s="99">
        <f t="shared" si="1"/>
        <v>0.76111111111111107</v>
      </c>
      <c r="D21" s="33">
        <f t="shared" si="7"/>
        <v>90</v>
      </c>
      <c r="E21" s="7">
        <f t="shared" si="8"/>
        <v>270</v>
      </c>
      <c r="F21" s="98"/>
      <c r="G21" s="99"/>
      <c r="H21" s="104">
        <f t="shared" si="3"/>
        <v>-22200.000000000004</v>
      </c>
      <c r="I21" s="104">
        <f t="shared" si="4"/>
        <v>-65760</v>
      </c>
      <c r="M21">
        <v>19</v>
      </c>
      <c r="N21" t="s">
        <v>151</v>
      </c>
      <c r="O21" t="s">
        <v>152</v>
      </c>
      <c r="P21" s="87">
        <v>0.50410879629629635</v>
      </c>
      <c r="Q21" t="s">
        <v>136</v>
      </c>
      <c r="R21" s="86">
        <v>0.17777777777777778</v>
      </c>
      <c r="S21" s="86">
        <v>0.84027777777777779</v>
      </c>
      <c r="T21" s="86">
        <v>0.20625000000000002</v>
      </c>
      <c r="U21" s="86">
        <v>0.81180555555555556</v>
      </c>
      <c r="V21" s="86">
        <v>0.23333333333333331</v>
      </c>
      <c r="W21" s="86">
        <v>0.78402777777777777</v>
      </c>
      <c r="X21" t="s">
        <v>153</v>
      </c>
      <c r="Y21">
        <v>148.94399999999999</v>
      </c>
    </row>
    <row r="22" spans="1:25">
      <c r="A22" s="84">
        <f t="shared" si="2"/>
        <v>43179</v>
      </c>
      <c r="B22" s="98">
        <f t="shared" si="0"/>
        <v>0.25555555555555559</v>
      </c>
      <c r="C22" s="99">
        <f t="shared" si="1"/>
        <v>0.76180555555555562</v>
      </c>
      <c r="D22" s="33">
        <f t="shared" si="7"/>
        <v>89</v>
      </c>
      <c r="E22" s="7">
        <f t="shared" si="8"/>
        <v>271</v>
      </c>
      <c r="F22" s="98"/>
      <c r="G22" s="99"/>
      <c r="H22" s="104">
        <f t="shared" si="3"/>
        <v>-22080.000000000004</v>
      </c>
      <c r="I22" s="104">
        <f t="shared" si="4"/>
        <v>-65820</v>
      </c>
      <c r="M22">
        <v>20</v>
      </c>
      <c r="N22" t="s">
        <v>154</v>
      </c>
      <c r="O22" t="s">
        <v>155</v>
      </c>
      <c r="P22" s="87">
        <v>0.50688657407407411</v>
      </c>
      <c r="Q22" t="s">
        <v>117</v>
      </c>
      <c r="R22" s="86">
        <v>0.17569444444444446</v>
      </c>
      <c r="S22" s="86">
        <v>0.84166666666666667</v>
      </c>
      <c r="T22" s="86">
        <v>0.20486111111111113</v>
      </c>
      <c r="U22" s="86">
        <v>0.81319444444444444</v>
      </c>
      <c r="V22" s="86">
        <v>0.23194444444444443</v>
      </c>
      <c r="W22" s="86">
        <v>0.78541666666666676</v>
      </c>
      <c r="X22" t="s">
        <v>156</v>
      </c>
      <c r="Y22">
        <v>148.98599999999999</v>
      </c>
    </row>
    <row r="23" spans="1:25">
      <c r="A23" s="84">
        <f t="shared" si="2"/>
        <v>43180</v>
      </c>
      <c r="B23" s="98">
        <f t="shared" si="0"/>
        <v>0.25347222222222221</v>
      </c>
      <c r="C23" s="99">
        <f t="shared" si="1"/>
        <v>0.7631944444444444</v>
      </c>
      <c r="D23" s="33">
        <f t="shared" si="7"/>
        <v>89</v>
      </c>
      <c r="E23" s="7">
        <f t="shared" si="8"/>
        <v>272</v>
      </c>
      <c r="F23" s="98"/>
      <c r="G23" s="99"/>
      <c r="H23" s="104">
        <f t="shared" si="3"/>
        <v>-21900</v>
      </c>
      <c r="I23" s="104">
        <f t="shared" si="4"/>
        <v>-65940</v>
      </c>
      <c r="M23">
        <v>21</v>
      </c>
      <c r="N23" t="s">
        <v>157</v>
      </c>
      <c r="O23" t="s">
        <v>158</v>
      </c>
      <c r="P23" s="87">
        <v>0.50966435185185188</v>
      </c>
      <c r="Q23" t="s">
        <v>117</v>
      </c>
      <c r="R23" s="86">
        <v>0.17430555555555557</v>
      </c>
      <c r="S23" s="86">
        <v>0.84305555555555556</v>
      </c>
      <c r="T23" s="86">
        <v>0.20277777777777781</v>
      </c>
      <c r="U23" s="86">
        <v>0.81458333333333333</v>
      </c>
      <c r="V23" s="86">
        <v>0.23055555555555554</v>
      </c>
      <c r="W23" s="86">
        <v>0.78680555555555554</v>
      </c>
      <c r="X23" t="s">
        <v>159</v>
      </c>
      <c r="Y23">
        <v>149.02699999999999</v>
      </c>
    </row>
    <row r="24" spans="1:25">
      <c r="A24" s="84">
        <f t="shared" si="2"/>
        <v>43181</v>
      </c>
      <c r="B24" s="98">
        <f t="shared" si="0"/>
        <v>0.25208333333333333</v>
      </c>
      <c r="C24" s="99">
        <f t="shared" si="1"/>
        <v>0.76458333333333339</v>
      </c>
      <c r="D24" s="33">
        <f t="shared" si="7"/>
        <v>88</v>
      </c>
      <c r="E24" s="7">
        <f t="shared" si="8"/>
        <v>272</v>
      </c>
      <c r="F24" s="98"/>
      <c r="G24" s="99"/>
      <c r="H24" s="104">
        <f t="shared" si="3"/>
        <v>-21780</v>
      </c>
      <c r="I24" s="104">
        <f t="shared" si="4"/>
        <v>-66060</v>
      </c>
      <c r="M24">
        <v>22</v>
      </c>
      <c r="N24" t="s">
        <v>160</v>
      </c>
      <c r="O24" t="s">
        <v>161</v>
      </c>
      <c r="P24" s="87">
        <v>0.51245370370370369</v>
      </c>
      <c r="Q24" t="s">
        <v>136</v>
      </c>
      <c r="R24" s="86">
        <v>0.17222222222222225</v>
      </c>
      <c r="S24" s="86">
        <v>0.84444444444444444</v>
      </c>
      <c r="T24" s="86">
        <v>0.20138888888888887</v>
      </c>
      <c r="U24" s="86">
        <v>0.81527777777777777</v>
      </c>
      <c r="V24" s="86">
        <v>0.22847222222222222</v>
      </c>
      <c r="W24" s="86">
        <v>0.78749999999999998</v>
      </c>
      <c r="X24" t="s">
        <v>162</v>
      </c>
      <c r="Y24">
        <v>149.06800000000001</v>
      </c>
    </row>
    <row r="25" spans="1:25">
      <c r="A25" s="84">
        <f t="shared" si="2"/>
        <v>43182</v>
      </c>
      <c r="B25" s="98">
        <f t="shared" si="0"/>
        <v>0.25069444444444444</v>
      </c>
      <c r="C25" s="99">
        <f t="shared" si="1"/>
        <v>0.76597222222222217</v>
      </c>
      <c r="D25" s="33">
        <f t="shared" si="7"/>
        <v>87</v>
      </c>
      <c r="E25" s="7">
        <f t="shared" si="8"/>
        <v>273</v>
      </c>
      <c r="F25" s="98"/>
      <c r="G25" s="99"/>
      <c r="H25" s="104">
        <f t="shared" si="3"/>
        <v>-21660</v>
      </c>
      <c r="I25" s="104">
        <f t="shared" si="4"/>
        <v>-66180</v>
      </c>
      <c r="M25">
        <v>23</v>
      </c>
      <c r="N25" t="s">
        <v>163</v>
      </c>
      <c r="O25" t="s">
        <v>164</v>
      </c>
      <c r="P25" s="87">
        <v>0.51523148148148146</v>
      </c>
      <c r="Q25" t="s">
        <v>117</v>
      </c>
      <c r="R25" s="86">
        <v>0.17083333333333331</v>
      </c>
      <c r="S25" s="86">
        <v>0.84583333333333333</v>
      </c>
      <c r="T25" s="86">
        <v>0.19930555555555554</v>
      </c>
      <c r="U25" s="86">
        <v>0.81666666666666676</v>
      </c>
      <c r="V25" s="86">
        <v>0.22708333333333333</v>
      </c>
      <c r="W25" s="86">
        <v>0.78888888888888886</v>
      </c>
      <c r="X25" t="s">
        <v>165</v>
      </c>
      <c r="Y25">
        <v>149.10900000000001</v>
      </c>
    </row>
    <row r="26" spans="1:25">
      <c r="A26" s="84">
        <f t="shared" si="2"/>
        <v>43183</v>
      </c>
      <c r="B26" s="98">
        <f t="shared" si="0"/>
        <v>0.24861111111111112</v>
      </c>
      <c r="C26" s="99">
        <f t="shared" si="1"/>
        <v>0.76666666666666661</v>
      </c>
      <c r="D26" s="33">
        <f t="shared" si="7"/>
        <v>87</v>
      </c>
      <c r="E26" s="7">
        <f t="shared" si="8"/>
        <v>274</v>
      </c>
      <c r="F26" s="98"/>
      <c r="G26" s="99"/>
      <c r="H26" s="104">
        <f t="shared" si="3"/>
        <v>-21480</v>
      </c>
      <c r="I26" s="104">
        <f t="shared" si="4"/>
        <v>-66240</v>
      </c>
      <c r="M26">
        <v>24</v>
      </c>
      <c r="N26" t="s">
        <v>166</v>
      </c>
      <c r="O26" t="s">
        <v>167</v>
      </c>
      <c r="P26" s="87">
        <v>0.51802083333333326</v>
      </c>
      <c r="Q26" t="s">
        <v>136</v>
      </c>
      <c r="R26" s="86">
        <v>0.16874999999999998</v>
      </c>
      <c r="S26" s="86">
        <v>0.84722222222222221</v>
      </c>
      <c r="T26" s="86">
        <v>0.19791666666666666</v>
      </c>
      <c r="U26" s="86">
        <v>0.81805555555555554</v>
      </c>
      <c r="V26" s="86">
        <v>0.22569444444444445</v>
      </c>
      <c r="W26" s="86">
        <v>0.79027777777777775</v>
      </c>
      <c r="X26" t="s">
        <v>168</v>
      </c>
      <c r="Y26">
        <v>149.15</v>
      </c>
    </row>
    <row r="27" spans="1:25">
      <c r="A27" s="84">
        <f t="shared" si="2"/>
        <v>43184</v>
      </c>
      <c r="B27" s="98">
        <f>LEFT(N27,5)*1-1/24</f>
        <v>0.24722222222222226</v>
      </c>
      <c r="C27" s="99">
        <f t="shared" ref="C27:C33" si="9">LEFT(O27,5)*1-1/24</f>
        <v>0.7680555555555556</v>
      </c>
      <c r="D27" s="33">
        <f t="shared" si="7"/>
        <v>86</v>
      </c>
      <c r="E27" s="7">
        <f t="shared" si="8"/>
        <v>274</v>
      </c>
      <c r="F27" s="98"/>
      <c r="G27" s="99"/>
      <c r="H27" s="104">
        <f t="shared" si="3"/>
        <v>-21360.000000000004</v>
      </c>
      <c r="I27" s="104">
        <f t="shared" si="4"/>
        <v>-66360</v>
      </c>
      <c r="M27">
        <v>25</v>
      </c>
      <c r="N27" t="s">
        <v>169</v>
      </c>
      <c r="O27" t="s">
        <v>170</v>
      </c>
      <c r="P27" s="87">
        <v>0.52079861111111114</v>
      </c>
      <c r="Q27" t="s">
        <v>117</v>
      </c>
      <c r="R27" s="86">
        <v>0.20833333333333334</v>
      </c>
      <c r="S27" s="86">
        <v>0.89027777777777783</v>
      </c>
      <c r="T27" s="86">
        <v>0.23750000000000002</v>
      </c>
      <c r="U27" s="86">
        <v>0.86111111111111116</v>
      </c>
      <c r="V27" s="86">
        <v>0.26527777777777778</v>
      </c>
      <c r="W27" s="86">
        <v>0.83333333333333337</v>
      </c>
      <c r="X27" t="s">
        <v>171</v>
      </c>
      <c r="Y27">
        <v>149.19200000000001</v>
      </c>
    </row>
    <row r="28" spans="1:25">
      <c r="A28" s="84">
        <f t="shared" si="2"/>
        <v>43185</v>
      </c>
      <c r="B28" s="98">
        <f t="shared" ref="B28:B33" si="10">LEFT(N28,5)*1-1/24</f>
        <v>0.24583333333333338</v>
      </c>
      <c r="C28" s="99">
        <f t="shared" si="9"/>
        <v>0.76944444444444438</v>
      </c>
      <c r="D28" s="33">
        <f t="shared" si="7"/>
        <v>85</v>
      </c>
      <c r="E28" s="7">
        <f t="shared" si="8"/>
        <v>275</v>
      </c>
      <c r="F28" s="98"/>
      <c r="G28" s="99"/>
      <c r="H28" s="104">
        <f t="shared" si="3"/>
        <v>-21240.000000000004</v>
      </c>
      <c r="I28" s="104">
        <f t="shared" si="4"/>
        <v>-66480</v>
      </c>
      <c r="M28">
        <v>26</v>
      </c>
      <c r="N28" t="s">
        <v>172</v>
      </c>
      <c r="O28" t="s">
        <v>173</v>
      </c>
      <c r="P28" s="87">
        <v>0.52357638888888891</v>
      </c>
      <c r="Q28" t="s">
        <v>117</v>
      </c>
      <c r="R28" s="86">
        <v>0.20694444444444446</v>
      </c>
      <c r="S28" s="86">
        <v>0.89236111111111116</v>
      </c>
      <c r="T28" s="86">
        <v>0.23611111111111113</v>
      </c>
      <c r="U28" s="86">
        <v>0.86249999999999993</v>
      </c>
      <c r="V28" s="86">
        <v>0.2638888888888889</v>
      </c>
      <c r="W28" s="86">
        <v>0.8340277777777777</v>
      </c>
      <c r="X28" t="s">
        <v>174</v>
      </c>
      <c r="Y28">
        <v>149.233</v>
      </c>
    </row>
    <row r="29" spans="1:25">
      <c r="A29" s="84">
        <f t="shared" si="2"/>
        <v>43186</v>
      </c>
      <c r="B29" s="98">
        <f t="shared" si="10"/>
        <v>0.24374999999999999</v>
      </c>
      <c r="C29" s="99">
        <f t="shared" si="9"/>
        <v>0.77013888888888893</v>
      </c>
      <c r="D29" s="33">
        <f t="shared" si="7"/>
        <v>85</v>
      </c>
      <c r="E29" s="7">
        <f t="shared" si="8"/>
        <v>276</v>
      </c>
      <c r="F29" s="98"/>
      <c r="G29" s="99"/>
      <c r="H29" s="104">
        <f t="shared" si="3"/>
        <v>-21060</v>
      </c>
      <c r="I29" s="104">
        <f t="shared" si="4"/>
        <v>-66540</v>
      </c>
      <c r="M29">
        <v>27</v>
      </c>
      <c r="N29" t="s">
        <v>175</v>
      </c>
      <c r="O29" t="s">
        <v>176</v>
      </c>
      <c r="P29" s="87">
        <v>0.52634259259259253</v>
      </c>
      <c r="Q29" t="s">
        <v>107</v>
      </c>
      <c r="R29" s="86">
        <v>0.20486111111111113</v>
      </c>
      <c r="S29" s="86">
        <v>0.89374999999999993</v>
      </c>
      <c r="T29" s="86">
        <v>0.23402777777777781</v>
      </c>
      <c r="U29" s="86">
        <v>0.86388888888888893</v>
      </c>
      <c r="V29" s="86">
        <v>0.26250000000000001</v>
      </c>
      <c r="W29" s="86">
        <v>0.8354166666666667</v>
      </c>
      <c r="X29" t="s">
        <v>177</v>
      </c>
      <c r="Y29">
        <v>149.27500000000001</v>
      </c>
    </row>
    <row r="30" spans="1:25">
      <c r="A30" s="84">
        <f t="shared" si="2"/>
        <v>43187</v>
      </c>
      <c r="B30" s="98">
        <f t="shared" si="10"/>
        <v>0.24236111111111111</v>
      </c>
      <c r="C30" s="99">
        <f t="shared" si="9"/>
        <v>0.77152777777777781</v>
      </c>
      <c r="D30" s="33">
        <f t="shared" si="7"/>
        <v>84</v>
      </c>
      <c r="E30" s="7">
        <f t="shared" si="8"/>
        <v>276</v>
      </c>
      <c r="F30" s="98"/>
      <c r="G30" s="99"/>
      <c r="H30" s="104">
        <f t="shared" si="3"/>
        <v>-20940</v>
      </c>
      <c r="I30" s="104">
        <f t="shared" si="4"/>
        <v>-66660</v>
      </c>
      <c r="M30">
        <v>28</v>
      </c>
      <c r="N30" t="s">
        <v>178</v>
      </c>
      <c r="O30" t="s">
        <v>179</v>
      </c>
      <c r="P30" s="87">
        <v>0.5291203703703703</v>
      </c>
      <c r="Q30" t="s">
        <v>117</v>
      </c>
      <c r="R30" s="86">
        <v>0.20277777777777781</v>
      </c>
      <c r="S30" s="86">
        <v>0.89513888888888893</v>
      </c>
      <c r="T30" s="86">
        <v>0.23263888888888887</v>
      </c>
      <c r="U30" s="86">
        <v>0.8652777777777777</v>
      </c>
      <c r="V30" s="86">
        <v>0.26041666666666669</v>
      </c>
      <c r="W30" s="86">
        <v>0.83680555555555547</v>
      </c>
      <c r="X30" t="s">
        <v>180</v>
      </c>
      <c r="Y30">
        <v>149.31700000000001</v>
      </c>
    </row>
    <row r="31" spans="1:25">
      <c r="A31" s="84">
        <f t="shared" si="2"/>
        <v>43188</v>
      </c>
      <c r="B31" s="98">
        <f t="shared" si="10"/>
        <v>0.24097222222222223</v>
      </c>
      <c r="C31" s="99">
        <f t="shared" si="9"/>
        <v>0.7729166666666667</v>
      </c>
      <c r="D31" s="33">
        <f t="shared" si="7"/>
        <v>83</v>
      </c>
      <c r="E31" s="7">
        <f t="shared" si="8"/>
        <v>277</v>
      </c>
      <c r="F31" s="98"/>
      <c r="G31" s="99"/>
      <c r="H31" s="104">
        <f t="shared" si="3"/>
        <v>-20820</v>
      </c>
      <c r="I31" s="104">
        <f t="shared" si="4"/>
        <v>-66780</v>
      </c>
      <c r="M31">
        <v>29</v>
      </c>
      <c r="N31" t="s">
        <v>181</v>
      </c>
      <c r="O31" t="s">
        <v>182</v>
      </c>
      <c r="P31" s="87">
        <v>0.53188657407407403</v>
      </c>
      <c r="Q31" t="s">
        <v>107</v>
      </c>
      <c r="R31" s="86">
        <v>0.20069444444444443</v>
      </c>
      <c r="S31" s="86">
        <v>0.8965277777777777</v>
      </c>
      <c r="T31" s="86">
        <v>0.23055555555555554</v>
      </c>
      <c r="U31" s="86">
        <v>0.8666666666666667</v>
      </c>
      <c r="V31" s="86">
        <v>0.2590277777777778</v>
      </c>
      <c r="W31" s="86">
        <v>0.83819444444444446</v>
      </c>
      <c r="X31" t="s">
        <v>183</v>
      </c>
      <c r="Y31">
        <v>149.35900000000001</v>
      </c>
    </row>
    <row r="32" spans="1:25">
      <c r="A32" s="84">
        <f t="shared" si="2"/>
        <v>43189</v>
      </c>
      <c r="B32" s="98">
        <f t="shared" si="10"/>
        <v>0.23958333333333334</v>
      </c>
      <c r="C32" s="99">
        <f t="shared" si="9"/>
        <v>0.77361111111111114</v>
      </c>
      <c r="D32" s="33">
        <f t="shared" si="7"/>
        <v>83</v>
      </c>
      <c r="E32" s="7">
        <f t="shared" si="8"/>
        <v>277</v>
      </c>
      <c r="F32" s="98"/>
      <c r="G32" s="99"/>
      <c r="H32" s="104">
        <f t="shared" si="3"/>
        <v>-20700</v>
      </c>
      <c r="I32" s="104">
        <f t="shared" si="4"/>
        <v>-66840</v>
      </c>
      <c r="M32">
        <v>30</v>
      </c>
      <c r="N32" t="s">
        <v>184</v>
      </c>
      <c r="O32" t="s">
        <v>185</v>
      </c>
      <c r="P32" s="87">
        <v>0.53465277777777775</v>
      </c>
      <c r="Q32" t="s">
        <v>107</v>
      </c>
      <c r="R32" s="86">
        <v>0.19930555555555554</v>
      </c>
      <c r="S32" s="86">
        <v>0.8979166666666667</v>
      </c>
      <c r="T32" s="86">
        <v>0.22916666666666666</v>
      </c>
      <c r="U32" s="86">
        <v>0.86736111111111114</v>
      </c>
      <c r="V32" s="86">
        <v>0.25763888888888892</v>
      </c>
      <c r="W32" s="86">
        <v>0.83958333333333324</v>
      </c>
      <c r="X32" t="s">
        <v>186</v>
      </c>
      <c r="Y32">
        <v>149.40100000000001</v>
      </c>
    </row>
    <row r="33" spans="1:25" ht="15.75" thickBot="1">
      <c r="A33" s="84">
        <f t="shared" si="2"/>
        <v>43190</v>
      </c>
      <c r="B33" s="100">
        <f t="shared" si="10"/>
        <v>0.23750000000000002</v>
      </c>
      <c r="C33" s="101">
        <f t="shared" si="9"/>
        <v>0.77500000000000013</v>
      </c>
      <c r="D33" s="34">
        <f t="shared" si="7"/>
        <v>82</v>
      </c>
      <c r="E33" s="11">
        <f t="shared" si="8"/>
        <v>278</v>
      </c>
      <c r="F33" s="100"/>
      <c r="G33" s="101"/>
      <c r="H33" s="106">
        <f t="shared" si="3"/>
        <v>-20520</v>
      </c>
      <c r="I33" s="106">
        <f t="shared" si="4"/>
        <v>-66960</v>
      </c>
      <c r="M33">
        <v>31</v>
      </c>
      <c r="N33" t="s">
        <v>187</v>
      </c>
      <c r="O33" t="s">
        <v>188</v>
      </c>
      <c r="P33" s="87">
        <v>0.53741898148148148</v>
      </c>
      <c r="Q33" t="s">
        <v>107</v>
      </c>
      <c r="R33" s="86">
        <v>0.19722222222222222</v>
      </c>
      <c r="S33" s="86">
        <v>0.89930555555555547</v>
      </c>
      <c r="T33" s="86">
        <v>0.22708333333333333</v>
      </c>
      <c r="U33" s="86">
        <v>0.86875000000000002</v>
      </c>
      <c r="V33" s="86">
        <v>0.25555555555555559</v>
      </c>
      <c r="W33" s="86">
        <v>0.84027777777777779</v>
      </c>
      <c r="X33" t="s">
        <v>189</v>
      </c>
      <c r="Y33">
        <v>149.44399999999999</v>
      </c>
    </row>
    <row r="35" spans="1:25" ht="15.75" thickBot="1">
      <c r="H35" s="107">
        <f>AVERAGE(H37:H67)</f>
        <v>-26706.206896551725</v>
      </c>
      <c r="I35" s="107">
        <f>AVERAGE(I37:I67)</f>
        <v>-58437.931034482761</v>
      </c>
      <c r="M35" t="s">
        <v>198</v>
      </c>
      <c r="N35" t="s">
        <v>82</v>
      </c>
      <c r="O35" t="s">
        <v>83</v>
      </c>
      <c r="P35" t="s">
        <v>85</v>
      </c>
      <c r="Q35" t="s">
        <v>86</v>
      </c>
      <c r="R35" t="s">
        <v>87</v>
      </c>
      <c r="S35" t="s">
        <v>88</v>
      </c>
      <c r="T35" t="s">
        <v>87</v>
      </c>
      <c r="U35" t="s">
        <v>88</v>
      </c>
      <c r="V35" t="s">
        <v>87</v>
      </c>
      <c r="W35" t="s">
        <v>88</v>
      </c>
      <c r="X35" t="s">
        <v>89</v>
      </c>
      <c r="Y35" t="s">
        <v>90</v>
      </c>
    </row>
    <row r="36" spans="1:25">
      <c r="A36" s="84">
        <f>DATE(2025,11,M36)</f>
        <v>45962</v>
      </c>
      <c r="B36" s="96">
        <f t="shared" ref="B36:C39" si="11">LEFT(N36,5)*1</f>
        <v>0.29097222222222224</v>
      </c>
      <c r="C36" s="97">
        <f t="shared" si="11"/>
        <v>0.69166666666666676</v>
      </c>
      <c r="D36" s="31">
        <f>MID(N36,10,3)*1</f>
        <v>113</v>
      </c>
      <c r="E36" s="10">
        <f>MID(O36,10,3)*1</f>
        <v>247</v>
      </c>
      <c r="F36" s="96"/>
      <c r="G36" s="97"/>
      <c r="H36" s="102">
        <f>(F36-B36)*24*3600</f>
        <v>-25140.000000000004</v>
      </c>
      <c r="I36" s="103">
        <f>(G36-C36)*24*3600</f>
        <v>-59760.000000000007</v>
      </c>
      <c r="M36">
        <v>1</v>
      </c>
      <c r="N36" t="s">
        <v>199</v>
      </c>
      <c r="O36" t="s">
        <v>200</v>
      </c>
      <c r="P36" s="87">
        <v>0.40096064814814819</v>
      </c>
      <c r="Q36" s="84" t="s">
        <v>290</v>
      </c>
      <c r="R36" s="86">
        <v>0.21180555555555555</v>
      </c>
      <c r="S36" s="86">
        <v>0.77083333333333337</v>
      </c>
      <c r="T36" s="86">
        <v>0.2388888888888889</v>
      </c>
      <c r="U36" s="86">
        <v>0.74444444444444446</v>
      </c>
      <c r="V36" s="86">
        <v>0.26666666666666666</v>
      </c>
      <c r="W36" s="86">
        <v>0.71666666666666667</v>
      </c>
      <c r="X36" t="s">
        <v>201</v>
      </c>
      <c r="Y36">
        <v>148.47200000000001</v>
      </c>
    </row>
    <row r="37" spans="1:25">
      <c r="A37" s="84">
        <f t="shared" ref="A37:A39" si="12">DATE(2025,11,M37)</f>
        <v>45963</v>
      </c>
      <c r="B37" s="98">
        <f t="shared" si="11"/>
        <v>0.29236111111111113</v>
      </c>
      <c r="C37" s="99">
        <f t="shared" si="11"/>
        <v>0.69097222222222221</v>
      </c>
      <c r="D37" s="33">
        <f>MID(N37,10,3)*1</f>
        <v>113</v>
      </c>
      <c r="E37" s="7">
        <f>MID(O37,10,3)*1</f>
        <v>246</v>
      </c>
      <c r="F37" s="98"/>
      <c r="G37" s="99"/>
      <c r="H37" s="104">
        <f t="shared" ref="H37:H39" si="13">(F37-B37)*24*3600</f>
        <v>-25260.000000000004</v>
      </c>
      <c r="I37" s="105">
        <f t="shared" ref="I37:I39" si="14">(G37-C37)*24*3600</f>
        <v>-59699.999999999993</v>
      </c>
      <c r="M37">
        <v>2</v>
      </c>
      <c r="N37" t="s">
        <v>202</v>
      </c>
      <c r="O37" t="s">
        <v>203</v>
      </c>
      <c r="P37" s="87">
        <v>0.39847222222222217</v>
      </c>
      <c r="Q37" s="84" t="s">
        <v>291</v>
      </c>
      <c r="R37" s="86">
        <v>0.21249999999999999</v>
      </c>
      <c r="S37" s="86">
        <v>0.77013888888888893</v>
      </c>
      <c r="T37" s="86">
        <v>0.23958333333333334</v>
      </c>
      <c r="U37" s="86">
        <v>0.74305555555555547</v>
      </c>
      <c r="V37" s="86">
        <v>0.2673611111111111</v>
      </c>
      <c r="W37" s="86">
        <v>0.71527777777777779</v>
      </c>
      <c r="X37" t="s">
        <v>204</v>
      </c>
      <c r="Y37">
        <v>148.43299999999999</v>
      </c>
    </row>
    <row r="38" spans="1:25">
      <c r="A38" s="84">
        <f t="shared" si="12"/>
        <v>45964</v>
      </c>
      <c r="B38" s="98">
        <f t="shared" si="11"/>
        <v>0.29375000000000001</v>
      </c>
      <c r="C38" s="99">
        <f t="shared" si="11"/>
        <v>0.68958333333333333</v>
      </c>
      <c r="D38" s="33">
        <f t="shared" ref="D38" si="15">MID(N38,10,IF(MID(N38,10,1)="1",3,2))*1</f>
        <v>114</v>
      </c>
      <c r="E38" s="7">
        <f>MID(O38,10,3)*1</f>
        <v>246</v>
      </c>
      <c r="F38" s="98"/>
      <c r="G38" s="99"/>
      <c r="H38" s="104">
        <f t="shared" si="13"/>
        <v>-25380.000000000004</v>
      </c>
      <c r="I38" s="105">
        <f t="shared" si="14"/>
        <v>-59580</v>
      </c>
      <c r="M38">
        <v>3</v>
      </c>
      <c r="N38" t="s">
        <v>205</v>
      </c>
      <c r="O38" t="s">
        <v>206</v>
      </c>
      <c r="P38" s="87">
        <v>0.39600694444444445</v>
      </c>
      <c r="Q38" s="84" t="s">
        <v>292</v>
      </c>
      <c r="R38" s="86">
        <v>0.21388888888888891</v>
      </c>
      <c r="S38" s="86">
        <v>0.76874999999999993</v>
      </c>
      <c r="T38" s="86">
        <v>0.24097222222222223</v>
      </c>
      <c r="U38" s="86">
        <v>0.7416666666666667</v>
      </c>
      <c r="V38" s="86">
        <v>0.26874999999999999</v>
      </c>
      <c r="W38" s="86">
        <v>0.71388888888888891</v>
      </c>
      <c r="X38" t="s">
        <v>207</v>
      </c>
      <c r="Y38">
        <v>148.39500000000001</v>
      </c>
    </row>
    <row r="39" spans="1:25">
      <c r="A39" s="84">
        <f t="shared" si="12"/>
        <v>45965</v>
      </c>
      <c r="B39" s="98">
        <f t="shared" si="11"/>
        <v>0.29444444444444445</v>
      </c>
      <c r="C39" s="99">
        <f t="shared" si="11"/>
        <v>0.68819444444444444</v>
      </c>
      <c r="D39" s="33">
        <f>MID(N39,10,IF(MID(N39,10,1)="1",3,2))*1</f>
        <v>114</v>
      </c>
      <c r="E39" s="7">
        <f>MID(O39,10,3)*1</f>
        <v>245</v>
      </c>
      <c r="F39" s="98"/>
      <c r="G39" s="99"/>
      <c r="H39" s="104">
        <f t="shared" si="13"/>
        <v>-25440</v>
      </c>
      <c r="I39" s="105">
        <f t="shared" si="14"/>
        <v>-59460</v>
      </c>
      <c r="M39">
        <v>4</v>
      </c>
      <c r="N39" t="s">
        <v>208</v>
      </c>
      <c r="O39" t="s">
        <v>209</v>
      </c>
      <c r="P39" s="87">
        <v>0.39355324074074072</v>
      </c>
      <c r="Q39" s="84" t="s">
        <v>293</v>
      </c>
      <c r="R39" s="86">
        <v>0.21527777777777779</v>
      </c>
      <c r="S39" s="86">
        <v>0.7680555555555556</v>
      </c>
      <c r="T39" s="86">
        <v>0.24236111111111111</v>
      </c>
      <c r="U39" s="86">
        <v>0.74097222222222225</v>
      </c>
      <c r="V39" s="86">
        <v>0.27013888888888887</v>
      </c>
      <c r="W39" s="86">
        <v>0.71319444444444446</v>
      </c>
      <c r="X39" t="s">
        <v>210</v>
      </c>
      <c r="Y39">
        <v>148.357</v>
      </c>
    </row>
    <row r="40" spans="1:25">
      <c r="A40" s="84">
        <f t="shared" ref="A40:A65" si="16">DATE(2025,11,M40)</f>
        <v>45966</v>
      </c>
      <c r="B40" s="98">
        <f t="shared" ref="B40:B65" si="17">LEFT(N40,5)*1</f>
        <v>0.29583333333333334</v>
      </c>
      <c r="C40" s="99">
        <f t="shared" ref="C40:C65" si="18">LEFT(O40,5)*1</f>
        <v>0.68680555555555556</v>
      </c>
      <c r="D40" s="33">
        <f t="shared" ref="D40:D65" si="19">MID(N40,10,IF(MID(N40,10,1)="1",3,2))*1</f>
        <v>115</v>
      </c>
      <c r="E40" s="7">
        <f t="shared" ref="E40:E65" si="20">MID(O40,10,3)*1</f>
        <v>245</v>
      </c>
      <c r="F40" s="98"/>
      <c r="G40" s="99"/>
      <c r="H40" s="104">
        <f t="shared" ref="H40:H65" si="21">(F40-B40)*24*3600</f>
        <v>-25560</v>
      </c>
      <c r="I40" s="105">
        <f t="shared" ref="I40:I65" si="22">(G40-C40)*24*3600</f>
        <v>-59340</v>
      </c>
      <c r="M40">
        <v>5</v>
      </c>
      <c r="N40" t="s">
        <v>211</v>
      </c>
      <c r="O40" t="s">
        <v>212</v>
      </c>
      <c r="P40" s="87">
        <v>0.39112268518518517</v>
      </c>
      <c r="Q40" s="84" t="s">
        <v>294</v>
      </c>
      <c r="R40" s="86">
        <v>0.21597222222222223</v>
      </c>
      <c r="S40" s="86">
        <v>0.76666666666666661</v>
      </c>
      <c r="T40" s="86">
        <v>0.24305555555555555</v>
      </c>
      <c r="U40" s="86">
        <v>0.73958333333333337</v>
      </c>
      <c r="V40" s="86">
        <v>0.27083333333333331</v>
      </c>
      <c r="W40" s="86">
        <v>0.71180555555555547</v>
      </c>
      <c r="X40" t="s">
        <v>213</v>
      </c>
      <c r="Y40">
        <v>148.31899999999999</v>
      </c>
    </row>
    <row r="41" spans="1:25">
      <c r="A41" s="84">
        <f t="shared" si="16"/>
        <v>45967</v>
      </c>
      <c r="B41" s="98">
        <f t="shared" si="17"/>
        <v>0.29722222222222222</v>
      </c>
      <c r="C41" s="99">
        <f t="shared" si="18"/>
        <v>0.68611111111111101</v>
      </c>
      <c r="D41" s="33">
        <f t="shared" si="19"/>
        <v>115</v>
      </c>
      <c r="E41" s="7">
        <f t="shared" si="20"/>
        <v>244</v>
      </c>
      <c r="F41" s="98"/>
      <c r="G41" s="99"/>
      <c r="H41" s="104">
        <f t="shared" si="21"/>
        <v>-25680</v>
      </c>
      <c r="I41" s="105">
        <f t="shared" si="22"/>
        <v>-59279.999999999993</v>
      </c>
      <c r="M41">
        <v>6</v>
      </c>
      <c r="N41" t="s">
        <v>214</v>
      </c>
      <c r="O41" t="s">
        <v>215</v>
      </c>
      <c r="P41" s="87">
        <v>0.38871527777777781</v>
      </c>
      <c r="Q41" s="84" t="s">
        <v>295</v>
      </c>
      <c r="R41" s="86">
        <v>0.21736111111111112</v>
      </c>
      <c r="S41" s="86">
        <v>0.76597222222222217</v>
      </c>
      <c r="T41" s="86">
        <v>0.24444444444444446</v>
      </c>
      <c r="U41" s="86">
        <v>0.73888888888888893</v>
      </c>
      <c r="V41" s="86">
        <v>0.2722222222222222</v>
      </c>
      <c r="W41" s="86">
        <v>0.71111111111111114</v>
      </c>
      <c r="X41" t="s">
        <v>216</v>
      </c>
      <c r="Y41">
        <v>148.28200000000001</v>
      </c>
    </row>
    <row r="42" spans="1:25">
      <c r="A42" s="84">
        <f t="shared" si="16"/>
        <v>45968</v>
      </c>
      <c r="B42" s="98">
        <f t="shared" si="17"/>
        <v>0.2986111111111111</v>
      </c>
      <c r="C42" s="99">
        <f t="shared" si="18"/>
        <v>0.68472222222222223</v>
      </c>
      <c r="D42" s="33">
        <f t="shared" si="19"/>
        <v>116</v>
      </c>
      <c r="E42" s="7">
        <f t="shared" si="20"/>
        <v>244</v>
      </c>
      <c r="F42" s="98"/>
      <c r="G42" s="99"/>
      <c r="H42" s="104">
        <f t="shared" si="21"/>
        <v>-25799.999999999996</v>
      </c>
      <c r="I42" s="105">
        <f t="shared" si="22"/>
        <v>-59160</v>
      </c>
      <c r="M42">
        <v>7</v>
      </c>
      <c r="N42" t="s">
        <v>217</v>
      </c>
      <c r="O42" t="s">
        <v>218</v>
      </c>
      <c r="P42" s="87">
        <v>0.38633101851851853</v>
      </c>
      <c r="Q42" s="84" t="s">
        <v>296</v>
      </c>
      <c r="R42" s="86">
        <v>0.21805555555555556</v>
      </c>
      <c r="S42" s="86">
        <v>0.76458333333333339</v>
      </c>
      <c r="T42" s="86">
        <v>0.24513888888888888</v>
      </c>
      <c r="U42" s="86">
        <v>0.73749999999999993</v>
      </c>
      <c r="V42" s="86">
        <v>0.27361111111111108</v>
      </c>
      <c r="W42" s="86">
        <v>0.70972222222222225</v>
      </c>
      <c r="X42" t="s">
        <v>219</v>
      </c>
      <c r="Y42">
        <v>148.24600000000001</v>
      </c>
    </row>
    <row r="43" spans="1:25">
      <c r="A43" s="84">
        <f t="shared" si="16"/>
        <v>45969</v>
      </c>
      <c r="B43" s="98">
        <f t="shared" si="17"/>
        <v>0.3</v>
      </c>
      <c r="C43" s="99">
        <f t="shared" si="18"/>
        <v>0.68333333333333324</v>
      </c>
      <c r="D43" s="33">
        <f t="shared" si="19"/>
        <v>116</v>
      </c>
      <c r="E43" s="7">
        <f t="shared" si="20"/>
        <v>243</v>
      </c>
      <c r="F43" s="98"/>
      <c r="G43" s="99"/>
      <c r="H43" s="104">
        <f t="shared" si="21"/>
        <v>-25919.999999999996</v>
      </c>
      <c r="I43" s="105">
        <f t="shared" si="22"/>
        <v>-59039.999999999993</v>
      </c>
      <c r="M43">
        <v>8</v>
      </c>
      <c r="N43" t="s">
        <v>220</v>
      </c>
      <c r="O43" t="s">
        <v>221</v>
      </c>
      <c r="P43" s="87">
        <v>0.38395833333333335</v>
      </c>
      <c r="Q43" s="84" t="s">
        <v>297</v>
      </c>
      <c r="R43" s="86">
        <v>0.21944444444444444</v>
      </c>
      <c r="S43" s="86">
        <v>0.76388888888888884</v>
      </c>
      <c r="T43" s="86">
        <v>0.24652777777777779</v>
      </c>
      <c r="U43" s="86">
        <v>0.7368055555555556</v>
      </c>
      <c r="V43" s="86">
        <v>0.27430555555555552</v>
      </c>
      <c r="W43" s="86">
        <v>0.7090277777777777</v>
      </c>
      <c r="X43" t="s">
        <v>222</v>
      </c>
      <c r="Y43">
        <v>148.21</v>
      </c>
    </row>
    <row r="44" spans="1:25">
      <c r="A44" s="84">
        <f t="shared" si="16"/>
        <v>45970</v>
      </c>
      <c r="B44" s="98">
        <f t="shared" si="17"/>
        <v>0.30069444444444443</v>
      </c>
      <c r="C44" s="99">
        <f t="shared" si="18"/>
        <v>0.68263888888888891</v>
      </c>
      <c r="D44" s="33">
        <f t="shared" si="19"/>
        <v>117</v>
      </c>
      <c r="E44" s="7">
        <f t="shared" si="20"/>
        <v>243</v>
      </c>
      <c r="F44" s="98"/>
      <c r="G44" s="99"/>
      <c r="H44" s="104">
        <f t="shared" si="21"/>
        <v>-25980</v>
      </c>
      <c r="I44" s="105">
        <f t="shared" si="22"/>
        <v>-58980</v>
      </c>
      <c r="M44">
        <v>9</v>
      </c>
      <c r="N44" t="s">
        <v>223</v>
      </c>
      <c r="O44" t="s">
        <v>224</v>
      </c>
      <c r="P44" s="87">
        <v>0.38163194444444448</v>
      </c>
      <c r="Q44" s="84" t="s">
        <v>298</v>
      </c>
      <c r="R44" s="86">
        <v>0.22013888888888888</v>
      </c>
      <c r="S44" s="86">
        <v>0.7631944444444444</v>
      </c>
      <c r="T44" s="86">
        <v>0.24722222222222223</v>
      </c>
      <c r="U44" s="86">
        <v>0.73611111111111116</v>
      </c>
      <c r="V44" s="86">
        <v>0.27569444444444446</v>
      </c>
      <c r="W44" s="86">
        <v>0.70763888888888893</v>
      </c>
      <c r="X44" t="s">
        <v>225</v>
      </c>
      <c r="Y44">
        <v>148.17500000000001</v>
      </c>
    </row>
    <row r="45" spans="1:25">
      <c r="A45" s="84">
        <f t="shared" si="16"/>
        <v>45971</v>
      </c>
      <c r="B45" s="98">
        <f t="shared" si="17"/>
        <v>0.30208333333333331</v>
      </c>
      <c r="C45" s="99">
        <f t="shared" si="18"/>
        <v>0.68125000000000002</v>
      </c>
      <c r="D45" s="33">
        <f t="shared" si="19"/>
        <v>117</v>
      </c>
      <c r="E45" s="7">
        <f t="shared" si="20"/>
        <v>242</v>
      </c>
      <c r="F45" s="98"/>
      <c r="G45" s="99"/>
      <c r="H45" s="104">
        <f t="shared" si="21"/>
        <v>-26100</v>
      </c>
      <c r="I45" s="105">
        <f t="shared" si="22"/>
        <v>-58860.000000000007</v>
      </c>
      <c r="M45">
        <v>10</v>
      </c>
      <c r="N45" t="s">
        <v>226</v>
      </c>
      <c r="O45" t="s">
        <v>227</v>
      </c>
      <c r="P45" s="87">
        <v>0.3793171296296296</v>
      </c>
      <c r="Q45" s="84" t="s">
        <v>299</v>
      </c>
      <c r="R45" s="86">
        <v>0.22152777777777777</v>
      </c>
      <c r="S45" s="86">
        <v>0.76250000000000007</v>
      </c>
      <c r="T45" s="86">
        <v>0.24861111111111112</v>
      </c>
      <c r="U45" s="86">
        <v>0.73472222222222217</v>
      </c>
      <c r="V45" s="86">
        <v>0.27638888888888885</v>
      </c>
      <c r="W45" s="86">
        <v>0.70694444444444438</v>
      </c>
      <c r="X45" t="s">
        <v>228</v>
      </c>
      <c r="Y45">
        <v>148.14099999999999</v>
      </c>
    </row>
    <row r="46" spans="1:25">
      <c r="A46" s="84">
        <f t="shared" si="16"/>
        <v>45972</v>
      </c>
      <c r="B46" s="98">
        <f t="shared" si="17"/>
        <v>0.3034722222222222</v>
      </c>
      <c r="C46" s="99">
        <f t="shared" si="18"/>
        <v>0.68055555555555547</v>
      </c>
      <c r="D46" s="33">
        <f t="shared" si="19"/>
        <v>118</v>
      </c>
      <c r="E46" s="7">
        <f t="shared" si="20"/>
        <v>242</v>
      </c>
      <c r="F46" s="98"/>
      <c r="G46" s="99"/>
      <c r="H46" s="104">
        <f t="shared" si="21"/>
        <v>-26220</v>
      </c>
      <c r="I46" s="105">
        <f t="shared" si="22"/>
        <v>-58799.999999999993</v>
      </c>
      <c r="M46">
        <v>11</v>
      </c>
      <c r="N46" t="s">
        <v>229</v>
      </c>
      <c r="O46" t="s">
        <v>230</v>
      </c>
      <c r="P46" s="87">
        <v>0.37703703703703706</v>
      </c>
      <c r="Q46" s="84" t="s">
        <v>300</v>
      </c>
      <c r="R46" s="86">
        <v>0.22222222222222221</v>
      </c>
      <c r="S46" s="86">
        <v>0.76111111111111107</v>
      </c>
      <c r="T46" s="86">
        <v>0.25</v>
      </c>
      <c r="U46" s="86">
        <v>0.73402777777777783</v>
      </c>
      <c r="V46" s="86">
        <v>0.27777777777777779</v>
      </c>
      <c r="W46" s="86">
        <v>0.7055555555555556</v>
      </c>
      <c r="X46" t="s">
        <v>231</v>
      </c>
      <c r="Y46">
        <v>148.107</v>
      </c>
    </row>
    <row r="47" spans="1:25">
      <c r="A47" s="84">
        <f t="shared" si="16"/>
        <v>45973</v>
      </c>
      <c r="B47" s="98">
        <f t="shared" si="17"/>
        <v>0.30486111111111108</v>
      </c>
      <c r="C47" s="99">
        <f t="shared" si="18"/>
        <v>0.6791666666666667</v>
      </c>
      <c r="D47" s="33">
        <f t="shared" si="19"/>
        <v>118</v>
      </c>
      <c r="E47" s="7">
        <f t="shared" si="20"/>
        <v>241</v>
      </c>
      <c r="F47" s="98"/>
      <c r="G47" s="99"/>
      <c r="H47" s="104">
        <f t="shared" si="21"/>
        <v>-26340</v>
      </c>
      <c r="I47" s="105">
        <f t="shared" si="22"/>
        <v>-58680</v>
      </c>
      <c r="M47">
        <v>12</v>
      </c>
      <c r="N47" t="s">
        <v>232</v>
      </c>
      <c r="O47" t="s">
        <v>233</v>
      </c>
      <c r="P47" s="87">
        <v>0.3747800925925926</v>
      </c>
      <c r="Q47" s="84" t="s">
        <v>301</v>
      </c>
      <c r="R47" s="86">
        <v>0.22361111111111109</v>
      </c>
      <c r="S47" s="86">
        <v>0.76041666666666663</v>
      </c>
      <c r="T47" s="86">
        <v>0.25069444444444444</v>
      </c>
      <c r="U47" s="86">
        <v>0.73333333333333339</v>
      </c>
      <c r="V47" s="86">
        <v>0.27916666666666667</v>
      </c>
      <c r="W47" s="86">
        <v>0.70486111111111116</v>
      </c>
      <c r="X47" t="s">
        <v>234</v>
      </c>
      <c r="Y47">
        <v>148.07300000000001</v>
      </c>
    </row>
    <row r="48" spans="1:25">
      <c r="A48" s="84">
        <f t="shared" si="16"/>
        <v>45974</v>
      </c>
      <c r="B48" s="98">
        <f t="shared" si="17"/>
        <v>0.30555555555555552</v>
      </c>
      <c r="C48" s="99">
        <f t="shared" si="18"/>
        <v>0.67847222222222225</v>
      </c>
      <c r="D48" s="33">
        <f t="shared" si="19"/>
        <v>119</v>
      </c>
      <c r="E48" s="7">
        <f t="shared" si="20"/>
        <v>241</v>
      </c>
      <c r="F48" s="98"/>
      <c r="G48" s="99"/>
      <c r="H48" s="104">
        <f t="shared" si="21"/>
        <v>-26399.999999999996</v>
      </c>
      <c r="I48" s="105">
        <f t="shared" si="22"/>
        <v>-58620.000000000007</v>
      </c>
      <c r="M48">
        <v>13</v>
      </c>
      <c r="N48" t="s">
        <v>235</v>
      </c>
      <c r="O48" t="s">
        <v>236</v>
      </c>
      <c r="P48" s="87">
        <v>0.37255787037037041</v>
      </c>
      <c r="Q48" s="84" t="s">
        <v>302</v>
      </c>
      <c r="R48" s="86">
        <v>0.22430555555555556</v>
      </c>
      <c r="S48" s="86">
        <v>0.7597222222222223</v>
      </c>
      <c r="T48" s="86">
        <v>0.25208333333333333</v>
      </c>
      <c r="U48" s="86">
        <v>0.7319444444444444</v>
      </c>
      <c r="V48" s="86">
        <v>0.27986111111111112</v>
      </c>
      <c r="W48" s="86">
        <v>0.70416666666666661</v>
      </c>
      <c r="X48" t="s">
        <v>237</v>
      </c>
      <c r="Y48">
        <v>148.04</v>
      </c>
    </row>
    <row r="49" spans="1:25">
      <c r="A49" s="84">
        <f t="shared" si="16"/>
        <v>45975</v>
      </c>
      <c r="B49" s="98">
        <f t="shared" si="17"/>
        <v>0.30694444444444441</v>
      </c>
      <c r="C49" s="99">
        <f t="shared" si="18"/>
        <v>0.67708333333333337</v>
      </c>
      <c r="D49" s="33">
        <f t="shared" si="19"/>
        <v>119</v>
      </c>
      <c r="E49" s="7">
        <f t="shared" si="20"/>
        <v>241</v>
      </c>
      <c r="F49" s="98"/>
      <c r="G49" s="99"/>
      <c r="H49" s="104">
        <f t="shared" si="21"/>
        <v>-26519.999999999996</v>
      </c>
      <c r="I49" s="105">
        <f t="shared" si="22"/>
        <v>-58500</v>
      </c>
      <c r="M49">
        <v>14</v>
      </c>
      <c r="N49" t="s">
        <v>238</v>
      </c>
      <c r="O49" t="s">
        <v>239</v>
      </c>
      <c r="P49" s="87">
        <v>0.37034722222222222</v>
      </c>
      <c r="Q49" s="84" t="s">
        <v>303</v>
      </c>
      <c r="R49" s="86">
        <v>0.22569444444444445</v>
      </c>
      <c r="S49" s="86">
        <v>0.75902777777777775</v>
      </c>
      <c r="T49" s="86">
        <v>0.25277777777777777</v>
      </c>
      <c r="U49" s="86">
        <v>0.73125000000000007</v>
      </c>
      <c r="V49" s="86">
        <v>0.28125</v>
      </c>
      <c r="W49" s="86">
        <v>0.70277777777777783</v>
      </c>
      <c r="X49" t="s">
        <v>240</v>
      </c>
      <c r="Y49">
        <v>148.00700000000001</v>
      </c>
    </row>
    <row r="50" spans="1:25">
      <c r="A50" s="84">
        <f t="shared" si="16"/>
        <v>45976</v>
      </c>
      <c r="B50" s="98">
        <f t="shared" si="17"/>
        <v>0.30833333333333335</v>
      </c>
      <c r="C50" s="99">
        <f t="shared" si="18"/>
        <v>0.67638888888888893</v>
      </c>
      <c r="D50" s="33">
        <f t="shared" si="19"/>
        <v>120</v>
      </c>
      <c r="E50" s="7">
        <f t="shared" si="20"/>
        <v>240</v>
      </c>
      <c r="F50" s="98"/>
      <c r="G50" s="99"/>
      <c r="H50" s="104">
        <f t="shared" si="21"/>
        <v>-26640</v>
      </c>
      <c r="I50" s="105">
        <f t="shared" si="22"/>
        <v>-58440</v>
      </c>
      <c r="M50">
        <v>15</v>
      </c>
      <c r="N50" t="s">
        <v>241</v>
      </c>
      <c r="O50" t="s">
        <v>242</v>
      </c>
      <c r="P50" s="87">
        <v>0.3681828703703704</v>
      </c>
      <c r="Q50" s="84" t="s">
        <v>304</v>
      </c>
      <c r="R50" s="86">
        <v>0.22638888888888889</v>
      </c>
      <c r="S50" s="86">
        <v>0.7583333333333333</v>
      </c>
      <c r="T50" s="86">
        <v>0.25416666666666665</v>
      </c>
      <c r="U50" s="86">
        <v>0.73055555555555562</v>
      </c>
      <c r="V50" s="86">
        <v>0.28263888888888888</v>
      </c>
      <c r="W50" s="86">
        <v>0.70208333333333339</v>
      </c>
      <c r="X50" t="s">
        <v>243</v>
      </c>
      <c r="Y50">
        <v>147.97499999999999</v>
      </c>
    </row>
    <row r="51" spans="1:25">
      <c r="A51" s="84">
        <f t="shared" si="16"/>
        <v>45977</v>
      </c>
      <c r="B51" s="98">
        <f t="shared" si="17"/>
        <v>0.30902777777777779</v>
      </c>
      <c r="C51" s="99">
        <f t="shared" si="18"/>
        <v>0.67569444444444438</v>
      </c>
      <c r="D51" s="33">
        <f t="shared" si="19"/>
        <v>120</v>
      </c>
      <c r="E51" s="7">
        <f t="shared" si="20"/>
        <v>240</v>
      </c>
      <c r="F51" s="98"/>
      <c r="G51" s="99"/>
      <c r="H51" s="104">
        <f t="shared" si="21"/>
        <v>-26700</v>
      </c>
      <c r="I51" s="105">
        <f t="shared" si="22"/>
        <v>-58379.999999999993</v>
      </c>
      <c r="M51">
        <v>16</v>
      </c>
      <c r="N51" t="s">
        <v>244</v>
      </c>
      <c r="O51" t="s">
        <v>245</v>
      </c>
      <c r="P51" s="87">
        <v>0.36605324074074069</v>
      </c>
      <c r="Q51" s="84" t="s">
        <v>305</v>
      </c>
      <c r="R51" s="86">
        <v>0.22708333333333333</v>
      </c>
      <c r="S51" s="86">
        <v>0.75763888888888886</v>
      </c>
      <c r="T51" s="86">
        <v>0.25486111111111109</v>
      </c>
      <c r="U51" s="86">
        <v>0.72986111111111107</v>
      </c>
      <c r="V51" s="86">
        <v>0.28333333333333333</v>
      </c>
      <c r="W51" s="86">
        <v>0.70138888888888884</v>
      </c>
      <c r="X51" t="s">
        <v>246</v>
      </c>
      <c r="Y51">
        <v>147.94300000000001</v>
      </c>
    </row>
    <row r="52" spans="1:25">
      <c r="A52" s="84">
        <f t="shared" si="16"/>
        <v>45978</v>
      </c>
      <c r="B52" s="98">
        <f t="shared" si="17"/>
        <v>0.31041666666666667</v>
      </c>
      <c r="C52" s="99">
        <f t="shared" si="18"/>
        <v>0.6743055555555556</v>
      </c>
      <c r="D52" s="33">
        <f t="shared" si="19"/>
        <v>121</v>
      </c>
      <c r="E52" s="7">
        <f t="shared" si="20"/>
        <v>239</v>
      </c>
      <c r="F52" s="98"/>
      <c r="G52" s="99"/>
      <c r="H52" s="104">
        <f t="shared" si="21"/>
        <v>-26820</v>
      </c>
      <c r="I52" s="105">
        <f t="shared" si="22"/>
        <v>-58260</v>
      </c>
      <c r="M52">
        <v>17</v>
      </c>
      <c r="N52" t="s">
        <v>247</v>
      </c>
      <c r="O52" t="s">
        <v>248</v>
      </c>
      <c r="P52" s="87">
        <v>0.36396990740740742</v>
      </c>
      <c r="Q52" t="s">
        <v>249</v>
      </c>
      <c r="R52" s="86">
        <v>0.22847222222222222</v>
      </c>
      <c r="S52" s="86">
        <v>0.75694444444444453</v>
      </c>
      <c r="T52" s="86">
        <v>0.25555555555555559</v>
      </c>
      <c r="U52" s="86">
        <v>0.72916666666666663</v>
      </c>
      <c r="V52" s="86">
        <v>0.28472222222222221</v>
      </c>
      <c r="W52" s="86">
        <v>0.7006944444444444</v>
      </c>
      <c r="X52" t="s">
        <v>250</v>
      </c>
      <c r="Y52">
        <v>147.91200000000001</v>
      </c>
    </row>
    <row r="53" spans="1:25">
      <c r="A53" s="84">
        <f t="shared" si="16"/>
        <v>45979</v>
      </c>
      <c r="B53" s="98">
        <f t="shared" si="17"/>
        <v>0.31180555555555556</v>
      </c>
      <c r="C53" s="99">
        <f t="shared" si="18"/>
        <v>0.67361111111111116</v>
      </c>
      <c r="D53" s="33">
        <f t="shared" si="19"/>
        <v>121</v>
      </c>
      <c r="E53" s="7">
        <f t="shared" si="20"/>
        <v>239</v>
      </c>
      <c r="F53" s="98"/>
      <c r="G53" s="99"/>
      <c r="H53" s="104">
        <f t="shared" si="21"/>
        <v>-26940</v>
      </c>
      <c r="I53" s="105">
        <f t="shared" si="22"/>
        <v>-58200.000000000007</v>
      </c>
      <c r="M53">
        <v>18</v>
      </c>
      <c r="N53" t="s">
        <v>251</v>
      </c>
      <c r="O53" t="s">
        <v>252</v>
      </c>
      <c r="P53" s="87">
        <v>0.36190972222222223</v>
      </c>
      <c r="Q53" t="s">
        <v>306</v>
      </c>
      <c r="R53" s="86">
        <v>0.22916666666666666</v>
      </c>
      <c r="S53" s="86">
        <v>0.75624999999999998</v>
      </c>
      <c r="T53" s="86">
        <v>0.25694444444444448</v>
      </c>
      <c r="U53" s="86">
        <v>0.7284722222222223</v>
      </c>
      <c r="V53" s="86">
        <v>0.28541666666666665</v>
      </c>
      <c r="W53" s="86">
        <v>0.70000000000000007</v>
      </c>
      <c r="X53" t="s">
        <v>253</v>
      </c>
      <c r="Y53">
        <v>147.88</v>
      </c>
    </row>
    <row r="54" spans="1:25">
      <c r="A54" s="84">
        <f t="shared" si="16"/>
        <v>45980</v>
      </c>
      <c r="B54" s="98">
        <f t="shared" si="17"/>
        <v>0.31319444444444444</v>
      </c>
      <c r="C54" s="99">
        <f t="shared" si="18"/>
        <v>0.67291666666666661</v>
      </c>
      <c r="D54" s="33">
        <f t="shared" si="19"/>
        <v>121</v>
      </c>
      <c r="E54" s="7">
        <f t="shared" si="20"/>
        <v>238</v>
      </c>
      <c r="F54" s="98"/>
      <c r="G54" s="99"/>
      <c r="H54" s="104">
        <f t="shared" si="21"/>
        <v>-27060</v>
      </c>
      <c r="I54" s="105">
        <f t="shared" si="22"/>
        <v>-58139.999999999993</v>
      </c>
      <c r="M54">
        <v>19</v>
      </c>
      <c r="N54" t="s">
        <v>254</v>
      </c>
      <c r="O54" t="s">
        <v>255</v>
      </c>
      <c r="P54" s="87">
        <v>0.3598958333333333</v>
      </c>
      <c r="Q54" t="s">
        <v>307</v>
      </c>
      <c r="R54" s="86">
        <v>0.23055555555555554</v>
      </c>
      <c r="S54" s="86">
        <v>0.75555555555555554</v>
      </c>
      <c r="T54" s="86">
        <v>0.25763888888888892</v>
      </c>
      <c r="U54" s="86">
        <v>0.72777777777777775</v>
      </c>
      <c r="V54" s="86">
        <v>0.28680555555555554</v>
      </c>
      <c r="W54" s="86">
        <v>0.69930555555555562</v>
      </c>
      <c r="X54" t="s">
        <v>256</v>
      </c>
      <c r="Y54">
        <v>147.84899999999999</v>
      </c>
    </row>
    <row r="55" spans="1:25">
      <c r="A55" s="84">
        <f t="shared" si="16"/>
        <v>45981</v>
      </c>
      <c r="B55" s="98">
        <f t="shared" si="17"/>
        <v>0.31388888888888888</v>
      </c>
      <c r="C55" s="99">
        <f t="shared" si="18"/>
        <v>0.67222222222222217</v>
      </c>
      <c r="D55" s="33">
        <f t="shared" si="19"/>
        <v>122</v>
      </c>
      <c r="E55" s="7">
        <f t="shared" si="20"/>
        <v>238</v>
      </c>
      <c r="F55" s="98"/>
      <c r="G55" s="99"/>
      <c r="H55" s="104">
        <f t="shared" si="21"/>
        <v>-27120</v>
      </c>
      <c r="I55" s="105">
        <f t="shared" si="22"/>
        <v>-58080</v>
      </c>
      <c r="M55">
        <v>20</v>
      </c>
      <c r="N55" t="s">
        <v>257</v>
      </c>
      <c r="O55" t="s">
        <v>258</v>
      </c>
      <c r="P55" s="87">
        <v>0.35791666666666666</v>
      </c>
      <c r="Q55" t="s">
        <v>308</v>
      </c>
      <c r="R55" s="86">
        <v>0.23124999999999998</v>
      </c>
      <c r="S55" s="86">
        <v>0.75486111111111109</v>
      </c>
      <c r="T55" s="86">
        <v>0.2590277777777778</v>
      </c>
      <c r="U55" s="86">
        <v>0.7270833333333333</v>
      </c>
      <c r="V55" s="86">
        <v>0.28750000000000003</v>
      </c>
      <c r="W55" s="86">
        <v>0.69861111111111107</v>
      </c>
      <c r="X55" t="s">
        <v>259</v>
      </c>
      <c r="Y55">
        <v>147.81899999999999</v>
      </c>
    </row>
    <row r="56" spans="1:25">
      <c r="A56" s="84">
        <f t="shared" si="16"/>
        <v>45982</v>
      </c>
      <c r="B56" s="98">
        <f t="shared" si="17"/>
        <v>0.31527777777777777</v>
      </c>
      <c r="C56" s="99">
        <f t="shared" si="18"/>
        <v>0.67152777777777783</v>
      </c>
      <c r="D56" s="33">
        <f t="shared" si="19"/>
        <v>122</v>
      </c>
      <c r="E56" s="7">
        <f t="shared" si="20"/>
        <v>238</v>
      </c>
      <c r="F56" s="98"/>
      <c r="G56" s="99"/>
      <c r="H56" s="104">
        <f t="shared" si="21"/>
        <v>-27240</v>
      </c>
      <c r="I56" s="105">
        <f t="shared" si="22"/>
        <v>-58020</v>
      </c>
      <c r="M56">
        <v>21</v>
      </c>
      <c r="N56" t="s">
        <v>260</v>
      </c>
      <c r="O56" t="s">
        <v>261</v>
      </c>
      <c r="P56" s="87">
        <v>0.35598379629629634</v>
      </c>
      <c r="Q56" t="s">
        <v>309</v>
      </c>
      <c r="R56" s="86">
        <v>0.23194444444444443</v>
      </c>
      <c r="S56" s="86">
        <v>0.75416666666666676</v>
      </c>
      <c r="T56" s="86">
        <v>0.25972222222222224</v>
      </c>
      <c r="U56" s="86">
        <v>0.72638888888888886</v>
      </c>
      <c r="V56" s="86">
        <v>0.28888888888888892</v>
      </c>
      <c r="W56" s="86">
        <v>0.69791666666666663</v>
      </c>
      <c r="X56" t="s">
        <v>262</v>
      </c>
      <c r="Y56">
        <v>147.78899999999999</v>
      </c>
    </row>
    <row r="57" spans="1:25">
      <c r="A57" s="84">
        <f t="shared" si="16"/>
        <v>45983</v>
      </c>
      <c r="B57" s="98">
        <f t="shared" si="17"/>
        <v>0.31666666666666665</v>
      </c>
      <c r="C57" s="99">
        <f t="shared" si="18"/>
        <v>0.67013888888888884</v>
      </c>
      <c r="D57" s="33">
        <f t="shared" si="19"/>
        <v>123</v>
      </c>
      <c r="E57" s="7">
        <f t="shared" si="20"/>
        <v>237</v>
      </c>
      <c r="F57" s="98"/>
      <c r="G57" s="99"/>
      <c r="H57" s="104">
        <f t="shared" si="21"/>
        <v>-27360</v>
      </c>
      <c r="I57" s="105">
        <f t="shared" si="22"/>
        <v>-57899.999999999993</v>
      </c>
      <c r="M57">
        <v>22</v>
      </c>
      <c r="N57" t="s">
        <v>263</v>
      </c>
      <c r="O57" t="s">
        <v>264</v>
      </c>
      <c r="P57" s="87">
        <v>0.35408564814814819</v>
      </c>
      <c r="Q57" t="s">
        <v>310</v>
      </c>
      <c r="R57" s="86">
        <v>0.23333333333333331</v>
      </c>
      <c r="S57" s="86">
        <v>0.75347222222222221</v>
      </c>
      <c r="T57" s="86">
        <v>0.26111111111111113</v>
      </c>
      <c r="U57" s="86">
        <v>0.72569444444444453</v>
      </c>
      <c r="V57" s="86">
        <v>0.28958333333333336</v>
      </c>
      <c r="W57" s="86">
        <v>0.6972222222222223</v>
      </c>
      <c r="X57" t="s">
        <v>265</v>
      </c>
      <c r="Y57">
        <v>147.75899999999999</v>
      </c>
    </row>
    <row r="58" spans="1:25">
      <c r="A58" s="84">
        <f t="shared" si="16"/>
        <v>45984</v>
      </c>
      <c r="B58" s="98">
        <f t="shared" si="17"/>
        <v>0.31736111111111115</v>
      </c>
      <c r="C58" s="99">
        <f t="shared" si="18"/>
        <v>0.6694444444444444</v>
      </c>
      <c r="D58" s="33">
        <f t="shared" si="19"/>
        <v>123</v>
      </c>
      <c r="E58" s="7">
        <f t="shared" si="20"/>
        <v>237</v>
      </c>
      <c r="F58" s="98"/>
      <c r="G58" s="99"/>
      <c r="H58" s="104">
        <f t="shared" si="21"/>
        <v>-27420</v>
      </c>
      <c r="I58" s="105">
        <f t="shared" si="22"/>
        <v>-57840</v>
      </c>
      <c r="M58">
        <v>23</v>
      </c>
      <c r="N58" t="s">
        <v>266</v>
      </c>
      <c r="O58" t="s">
        <v>267</v>
      </c>
      <c r="P58" s="87">
        <v>0.35223379629629631</v>
      </c>
      <c r="Q58" t="s">
        <v>311</v>
      </c>
      <c r="R58" s="86">
        <v>0.23402777777777781</v>
      </c>
      <c r="S58" s="86">
        <v>0.75277777777777777</v>
      </c>
      <c r="T58" s="86">
        <v>0.26180555555555557</v>
      </c>
      <c r="U58" s="86">
        <v>0.72499999999999998</v>
      </c>
      <c r="V58" s="86">
        <v>0.29097222222222224</v>
      </c>
      <c r="W58" s="86">
        <v>0.69652777777777775</v>
      </c>
      <c r="X58" t="s">
        <v>268</v>
      </c>
      <c r="Y58">
        <v>147.72900000000001</v>
      </c>
    </row>
    <row r="59" spans="1:25">
      <c r="A59" s="84">
        <f t="shared" si="16"/>
        <v>45985</v>
      </c>
      <c r="B59" s="98">
        <f t="shared" si="17"/>
        <v>0.31875000000000003</v>
      </c>
      <c r="C59" s="99">
        <f t="shared" si="18"/>
        <v>0.66875000000000007</v>
      </c>
      <c r="D59" s="33">
        <f t="shared" si="19"/>
        <v>123</v>
      </c>
      <c r="E59" s="7">
        <f t="shared" si="20"/>
        <v>236</v>
      </c>
      <c r="F59" s="98"/>
      <c r="G59" s="99"/>
      <c r="H59" s="104">
        <f t="shared" si="21"/>
        <v>-27540</v>
      </c>
      <c r="I59" s="105">
        <f t="shared" si="22"/>
        <v>-57780</v>
      </c>
      <c r="M59">
        <v>24</v>
      </c>
      <c r="N59" t="s">
        <v>269</v>
      </c>
      <c r="O59" t="s">
        <v>270</v>
      </c>
      <c r="P59" s="87">
        <v>0.35042824074074069</v>
      </c>
      <c r="Q59" t="s">
        <v>312</v>
      </c>
      <c r="R59" s="86">
        <v>0.23472222222222219</v>
      </c>
      <c r="S59" s="86">
        <v>0.75277777777777777</v>
      </c>
      <c r="T59" s="86">
        <v>0.26250000000000001</v>
      </c>
      <c r="U59" s="86">
        <v>0.72499999999999998</v>
      </c>
      <c r="V59" s="86">
        <v>0.29166666666666669</v>
      </c>
      <c r="W59" s="86">
        <v>0.6958333333333333</v>
      </c>
      <c r="X59" t="s">
        <v>271</v>
      </c>
      <c r="Y59">
        <v>147.69999999999999</v>
      </c>
    </row>
    <row r="60" spans="1:25">
      <c r="A60" s="84">
        <f t="shared" si="16"/>
        <v>45986</v>
      </c>
      <c r="B60" s="98">
        <f t="shared" si="17"/>
        <v>0.31944444444444448</v>
      </c>
      <c r="C60" s="99">
        <f t="shared" si="18"/>
        <v>0.66805555555555562</v>
      </c>
      <c r="D60" s="33">
        <f t="shared" si="19"/>
        <v>124</v>
      </c>
      <c r="E60" s="7">
        <f t="shared" si="20"/>
        <v>236</v>
      </c>
      <c r="F60" s="98"/>
      <c r="G60" s="99"/>
      <c r="H60" s="104">
        <f t="shared" si="21"/>
        <v>-27600.000000000004</v>
      </c>
      <c r="I60" s="105">
        <f t="shared" si="22"/>
        <v>-57720.000000000007</v>
      </c>
      <c r="M60">
        <v>25</v>
      </c>
      <c r="N60" t="s">
        <v>272</v>
      </c>
      <c r="O60" t="s">
        <v>273</v>
      </c>
      <c r="P60" s="87">
        <v>0.34866898148148145</v>
      </c>
      <c r="Q60" t="s">
        <v>313</v>
      </c>
      <c r="R60" s="86">
        <v>0.23611111111111113</v>
      </c>
      <c r="S60" s="86">
        <v>0.75208333333333333</v>
      </c>
      <c r="T60" s="86">
        <v>0.2638888888888889</v>
      </c>
      <c r="U60" s="86">
        <v>0.72430555555555554</v>
      </c>
      <c r="V60" s="86">
        <v>0.29305555555555557</v>
      </c>
      <c r="W60" s="86">
        <v>0.69513888888888886</v>
      </c>
      <c r="X60" t="s">
        <v>274</v>
      </c>
      <c r="Y60">
        <v>147.672</v>
      </c>
    </row>
    <row r="61" spans="1:25">
      <c r="A61" s="84">
        <f t="shared" si="16"/>
        <v>45987</v>
      </c>
      <c r="B61" s="98">
        <f t="shared" si="17"/>
        <v>0.32083333333333336</v>
      </c>
      <c r="C61" s="99">
        <f t="shared" si="18"/>
        <v>0.66736111111111107</v>
      </c>
      <c r="D61" s="33">
        <f t="shared" si="19"/>
        <v>124</v>
      </c>
      <c r="E61" s="7">
        <f t="shared" si="20"/>
        <v>236</v>
      </c>
      <c r="F61" s="98"/>
      <c r="G61" s="99"/>
      <c r="H61" s="104">
        <f t="shared" si="21"/>
        <v>-27720.000000000004</v>
      </c>
      <c r="I61" s="105">
        <f t="shared" si="22"/>
        <v>-57660</v>
      </c>
      <c r="M61">
        <v>26</v>
      </c>
      <c r="N61" t="s">
        <v>275</v>
      </c>
      <c r="O61" t="s">
        <v>276</v>
      </c>
      <c r="P61" s="87">
        <v>0.34695601851851854</v>
      </c>
      <c r="Q61" t="s">
        <v>314</v>
      </c>
      <c r="R61" s="86">
        <v>0.23680555555555557</v>
      </c>
      <c r="S61" s="86">
        <v>0.75138888888888899</v>
      </c>
      <c r="T61" s="86">
        <v>0.26458333333333334</v>
      </c>
      <c r="U61" s="86">
        <v>0.72361111111111109</v>
      </c>
      <c r="V61" s="86">
        <v>0.29375000000000001</v>
      </c>
      <c r="W61" s="86">
        <v>0.69444444444444453</v>
      </c>
      <c r="X61" t="s">
        <v>277</v>
      </c>
      <c r="Y61">
        <v>147.64400000000001</v>
      </c>
    </row>
    <row r="62" spans="1:25">
      <c r="A62" s="84">
        <f t="shared" si="16"/>
        <v>45988</v>
      </c>
      <c r="B62" s="98">
        <f t="shared" si="17"/>
        <v>0.3215277777777778</v>
      </c>
      <c r="C62" s="99">
        <f t="shared" si="18"/>
        <v>0.66736111111111107</v>
      </c>
      <c r="D62" s="33">
        <f t="shared" si="19"/>
        <v>124</v>
      </c>
      <c r="E62" s="7">
        <f t="shared" si="20"/>
        <v>235</v>
      </c>
      <c r="F62" s="98"/>
      <c r="G62" s="99"/>
      <c r="H62" s="104">
        <f t="shared" si="21"/>
        <v>-27780</v>
      </c>
      <c r="I62" s="105">
        <f t="shared" si="22"/>
        <v>-57660</v>
      </c>
      <c r="M62">
        <v>27</v>
      </c>
      <c r="N62" t="s">
        <v>278</v>
      </c>
      <c r="O62" t="s">
        <v>279</v>
      </c>
      <c r="P62" s="87">
        <v>0.34531249999999997</v>
      </c>
      <c r="Q62" t="s">
        <v>315</v>
      </c>
      <c r="R62" s="86">
        <v>0.23750000000000002</v>
      </c>
      <c r="S62" s="86">
        <v>0.75138888888888899</v>
      </c>
      <c r="T62" s="86">
        <v>0.26527777777777778</v>
      </c>
      <c r="U62" s="86">
        <v>0.72361111111111109</v>
      </c>
      <c r="V62" s="86">
        <v>0.2951388888888889</v>
      </c>
      <c r="W62" s="86">
        <v>0.69374999999999998</v>
      </c>
      <c r="X62" t="s">
        <v>280</v>
      </c>
      <c r="Y62">
        <v>147.61600000000001</v>
      </c>
    </row>
    <row r="63" spans="1:25">
      <c r="A63" s="84">
        <f t="shared" si="16"/>
        <v>45989</v>
      </c>
      <c r="B63" s="98">
        <f t="shared" si="17"/>
        <v>0.32291666666666669</v>
      </c>
      <c r="C63" s="99">
        <f t="shared" si="18"/>
        <v>0.66666666666666663</v>
      </c>
      <c r="D63" s="33">
        <f t="shared" si="19"/>
        <v>125</v>
      </c>
      <c r="E63" s="7">
        <f t="shared" si="20"/>
        <v>235</v>
      </c>
      <c r="F63" s="98"/>
      <c r="G63" s="99"/>
      <c r="H63" s="104">
        <f t="shared" si="21"/>
        <v>-27900</v>
      </c>
      <c r="I63" s="105">
        <f t="shared" si="22"/>
        <v>-57600</v>
      </c>
      <c r="M63">
        <v>28</v>
      </c>
      <c r="N63" t="s">
        <v>281</v>
      </c>
      <c r="O63" t="s">
        <v>282</v>
      </c>
      <c r="P63" s="87">
        <v>0.34370370370370368</v>
      </c>
      <c r="Q63" t="s">
        <v>316</v>
      </c>
      <c r="R63" s="86">
        <v>0.23819444444444446</v>
      </c>
      <c r="S63" s="86">
        <v>0.75069444444444444</v>
      </c>
      <c r="T63" s="86">
        <v>0.26666666666666666</v>
      </c>
      <c r="U63" s="86">
        <v>0.72291666666666676</v>
      </c>
      <c r="V63" s="86">
        <v>0.29583333333333334</v>
      </c>
      <c r="W63" s="86">
        <v>0.69374999999999998</v>
      </c>
      <c r="X63" t="s">
        <v>283</v>
      </c>
      <c r="Y63">
        <v>147.589</v>
      </c>
    </row>
    <row r="64" spans="1:25">
      <c r="A64" s="84">
        <f t="shared" si="16"/>
        <v>45990</v>
      </c>
      <c r="B64" s="98">
        <f t="shared" si="17"/>
        <v>0.32361111111111113</v>
      </c>
      <c r="C64" s="99">
        <f t="shared" si="18"/>
        <v>0.66597222222222219</v>
      </c>
      <c r="D64" s="33">
        <f t="shared" si="19"/>
        <v>125</v>
      </c>
      <c r="E64" s="7">
        <f t="shared" si="20"/>
        <v>235</v>
      </c>
      <c r="F64" s="98"/>
      <c r="G64" s="99"/>
      <c r="H64" s="104">
        <f t="shared" si="21"/>
        <v>-27960.000000000004</v>
      </c>
      <c r="I64" s="105">
        <f t="shared" si="22"/>
        <v>-57540</v>
      </c>
      <c r="M64">
        <v>29</v>
      </c>
      <c r="N64" t="s">
        <v>284</v>
      </c>
      <c r="O64" t="s">
        <v>285</v>
      </c>
      <c r="P64" s="87">
        <v>0.34215277777777775</v>
      </c>
      <c r="Q64" t="s">
        <v>317</v>
      </c>
      <c r="R64" s="86">
        <v>0.23958333333333334</v>
      </c>
      <c r="S64" s="86">
        <v>0.75069444444444444</v>
      </c>
      <c r="T64" s="86">
        <v>0.2673611111111111</v>
      </c>
      <c r="U64" s="86">
        <v>0.72291666666666676</v>
      </c>
      <c r="V64" s="86">
        <v>0.29652777777777778</v>
      </c>
      <c r="W64" s="86">
        <v>0.69305555555555554</v>
      </c>
      <c r="X64" t="s">
        <v>286</v>
      </c>
      <c r="Y64">
        <v>147.56200000000001</v>
      </c>
    </row>
    <row r="65" spans="1:25">
      <c r="A65" s="84">
        <f t="shared" si="16"/>
        <v>45991</v>
      </c>
      <c r="B65" s="98">
        <f t="shared" si="17"/>
        <v>0.32500000000000001</v>
      </c>
      <c r="C65" s="99">
        <f t="shared" si="18"/>
        <v>0.66527777777777775</v>
      </c>
      <c r="D65" s="33">
        <f t="shared" si="19"/>
        <v>125</v>
      </c>
      <c r="E65" s="7">
        <f t="shared" si="20"/>
        <v>235</v>
      </c>
      <c r="F65" s="98"/>
      <c r="G65" s="99"/>
      <c r="H65" s="104">
        <f t="shared" si="21"/>
        <v>-28080.000000000004</v>
      </c>
      <c r="I65" s="105">
        <f t="shared" si="22"/>
        <v>-57479.999999999993</v>
      </c>
      <c r="M65">
        <v>30</v>
      </c>
      <c r="N65" t="s">
        <v>287</v>
      </c>
      <c r="O65" t="s">
        <v>288</v>
      </c>
      <c r="P65" s="87">
        <v>0.34065972222222224</v>
      </c>
      <c r="Q65" t="s">
        <v>318</v>
      </c>
      <c r="R65" s="86">
        <v>0.24027777777777778</v>
      </c>
      <c r="S65" s="86">
        <v>0.75</v>
      </c>
      <c r="T65" s="86">
        <v>0.26805555555555555</v>
      </c>
      <c r="U65" s="86">
        <v>0.72222222222222221</v>
      </c>
      <c r="V65" s="86">
        <v>0.29791666666666666</v>
      </c>
      <c r="W65" s="86">
        <v>0.69305555555555554</v>
      </c>
      <c r="X65" t="s">
        <v>289</v>
      </c>
      <c r="Y65">
        <v>147.53700000000001</v>
      </c>
    </row>
  </sheetData>
  <mergeCells count="4">
    <mergeCell ref="R1:S1"/>
    <mergeCell ref="T1:U1"/>
    <mergeCell ref="V1:W1"/>
    <mergeCell ref="X1:Y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Sheet1</vt:lpstr>
      <vt:lpstr>Orbital Elements</vt:lpstr>
      <vt:lpstr>BestVisibility</vt:lpstr>
      <vt:lpstr>Sheet3</vt:lpstr>
      <vt:lpstr>au</vt:lpstr>
      <vt:lpstr>dayval</vt:lpstr>
      <vt:lpstr>dd</vt:lpstr>
      <vt:lpstr>erad</vt:lpstr>
      <vt:lpstr>hval</vt:lpstr>
      <vt:lpstr>intvl</vt:lpstr>
      <vt:lpstr>lat</vt:lpstr>
      <vt:lpstr>long</vt:lpstr>
      <vt:lpstr>lst</vt:lpstr>
      <vt:lpstr>monval</vt:lpstr>
      <vt:lpstr>mval</vt:lpstr>
      <vt:lpstr>planetlookup</vt:lpstr>
      <vt:lpstr>planetnames</vt:lpstr>
      <vt:lpstr>planetno</vt:lpstr>
      <vt:lpstr>pres</vt:lpstr>
      <vt:lpstr>BestVisibility!Print_Area</vt:lpstr>
      <vt:lpstr>sval</vt:lpstr>
      <vt:lpstr>temp</vt:lpstr>
      <vt:lpstr>unt</vt:lpstr>
      <vt:lpstr>visorimg</vt:lpstr>
      <vt:lpstr>yval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2018-03-17T22:11:30Z</dcterms:modified>
</cp:coreProperties>
</file>