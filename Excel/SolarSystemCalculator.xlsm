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\Documents\Projects\planetgraphs\Excel\"/>
    </mc:Choice>
  </mc:AlternateContent>
  <xr:revisionPtr revIDLastSave="0" documentId="13_ncr:1_{860D3817-9CE4-40F9-AAC0-17A689E2B602}" xr6:coauthVersionLast="45" xr6:coauthVersionMax="45" xr10:uidLastSave="{00000000-0000-0000-0000-000000000000}"/>
  <bookViews>
    <workbookView xWindow="2685" yWindow="2685" windowWidth="15375" windowHeight="7875" xr2:uid="{00000000-000D-0000-FFFF-FFFF00000000}"/>
  </bookViews>
  <sheets>
    <sheet name="BestVisibility" sheetId="4" r:id="rId1"/>
    <sheet name="Sheet1" sheetId="6" r:id="rId2"/>
    <sheet name="Comets" sheetId="7" r:id="rId3"/>
  </sheets>
  <functionGroups builtInGroupCount="19"/>
  <definedNames>
    <definedName name="au">#REF!</definedName>
    <definedName name="dayval">#REF!</definedName>
    <definedName name="dd">#REF!</definedName>
    <definedName name="erad">#REF!</definedName>
    <definedName name="hval">#REF!</definedName>
    <definedName name="intvl">BestVisibility!$F$1</definedName>
    <definedName name="lat">#REF!</definedName>
    <definedName name="lati">BestVisibility!$B$1</definedName>
    <definedName name="long">#REF!</definedName>
    <definedName name="longi">BestVisibility!$C$1</definedName>
    <definedName name="lst">#REF!</definedName>
    <definedName name="monval">#REF!</definedName>
    <definedName name="mval">#REF!</definedName>
    <definedName name="planetlookup">#REF!</definedName>
    <definedName name="planetnames">#REF!</definedName>
    <definedName name="planetno">BestVisibility!$B$2</definedName>
    <definedName name="planlookup">BestVisibility!$X$4:$Y$19</definedName>
    <definedName name="pres">BestVisibility!$AB$12</definedName>
    <definedName name="_xlnm.Print_Area" localSheetId="0">BestVisibility!$A$1:$V$57</definedName>
    <definedName name="sunrise">BestVisibility!#REF!</definedName>
    <definedName name="sval">#REF!</definedName>
    <definedName name="temp">BestVisibility!$AB$11</definedName>
    <definedName name="unt">BestVisibility!$G$1</definedName>
    <definedName name="visorimg">#REF!</definedName>
    <definedName name="yval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5" i="4" l="1"/>
  <c r="AH6" i="4"/>
  <c r="AH7" i="4"/>
  <c r="AH8" i="4"/>
  <c r="AK6" i="4"/>
  <c r="C16" i="7" l="1"/>
  <c r="L13" i="7"/>
  <c r="L11" i="7"/>
  <c r="L12" i="7"/>
  <c r="S2" i="7"/>
  <c r="T2" i="7"/>
  <c r="J11" i="7"/>
  <c r="K11" i="7"/>
  <c r="J10" i="7"/>
  <c r="J12" i="7"/>
  <c r="C13" i="7"/>
  <c r="K10" i="7" l="1"/>
  <c r="C9" i="7"/>
  <c r="C14" i="7"/>
  <c r="C12" i="7"/>
  <c r="D12" i="7" s="1"/>
  <c r="C11" i="7"/>
  <c r="D11" i="7" s="1"/>
  <c r="C10" i="7"/>
  <c r="D10" i="7" s="1"/>
  <c r="J13" i="7"/>
  <c r="C15" i="7"/>
  <c r="M13" i="7" l="1"/>
  <c r="M12" i="7"/>
  <c r="S3" i="6"/>
  <c r="AF3" i="6"/>
  <c r="C3" i="6"/>
  <c r="D3" i="6" s="1"/>
  <c r="E3" i="6" s="1"/>
  <c r="F3" i="6" s="1"/>
  <c r="G3" i="6" s="1"/>
  <c r="H3" i="6" s="1"/>
  <c r="I3" i="6" s="1"/>
  <c r="J3" i="6" s="1"/>
  <c r="F1" i="6"/>
  <c r="P3" i="6" s="1"/>
  <c r="C1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C2" i="4"/>
  <c r="B2" i="4"/>
  <c r="AB9" i="4"/>
  <c r="AF25" i="6"/>
  <c r="P21" i="6"/>
  <c r="P4" i="6"/>
  <c r="AF9" i="6"/>
  <c r="AF13" i="6"/>
  <c r="P10" i="6"/>
  <c r="AF19" i="6"/>
  <c r="P28" i="6"/>
  <c r="AF6" i="6"/>
  <c r="AF27" i="6"/>
  <c r="P15" i="6"/>
  <c r="P8" i="6"/>
  <c r="AF5" i="6"/>
  <c r="AF24" i="6"/>
  <c r="P5" i="6"/>
  <c r="AF22" i="6"/>
  <c r="AF4" i="6"/>
  <c r="AF20" i="6"/>
  <c r="AF17" i="6"/>
  <c r="P26" i="6"/>
  <c r="P9" i="6"/>
  <c r="P22" i="6"/>
  <c r="P7" i="6"/>
  <c r="AF21" i="6"/>
  <c r="AF23" i="6"/>
  <c r="P25" i="6"/>
  <c r="P24" i="6"/>
  <c r="P11" i="6"/>
  <c r="P16" i="6"/>
  <c r="P6" i="6"/>
  <c r="AF29" i="6"/>
  <c r="P17" i="6"/>
  <c r="P19" i="6"/>
  <c r="AF14" i="6"/>
  <c r="AF12" i="6"/>
  <c r="AF18" i="6"/>
  <c r="P29" i="6"/>
  <c r="AF26" i="6"/>
  <c r="AF28" i="6"/>
  <c r="C5" i="4"/>
  <c r="AF10" i="6"/>
  <c r="P18" i="6"/>
  <c r="AF15" i="6"/>
  <c r="P27" i="6"/>
  <c r="P12" i="6"/>
  <c r="P13" i="6"/>
  <c r="P14" i="6"/>
  <c r="P20" i="6"/>
  <c r="AF7" i="6"/>
  <c r="AF16" i="6"/>
  <c r="P23" i="6"/>
  <c r="AF11" i="6"/>
  <c r="AF8" i="6"/>
  <c r="A30" i="6" l="1"/>
  <c r="R1" i="6"/>
  <c r="T3" i="6"/>
  <c r="K3" i="6"/>
  <c r="S4" i="4"/>
  <c r="S3" i="4"/>
  <c r="S5" i="4"/>
  <c r="S2" i="4"/>
  <c r="A6" i="4"/>
  <c r="A7" i="4" s="1"/>
  <c r="A8" i="4" s="1"/>
  <c r="A9" i="4" s="1"/>
  <c r="A10" i="4" s="1"/>
  <c r="G10" i="6"/>
  <c r="E10" i="6"/>
  <c r="I4" i="6"/>
  <c r="D10" i="6"/>
  <c r="H9" i="6"/>
  <c r="N28" i="6"/>
  <c r="F4" i="6"/>
  <c r="D8" i="6"/>
  <c r="E28" i="6"/>
  <c r="I27" i="6"/>
  <c r="U29" i="6"/>
  <c r="F25" i="6"/>
  <c r="D27" i="6"/>
  <c r="D12" i="6"/>
  <c r="Y28" i="6"/>
  <c r="H10" i="6"/>
  <c r="Y24" i="6"/>
  <c r="T22" i="6"/>
  <c r="U28" i="6"/>
  <c r="J27" i="6"/>
  <c r="J9" i="6"/>
  <c r="J29" i="6"/>
  <c r="E8" i="6"/>
  <c r="AA27" i="6"/>
  <c r="G24" i="6"/>
  <c r="F26" i="6"/>
  <c r="C11" i="6"/>
  <c r="C28" i="6"/>
  <c r="T13" i="6"/>
  <c r="F28" i="6"/>
  <c r="AA24" i="6"/>
  <c r="R28" i="6"/>
  <c r="R10" i="6"/>
  <c r="Z25" i="6"/>
  <c r="AC27" i="6"/>
  <c r="E4" i="6"/>
  <c r="K13" i="6"/>
  <c r="C22" i="6"/>
  <c r="T8" i="6"/>
  <c r="V22" i="6"/>
  <c r="R18" i="6"/>
  <c r="F13" i="6"/>
  <c r="E26" i="6"/>
  <c r="B11" i="6"/>
  <c r="G13" i="6"/>
  <c r="Y22" i="6"/>
  <c r="H8" i="6"/>
  <c r="G6" i="6"/>
  <c r="AB24" i="6"/>
  <c r="H15" i="6"/>
  <c r="K6" i="6"/>
  <c r="Z18" i="6"/>
  <c r="U26" i="6"/>
  <c r="H13" i="6"/>
  <c r="AB23" i="6"/>
  <c r="X21" i="6"/>
  <c r="W24" i="6"/>
  <c r="I16" i="6"/>
  <c r="G25" i="6"/>
  <c r="AB18" i="6"/>
  <c r="G11" i="6"/>
  <c r="W19" i="6"/>
  <c r="J12" i="6"/>
  <c r="U20" i="6"/>
  <c r="B19" i="6"/>
  <c r="D23" i="6"/>
  <c r="W25" i="6"/>
  <c r="B9" i="6"/>
  <c r="G20" i="6"/>
  <c r="U27" i="6"/>
  <c r="F15" i="6"/>
  <c r="B4" i="6"/>
  <c r="C21" i="6"/>
  <c r="S24" i="6"/>
  <c r="D11" i="6"/>
  <c r="AC26" i="6"/>
  <c r="G27" i="6"/>
  <c r="R23" i="6"/>
  <c r="H21" i="6"/>
  <c r="G17" i="6"/>
  <c r="AA29" i="6"/>
  <c r="C27" i="6"/>
  <c r="K10" i="6"/>
  <c r="G21" i="6"/>
  <c r="G28" i="6"/>
  <c r="K4" i="6"/>
  <c r="F12" i="6"/>
  <c r="AB20" i="6"/>
  <c r="V25" i="6"/>
  <c r="C20" i="6"/>
  <c r="Z20" i="6"/>
  <c r="S7" i="6"/>
  <c r="AF30" i="6"/>
  <c r="S11" i="6"/>
  <c r="Z26" i="6"/>
  <c r="J13" i="6"/>
  <c r="H29" i="6"/>
  <c r="AB25" i="6"/>
  <c r="AC28" i="6"/>
  <c r="X29" i="6"/>
  <c r="F9" i="6"/>
  <c r="J20" i="6"/>
  <c r="D25" i="6"/>
  <c r="V27" i="6"/>
  <c r="I6" i="6"/>
  <c r="S16" i="6"/>
  <c r="AC25" i="6"/>
  <c r="B25" i="6"/>
  <c r="R5" i="6"/>
  <c r="H23" i="6"/>
  <c r="S4" i="6"/>
  <c r="R27" i="6"/>
  <c r="F29" i="6"/>
  <c r="H27" i="6"/>
  <c r="B5" i="6"/>
  <c r="AD25" i="6"/>
  <c r="T26" i="6"/>
  <c r="D5" i="6"/>
  <c r="H7" i="6"/>
  <c r="F21" i="6"/>
  <c r="G18" i="6"/>
  <c r="R12" i="6"/>
  <c r="G5" i="6"/>
  <c r="B22" i="6"/>
  <c r="H22" i="6"/>
  <c r="S6" i="6"/>
  <c r="X25" i="6"/>
  <c r="T10" i="6"/>
  <c r="D21" i="6"/>
  <c r="G23" i="6"/>
  <c r="D24" i="6"/>
  <c r="C6" i="6"/>
  <c r="X20" i="6"/>
  <c r="S15" i="6"/>
  <c r="G12" i="6"/>
  <c r="E19" i="6"/>
  <c r="AB22" i="6"/>
  <c r="M28" i="6"/>
  <c r="T19" i="6"/>
  <c r="Y27" i="6"/>
  <c r="V21" i="6"/>
  <c r="W27" i="6"/>
  <c r="AD28" i="6"/>
  <c r="S22" i="6"/>
  <c r="E17" i="6"/>
  <c r="Y26" i="6"/>
  <c r="AA19" i="6"/>
  <c r="J24" i="6"/>
  <c r="I14" i="6"/>
  <c r="AA28" i="6"/>
  <c r="G7" i="6"/>
  <c r="I24" i="6"/>
  <c r="J6" i="6"/>
  <c r="R25" i="6"/>
  <c r="S18" i="6"/>
  <c r="AD23" i="6"/>
  <c r="E18" i="6"/>
  <c r="H19" i="6"/>
  <c r="X19" i="6"/>
  <c r="J4" i="6"/>
  <c r="E22" i="6"/>
  <c r="B26" i="6"/>
  <c r="E20" i="6"/>
  <c r="H12" i="6"/>
  <c r="C24" i="6"/>
  <c r="V24" i="6"/>
  <c r="T11" i="6"/>
  <c r="G9" i="6"/>
  <c r="M29" i="6"/>
  <c r="D16" i="6"/>
  <c r="J14" i="6"/>
  <c r="R22" i="6"/>
  <c r="S12" i="6"/>
  <c r="S25" i="6"/>
  <c r="E21" i="6"/>
  <c r="F14" i="6"/>
  <c r="T9" i="6"/>
  <c r="S8" i="6"/>
  <c r="U24" i="6"/>
  <c r="J26" i="6"/>
  <c r="B14" i="6"/>
  <c r="C8" i="6"/>
  <c r="H20" i="6"/>
  <c r="X28" i="6"/>
  <c r="E29" i="6"/>
  <c r="T16" i="6"/>
  <c r="H26" i="6"/>
  <c r="F10" i="6"/>
  <c r="S28" i="6"/>
  <c r="B17" i="6"/>
  <c r="AC20" i="6"/>
  <c r="E14" i="6"/>
  <c r="D22" i="6"/>
  <c r="AD19" i="6"/>
  <c r="H4" i="6"/>
  <c r="H6" i="6"/>
  <c r="AD27" i="6"/>
  <c r="K18" i="6"/>
  <c r="C5" i="6"/>
  <c r="C19" i="6"/>
  <c r="U21" i="6"/>
  <c r="X23" i="6"/>
  <c r="I19" i="6"/>
  <c r="Z29" i="6"/>
  <c r="C29" i="6"/>
  <c r="S23" i="6"/>
  <c r="I20" i="6"/>
  <c r="B24" i="6"/>
  <c r="B20" i="6"/>
  <c r="F27" i="6"/>
  <c r="S5" i="6"/>
  <c r="T21" i="6"/>
  <c r="J25" i="6"/>
  <c r="C7" i="6"/>
  <c r="E27" i="6"/>
  <c r="S20" i="6"/>
  <c r="G19" i="6"/>
  <c r="J22" i="6"/>
  <c r="B29" i="6"/>
  <c r="I13" i="6"/>
  <c r="Z23" i="6"/>
  <c r="F5" i="6"/>
  <c r="H16" i="6"/>
  <c r="B27" i="6"/>
  <c r="S29" i="6"/>
  <c r="S19" i="6"/>
  <c r="F24" i="6"/>
  <c r="B23" i="6"/>
  <c r="C13" i="6"/>
  <c r="D14" i="6"/>
  <c r="AA21" i="6"/>
  <c r="R16" i="6"/>
  <c r="Z28" i="6"/>
  <c r="K21" i="6"/>
  <c r="Y29" i="6"/>
  <c r="AA20" i="6"/>
  <c r="AA25" i="6"/>
  <c r="J10" i="6"/>
  <c r="R7" i="6"/>
  <c r="AB29" i="6"/>
  <c r="AD24" i="6"/>
  <c r="S21" i="6"/>
  <c r="X18" i="6"/>
  <c r="B13" i="6"/>
  <c r="E5" i="6"/>
  <c r="K22" i="6"/>
  <c r="V26" i="6"/>
  <c r="J19" i="6"/>
  <c r="J16" i="6"/>
  <c r="K16" i="6"/>
  <c r="K15" i="6"/>
  <c r="H11" i="6"/>
  <c r="R13" i="6"/>
  <c r="K17" i="6"/>
  <c r="B16" i="6"/>
  <c r="E9" i="6"/>
  <c r="F17" i="6"/>
  <c r="F11" i="6"/>
  <c r="S9" i="6"/>
  <c r="Y23" i="6"/>
  <c r="AD29" i="6"/>
  <c r="R9" i="6"/>
  <c r="K9" i="6"/>
  <c r="F22" i="6"/>
  <c r="T27" i="6"/>
  <c r="I22" i="6"/>
  <c r="AB19" i="6"/>
  <c r="D13" i="6"/>
  <c r="H17" i="6"/>
  <c r="C9" i="6"/>
  <c r="T14" i="6"/>
  <c r="V23" i="6"/>
  <c r="E15" i="6"/>
  <c r="S27" i="6"/>
  <c r="AA22" i="6"/>
  <c r="J17" i="6"/>
  <c r="Y25" i="6"/>
  <c r="K23" i="6"/>
  <c r="K28" i="6"/>
  <c r="B6" i="6"/>
  <c r="G22" i="6"/>
  <c r="E6" i="6"/>
  <c r="J5" i="6"/>
  <c r="Z24" i="6"/>
  <c r="W26" i="6"/>
  <c r="Y21" i="6"/>
  <c r="U19" i="6"/>
  <c r="AC23" i="6"/>
  <c r="J23" i="6"/>
  <c r="I7" i="6"/>
  <c r="G16" i="6"/>
  <c r="H24" i="6"/>
  <c r="K26" i="6"/>
  <c r="D29" i="6"/>
  <c r="K29" i="6"/>
  <c r="K24" i="6"/>
  <c r="T5" i="6"/>
  <c r="E23" i="6"/>
  <c r="D9" i="6"/>
  <c r="Z19" i="6"/>
  <c r="T23" i="6"/>
  <c r="AB26" i="6"/>
  <c r="C25" i="6"/>
  <c r="B28" i="6"/>
  <c r="T17" i="6"/>
  <c r="E16" i="6"/>
  <c r="C17" i="6"/>
  <c r="AD20" i="6"/>
  <c r="P30" i="6"/>
  <c r="I17" i="6"/>
  <c r="F20" i="6"/>
  <c r="I8" i="6"/>
  <c r="H14" i="6"/>
  <c r="E24" i="6"/>
  <c r="B7" i="6"/>
  <c r="C12" i="6"/>
  <c r="S10" i="6"/>
  <c r="T15" i="6"/>
  <c r="AD21" i="6"/>
  <c r="T18" i="6"/>
  <c r="J15" i="6"/>
  <c r="U23" i="6"/>
  <c r="D17" i="6"/>
  <c r="H18" i="6"/>
  <c r="AA18" i="6"/>
  <c r="C16" i="6"/>
  <c r="V28" i="6"/>
  <c r="S13" i="6"/>
  <c r="E11" i="6"/>
  <c r="T12" i="6"/>
  <c r="F19" i="6"/>
  <c r="C10" i="6"/>
  <c r="R8" i="6"/>
  <c r="F23" i="6"/>
  <c r="D28" i="6"/>
  <c r="R14" i="6"/>
  <c r="I9" i="6"/>
  <c r="AC21" i="6"/>
  <c r="R17" i="6"/>
  <c r="T7" i="6"/>
  <c r="J11" i="6"/>
  <c r="C4" i="6"/>
  <c r="AA23" i="6"/>
  <c r="E12" i="6"/>
  <c r="Y19" i="6"/>
  <c r="S26" i="6"/>
  <c r="L28" i="6"/>
  <c r="R6" i="6"/>
  <c r="K14" i="6"/>
  <c r="AD26" i="6"/>
  <c r="AC24" i="6"/>
  <c r="I29" i="6"/>
  <c r="T29" i="6"/>
  <c r="I15" i="6"/>
  <c r="W21" i="6"/>
  <c r="X26" i="6"/>
  <c r="Z22" i="6"/>
  <c r="B15" i="6"/>
  <c r="C15" i="6"/>
  <c r="V20" i="6"/>
  <c r="AD22" i="6"/>
  <c r="I28" i="6"/>
  <c r="U25" i="6"/>
  <c r="J18" i="6"/>
  <c r="I23" i="6"/>
  <c r="X24" i="6"/>
  <c r="I12" i="6"/>
  <c r="E7" i="6"/>
  <c r="G4" i="6"/>
  <c r="S17" i="6"/>
  <c r="I21" i="6"/>
  <c r="D7" i="6"/>
  <c r="J8" i="6"/>
  <c r="T24" i="6"/>
  <c r="I26" i="6"/>
  <c r="Z27" i="6"/>
  <c r="J7" i="6"/>
  <c r="B10" i="6"/>
  <c r="B12" i="6"/>
  <c r="R20" i="6"/>
  <c r="D15" i="6"/>
  <c r="AC29" i="6"/>
  <c r="K20" i="6"/>
  <c r="D6" i="6"/>
  <c r="K7" i="6"/>
  <c r="Y18" i="6"/>
  <c r="B8" i="6"/>
  <c r="R24" i="6"/>
  <c r="AC18" i="6"/>
  <c r="K12" i="6"/>
  <c r="H5" i="6"/>
  <c r="K5" i="6"/>
  <c r="T6" i="6"/>
  <c r="G15" i="6"/>
  <c r="I18" i="6"/>
  <c r="V18" i="6"/>
  <c r="N29" i="6"/>
  <c r="L29" i="6"/>
  <c r="V19" i="6"/>
  <c r="G26" i="6"/>
  <c r="R21" i="6"/>
  <c r="W29" i="6"/>
  <c r="AD18" i="6"/>
  <c r="I25" i="6"/>
  <c r="I10" i="6"/>
  <c r="D20" i="6"/>
  <c r="AB28" i="6"/>
  <c r="AA26" i="6"/>
  <c r="B18" i="6"/>
  <c r="V29" i="6"/>
  <c r="C14" i="6"/>
  <c r="Y20" i="6"/>
  <c r="T20" i="6"/>
  <c r="T25" i="6"/>
  <c r="T4" i="6"/>
  <c r="T28" i="6"/>
  <c r="I11" i="6"/>
  <c r="R15" i="6"/>
  <c r="U18" i="6"/>
  <c r="AB21" i="6"/>
  <c r="W20" i="6"/>
  <c r="G14" i="6"/>
  <c r="AB27" i="6"/>
  <c r="S14" i="6"/>
  <c r="F16" i="6"/>
  <c r="AC19" i="6"/>
  <c r="K19" i="6"/>
  <c r="E25" i="6"/>
  <c r="I5" i="6"/>
  <c r="K27" i="6"/>
  <c r="K11" i="6"/>
  <c r="X22" i="6"/>
  <c r="H28" i="6"/>
  <c r="D4" i="6"/>
  <c r="Z21" i="6"/>
  <c r="R4" i="6"/>
  <c r="D18" i="6"/>
  <c r="H25" i="6"/>
  <c r="W22" i="6"/>
  <c r="AC22" i="6"/>
  <c r="X27" i="6"/>
  <c r="U22" i="6"/>
  <c r="R11" i="6"/>
  <c r="R26" i="6"/>
  <c r="W18" i="6"/>
  <c r="F7" i="6"/>
  <c r="C26" i="6"/>
  <c r="E13" i="6"/>
  <c r="F8" i="6"/>
  <c r="J21" i="6"/>
  <c r="G29" i="6"/>
  <c r="K8" i="6"/>
  <c r="R29" i="6"/>
  <c r="R19" i="6"/>
  <c r="B21" i="6"/>
  <c r="K25" i="6"/>
  <c r="D19" i="6"/>
  <c r="C18" i="6"/>
  <c r="W28" i="6"/>
  <c r="G8" i="6"/>
  <c r="J28" i="6"/>
  <c r="C23" i="6"/>
  <c r="F6" i="6"/>
  <c r="D26" i="6"/>
  <c r="F18" i="6"/>
  <c r="W23" i="6"/>
  <c r="M11" i="7" l="1"/>
  <c r="A31" i="6"/>
  <c r="U3" i="6"/>
  <c r="L3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P31" i="6"/>
  <c r="D30" i="6"/>
  <c r="U12" i="6"/>
  <c r="U17" i="6"/>
  <c r="L25" i="6"/>
  <c r="G30" i="6"/>
  <c r="L9" i="6"/>
  <c r="U10" i="6"/>
  <c r="U8" i="6"/>
  <c r="N30" i="6"/>
  <c r="U15" i="6"/>
  <c r="U16" i="6"/>
  <c r="U11" i="6"/>
  <c r="F30" i="6"/>
  <c r="I30" i="6"/>
  <c r="L22" i="6"/>
  <c r="E30" i="6"/>
  <c r="L5" i="6"/>
  <c r="M30" i="6"/>
  <c r="B30" i="6"/>
  <c r="L15" i="6"/>
  <c r="V30" i="6"/>
  <c r="L8" i="6"/>
  <c r="U14" i="6"/>
  <c r="H30" i="6"/>
  <c r="L23" i="6"/>
  <c r="L11" i="6"/>
  <c r="L19" i="6"/>
  <c r="L24" i="6"/>
  <c r="AC30" i="6"/>
  <c r="X30" i="6"/>
  <c r="R30" i="6"/>
  <c r="U5" i="6"/>
  <c r="L21" i="6"/>
  <c r="T30" i="6"/>
  <c r="AD30" i="6"/>
  <c r="L18" i="6"/>
  <c r="L30" i="6"/>
  <c r="L14" i="6"/>
  <c r="L13" i="6"/>
  <c r="L6" i="6"/>
  <c r="L12" i="6"/>
  <c r="Y30" i="6"/>
  <c r="U13" i="6"/>
  <c r="W30" i="6"/>
  <c r="K30" i="6"/>
  <c r="L17" i="6"/>
  <c r="C30" i="6"/>
  <c r="L4" i="6"/>
  <c r="AB30" i="6"/>
  <c r="U4" i="6"/>
  <c r="AA30" i="6"/>
  <c r="U7" i="6"/>
  <c r="U6" i="6"/>
  <c r="J30" i="6"/>
  <c r="S30" i="6"/>
  <c r="U9" i="6"/>
  <c r="AF31" i="6"/>
  <c r="L7" i="6"/>
  <c r="U30" i="6"/>
  <c r="L27" i="6"/>
  <c r="L20" i="6"/>
  <c r="L26" i="6"/>
  <c r="L10" i="6"/>
  <c r="L16" i="6"/>
  <c r="Z30" i="6"/>
  <c r="A32" i="6" l="1"/>
  <c r="V3" i="6"/>
  <c r="M3" i="6"/>
  <c r="I1" i="4"/>
  <c r="A33" i="6" l="1"/>
  <c r="W3" i="6"/>
  <c r="N3" i="6"/>
  <c r="A34" i="6" l="1"/>
  <c r="X3" i="6"/>
  <c r="A35" i="6" l="1"/>
  <c r="Y3" i="6"/>
  <c r="C82" i="4"/>
  <c r="D55" i="4"/>
  <c r="F63" i="4"/>
  <c r="E28" i="4"/>
  <c r="C6" i="4"/>
  <c r="F121" i="4"/>
  <c r="F94" i="4"/>
  <c r="B30" i="4"/>
  <c r="B52" i="4"/>
  <c r="D45" i="4"/>
  <c r="B75" i="4"/>
  <c r="C62" i="4"/>
  <c r="E123" i="4"/>
  <c r="D70" i="4"/>
  <c r="AA31" i="6"/>
  <c r="D121" i="4"/>
  <c r="F111" i="4"/>
  <c r="W4" i="6"/>
  <c r="C92" i="4"/>
  <c r="E60" i="4"/>
  <c r="E112" i="4"/>
  <c r="F124" i="4"/>
  <c r="V5" i="6"/>
  <c r="F60" i="4"/>
  <c r="B68" i="4"/>
  <c r="D110" i="4"/>
  <c r="C21" i="4"/>
  <c r="B121" i="4"/>
  <c r="B22" i="4"/>
  <c r="F140" i="4"/>
  <c r="B78" i="4"/>
  <c r="E106" i="4"/>
  <c r="C40" i="4"/>
  <c r="D127" i="4"/>
  <c r="E38" i="4"/>
  <c r="N22" i="6"/>
  <c r="B136" i="4"/>
  <c r="F106" i="4"/>
  <c r="D21" i="4"/>
  <c r="V8" i="6"/>
  <c r="AF32" i="6"/>
  <c r="M21" i="6"/>
  <c r="E34" i="4"/>
  <c r="B103" i="4"/>
  <c r="E86" i="4"/>
  <c r="F9" i="4"/>
  <c r="C85" i="4"/>
  <c r="E63" i="4"/>
  <c r="M31" i="6"/>
  <c r="E44" i="4"/>
  <c r="F88" i="4"/>
  <c r="F81" i="4"/>
  <c r="E76" i="4"/>
  <c r="F98" i="4"/>
  <c r="B134" i="4"/>
  <c r="S31" i="6"/>
  <c r="C48" i="4"/>
  <c r="E116" i="4"/>
  <c r="E79" i="4"/>
  <c r="E75" i="4"/>
  <c r="E124" i="4"/>
  <c r="B33" i="4"/>
  <c r="C134" i="4"/>
  <c r="D51" i="4"/>
  <c r="F40" i="4"/>
  <c r="D130" i="4"/>
  <c r="W10" i="6"/>
  <c r="W12" i="6"/>
  <c r="F70" i="4"/>
  <c r="B37" i="4"/>
  <c r="C119" i="4"/>
  <c r="E99" i="4"/>
  <c r="E67" i="4"/>
  <c r="D73" i="4"/>
  <c r="B25" i="4"/>
  <c r="N15" i="6"/>
  <c r="F14" i="4"/>
  <c r="F58" i="4"/>
  <c r="B45" i="4"/>
  <c r="F52" i="4"/>
  <c r="E43" i="4"/>
  <c r="N6" i="6"/>
  <c r="E27" i="4"/>
  <c r="E12" i="4"/>
  <c r="N23" i="6"/>
  <c r="B92" i="4"/>
  <c r="C116" i="4"/>
  <c r="N14" i="6"/>
  <c r="F44" i="4"/>
  <c r="C58" i="4"/>
  <c r="B39" i="4"/>
  <c r="C128" i="4"/>
  <c r="D48" i="4"/>
  <c r="E83" i="4"/>
  <c r="E6" i="4"/>
  <c r="B56" i="4"/>
  <c r="B27" i="4"/>
  <c r="C142" i="4"/>
  <c r="C7" i="4"/>
  <c r="B100" i="4"/>
  <c r="M6" i="6"/>
  <c r="B42" i="4"/>
  <c r="B13" i="4"/>
  <c r="E35" i="4"/>
  <c r="B28" i="4"/>
  <c r="F50" i="4"/>
  <c r="B116" i="4"/>
  <c r="F131" i="4"/>
  <c r="F143" i="4"/>
  <c r="M22" i="6"/>
  <c r="B49" i="4"/>
  <c r="Y31" i="6"/>
  <c r="T31" i="6"/>
  <c r="E62" i="4"/>
  <c r="F15" i="4"/>
  <c r="N10" i="6"/>
  <c r="E48" i="4"/>
  <c r="F55" i="4"/>
  <c r="D111" i="4"/>
  <c r="D46" i="4"/>
  <c r="B88" i="4"/>
  <c r="C93" i="4"/>
  <c r="D147" i="4"/>
  <c r="B20" i="4"/>
  <c r="F6" i="4"/>
  <c r="D87" i="4"/>
  <c r="D8" i="4"/>
  <c r="C96" i="4"/>
  <c r="F99" i="4"/>
  <c r="E102" i="4"/>
  <c r="F23" i="4"/>
  <c r="B110" i="4"/>
  <c r="D144" i="4"/>
  <c r="E40" i="4"/>
  <c r="N11" i="6"/>
  <c r="D116" i="4"/>
  <c r="N7" i="6"/>
  <c r="AC31" i="6"/>
  <c r="F67" i="4"/>
  <c r="E127" i="4"/>
  <c r="F8" i="4"/>
  <c r="E11" i="4"/>
  <c r="C33" i="4"/>
  <c r="L31" i="6"/>
  <c r="E108" i="4"/>
  <c r="D60" i="4"/>
  <c r="E87" i="4"/>
  <c r="E140" i="4"/>
  <c r="D101" i="4"/>
  <c r="E101" i="4"/>
  <c r="V12" i="6"/>
  <c r="AD31" i="6"/>
  <c r="F90" i="4"/>
  <c r="B48" i="4"/>
  <c r="F77" i="4"/>
  <c r="D32" i="4"/>
  <c r="M26" i="6"/>
  <c r="C60" i="4"/>
  <c r="D31" i="4"/>
  <c r="C97" i="4"/>
  <c r="E120" i="4"/>
  <c r="M16" i="6"/>
  <c r="C29" i="4"/>
  <c r="AF33" i="6"/>
  <c r="E30" i="4"/>
  <c r="F33" i="4"/>
  <c r="F118" i="4"/>
  <c r="F31" i="4"/>
  <c r="C107" i="4"/>
  <c r="M20" i="6"/>
  <c r="C101" i="4"/>
  <c r="C53" i="4"/>
  <c r="AB31" i="6"/>
  <c r="F83" i="4"/>
  <c r="N25" i="6"/>
  <c r="F24" i="4"/>
  <c r="C141" i="4"/>
  <c r="D103" i="4"/>
  <c r="B9" i="4"/>
  <c r="B89" i="4"/>
  <c r="D71" i="4"/>
  <c r="E94" i="4"/>
  <c r="C37" i="4"/>
  <c r="B97" i="4"/>
  <c r="N13" i="6"/>
  <c r="F113" i="4"/>
  <c r="D58" i="4"/>
  <c r="D52" i="4"/>
  <c r="E147" i="4"/>
  <c r="E70" i="4"/>
  <c r="D98" i="4"/>
  <c r="D64" i="4"/>
  <c r="E55" i="4"/>
  <c r="E95" i="4"/>
  <c r="F116" i="4"/>
  <c r="B32" i="4"/>
  <c r="C130" i="4"/>
  <c r="C11" i="4"/>
  <c r="B118" i="4"/>
  <c r="C100" i="4"/>
  <c r="B126" i="4"/>
  <c r="F65" i="4"/>
  <c r="C8" i="4"/>
  <c r="E143" i="4"/>
  <c r="C13" i="4"/>
  <c r="F85" i="4"/>
  <c r="F120" i="4"/>
  <c r="F137" i="4"/>
  <c r="B62" i="4"/>
  <c r="F31" i="6"/>
  <c r="C69" i="4"/>
  <c r="B132" i="4"/>
  <c r="C84" i="4"/>
  <c r="R31" i="6"/>
  <c r="C54" i="4"/>
  <c r="C148" i="4"/>
  <c r="D30" i="4"/>
  <c r="D40" i="4"/>
  <c r="D54" i="4"/>
  <c r="F132" i="4"/>
  <c r="F82" i="4"/>
  <c r="E111" i="4"/>
  <c r="D47" i="4"/>
  <c r="D122" i="4"/>
  <c r="V7" i="6"/>
  <c r="E13" i="4"/>
  <c r="F117" i="4"/>
  <c r="C15" i="4"/>
  <c r="C104" i="4"/>
  <c r="B138" i="4"/>
  <c r="F93" i="4"/>
  <c r="M27" i="6"/>
  <c r="N19" i="6"/>
  <c r="E144" i="4"/>
  <c r="W11" i="6"/>
  <c r="B120" i="4"/>
  <c r="D81" i="4"/>
  <c r="B11" i="4"/>
  <c r="C129" i="4"/>
  <c r="C131" i="4"/>
  <c r="B127" i="4"/>
  <c r="E82" i="4"/>
  <c r="F103" i="4"/>
  <c r="F19" i="4"/>
  <c r="F87" i="4"/>
  <c r="M4" i="6"/>
  <c r="B38" i="4"/>
  <c r="F130" i="4"/>
  <c r="C106" i="4"/>
  <c r="D16" i="4"/>
  <c r="D90" i="4"/>
  <c r="C73" i="4"/>
  <c r="B73" i="4"/>
  <c r="F79" i="4"/>
  <c r="M7" i="6"/>
  <c r="B70" i="4"/>
  <c r="F62" i="4"/>
  <c r="F76" i="4"/>
  <c r="D34" i="4"/>
  <c r="B131" i="4"/>
  <c r="C30" i="4"/>
  <c r="W14" i="6"/>
  <c r="F49" i="4"/>
  <c r="D42" i="4"/>
  <c r="D23" i="4"/>
  <c r="D27" i="4"/>
  <c r="V11" i="6"/>
  <c r="M14" i="6"/>
  <c r="D138" i="4"/>
  <c r="F10" i="4"/>
  <c r="B140" i="4"/>
  <c r="D28" i="4"/>
  <c r="B53" i="4"/>
  <c r="C117" i="4"/>
  <c r="D92" i="4"/>
  <c r="C51" i="4"/>
  <c r="B109" i="4"/>
  <c r="C76" i="4"/>
  <c r="B67" i="4"/>
  <c r="C19" i="4"/>
  <c r="F13" i="4"/>
  <c r="N16" i="6"/>
  <c r="E78" i="4"/>
  <c r="F27" i="4"/>
  <c r="C133" i="4"/>
  <c r="B141" i="4"/>
  <c r="E98" i="4"/>
  <c r="C122" i="4"/>
  <c r="D5" i="4"/>
  <c r="E125" i="4"/>
  <c r="D125" i="4"/>
  <c r="C89" i="4"/>
  <c r="W15" i="6"/>
  <c r="B145" i="4"/>
  <c r="B87" i="4"/>
  <c r="F134" i="4"/>
  <c r="D114" i="4"/>
  <c r="D6" i="4"/>
  <c r="D17" i="4"/>
  <c r="F112" i="4"/>
  <c r="B114" i="4"/>
  <c r="C20" i="4"/>
  <c r="F29" i="4"/>
  <c r="F136" i="4"/>
  <c r="B21" i="4"/>
  <c r="D131" i="4"/>
  <c r="F68" i="4"/>
  <c r="F139" i="4"/>
  <c r="C66" i="4"/>
  <c r="F46" i="4"/>
  <c r="F78" i="4"/>
  <c r="C42" i="4"/>
  <c r="B51" i="4"/>
  <c r="D14" i="4"/>
  <c r="E107" i="4"/>
  <c r="E31" i="6"/>
  <c r="E9" i="4"/>
  <c r="B66" i="4"/>
  <c r="E57" i="4"/>
  <c r="E148" i="4"/>
  <c r="B115" i="4"/>
  <c r="E128" i="4"/>
  <c r="C146" i="4"/>
  <c r="D72" i="4"/>
  <c r="E25" i="4"/>
  <c r="D69" i="4"/>
  <c r="D7" i="4"/>
  <c r="F57" i="4"/>
  <c r="D78" i="4"/>
  <c r="W8" i="6"/>
  <c r="D79" i="4"/>
  <c r="C136" i="4"/>
  <c r="B117" i="4"/>
  <c r="B107" i="4"/>
  <c r="E91" i="4"/>
  <c r="F53" i="4"/>
  <c r="E41" i="4"/>
  <c r="C110" i="4"/>
  <c r="C56" i="4"/>
  <c r="C125" i="4"/>
  <c r="C91" i="4"/>
  <c r="J31" i="6"/>
  <c r="E18" i="4"/>
  <c r="B128" i="4"/>
  <c r="C23" i="4"/>
  <c r="W16" i="6"/>
  <c r="M25" i="6"/>
  <c r="F97" i="4"/>
  <c r="F91" i="4"/>
  <c r="D115" i="4"/>
  <c r="D26" i="4"/>
  <c r="B123" i="4"/>
  <c r="D65" i="4"/>
  <c r="C31" i="6"/>
  <c r="B90" i="4"/>
  <c r="W17" i="6"/>
  <c r="B86" i="4"/>
  <c r="B17" i="4"/>
  <c r="N26" i="6"/>
  <c r="D57" i="4"/>
  <c r="C64" i="4"/>
  <c r="F30" i="4"/>
  <c r="D49" i="4"/>
  <c r="E59" i="4"/>
  <c r="F108" i="4"/>
  <c r="E58" i="4"/>
  <c r="B63" i="4"/>
  <c r="D95" i="4"/>
  <c r="B83" i="4"/>
  <c r="F122" i="4"/>
  <c r="C123" i="4"/>
  <c r="W9" i="6"/>
  <c r="D53" i="4"/>
  <c r="E53" i="4"/>
  <c r="D113" i="4"/>
  <c r="F21" i="4"/>
  <c r="F12" i="4"/>
  <c r="D12" i="4"/>
  <c r="N20" i="6"/>
  <c r="E47" i="4"/>
  <c r="E109" i="4"/>
  <c r="C46" i="4"/>
  <c r="F18" i="4"/>
  <c r="F17" i="4"/>
  <c r="M18" i="6"/>
  <c r="B93" i="4"/>
  <c r="V4" i="6"/>
  <c r="B57" i="4"/>
  <c r="D136" i="4"/>
  <c r="B6" i="4"/>
  <c r="D96" i="4"/>
  <c r="C12" i="4"/>
  <c r="E50" i="4"/>
  <c r="C108" i="4"/>
  <c r="E122" i="4"/>
  <c r="B108" i="4"/>
  <c r="B54" i="4"/>
  <c r="F5" i="4"/>
  <c r="D31" i="6"/>
  <c r="C121" i="4"/>
  <c r="E90" i="4"/>
  <c r="B102" i="4"/>
  <c r="D67" i="4"/>
  <c r="D84" i="4"/>
  <c r="F54" i="4"/>
  <c r="F39" i="4"/>
  <c r="B148" i="4"/>
  <c r="F125" i="4"/>
  <c r="D142" i="4"/>
  <c r="C38" i="4"/>
  <c r="B10" i="4"/>
  <c r="E29" i="4"/>
  <c r="B61" i="4"/>
  <c r="E121" i="4"/>
  <c r="D41" i="4"/>
  <c r="B50" i="4"/>
  <c r="B31" i="6"/>
  <c r="D133" i="4"/>
  <c r="B47" i="4"/>
  <c r="E89" i="4"/>
  <c r="D135" i="4"/>
  <c r="E135" i="4"/>
  <c r="E33" i="4"/>
  <c r="W7" i="6"/>
  <c r="E97" i="4"/>
  <c r="D100" i="4"/>
  <c r="D66" i="4"/>
  <c r="B101" i="4"/>
  <c r="N8" i="6"/>
  <c r="C140" i="4"/>
  <c r="C70" i="4"/>
  <c r="E105" i="4"/>
  <c r="E46" i="4"/>
  <c r="C28" i="4"/>
  <c r="E31" i="4"/>
  <c r="C57" i="4"/>
  <c r="C27" i="4"/>
  <c r="M19" i="6"/>
  <c r="C86" i="4"/>
  <c r="E5" i="4"/>
  <c r="V16" i="6"/>
  <c r="B91" i="4"/>
  <c r="F141" i="4"/>
  <c r="B64" i="4"/>
  <c r="C74" i="4"/>
  <c r="E85" i="4"/>
  <c r="C18" i="4"/>
  <c r="E130" i="4"/>
  <c r="E32" i="4"/>
  <c r="D61" i="4"/>
  <c r="K31" i="6"/>
  <c r="C144" i="4"/>
  <c r="E71" i="4"/>
  <c r="C65" i="4"/>
  <c r="Z31" i="6"/>
  <c r="F61" i="4"/>
  <c r="D83" i="4"/>
  <c r="E22" i="4"/>
  <c r="D124" i="4"/>
  <c r="F142" i="4"/>
  <c r="B14" i="4"/>
  <c r="D74" i="4"/>
  <c r="B135" i="4"/>
  <c r="C79" i="4"/>
  <c r="E92" i="4"/>
  <c r="F71" i="4"/>
  <c r="C95" i="4"/>
  <c r="D145" i="4"/>
  <c r="C112" i="4"/>
  <c r="D38" i="4"/>
  <c r="E36" i="4"/>
  <c r="E15" i="4"/>
  <c r="B31" i="4"/>
  <c r="D146" i="4"/>
  <c r="C22" i="4"/>
  <c r="D68" i="4"/>
  <c r="E66" i="4"/>
  <c r="E21" i="4"/>
  <c r="B105" i="4"/>
  <c r="C55" i="4"/>
  <c r="D75" i="4"/>
  <c r="D128" i="4"/>
  <c r="F145" i="4"/>
  <c r="B144" i="4"/>
  <c r="E49" i="4"/>
  <c r="F35" i="4"/>
  <c r="D77" i="4"/>
  <c r="B7" i="4"/>
  <c r="B82" i="4"/>
  <c r="B34" i="4"/>
  <c r="H31" i="6"/>
  <c r="W6" i="6"/>
  <c r="E132" i="4"/>
  <c r="F69" i="4"/>
  <c r="C115" i="4"/>
  <c r="D10" i="4"/>
  <c r="D36" i="4"/>
  <c r="C78" i="4"/>
  <c r="E115" i="4"/>
  <c r="F104" i="4"/>
  <c r="B23" i="4"/>
  <c r="F133" i="4"/>
  <c r="C138" i="4"/>
  <c r="F89" i="4"/>
  <c r="B104" i="4"/>
  <c r="E52" i="4"/>
  <c r="C31" i="4"/>
  <c r="D117" i="4"/>
  <c r="C63" i="4"/>
  <c r="D29" i="4"/>
  <c r="E141" i="4"/>
  <c r="M13" i="6"/>
  <c r="C98" i="4"/>
  <c r="V10" i="6"/>
  <c r="C103" i="4"/>
  <c r="B29" i="4"/>
  <c r="C10" i="4"/>
  <c r="C94" i="4"/>
  <c r="B41" i="4"/>
  <c r="C35" i="4"/>
  <c r="F22" i="4"/>
  <c r="B113" i="4"/>
  <c r="B24" i="4"/>
  <c r="D82" i="4"/>
  <c r="D102" i="4"/>
  <c r="C52" i="4"/>
  <c r="C34" i="4"/>
  <c r="E118" i="4"/>
  <c r="E61" i="4"/>
  <c r="W13" i="6"/>
  <c r="D104" i="4"/>
  <c r="B44" i="4"/>
  <c r="C77" i="4"/>
  <c r="D59" i="4"/>
  <c r="C67" i="4"/>
  <c r="B46" i="4"/>
  <c r="D24" i="4"/>
  <c r="D56" i="4"/>
  <c r="B79" i="4"/>
  <c r="E88" i="4"/>
  <c r="F95" i="4"/>
  <c r="E26" i="4"/>
  <c r="F105" i="4"/>
  <c r="D148" i="4"/>
  <c r="C50" i="4"/>
  <c r="D140" i="4"/>
  <c r="B122" i="4"/>
  <c r="C36" i="4"/>
  <c r="N5" i="6"/>
  <c r="D39" i="4"/>
  <c r="N17" i="6"/>
  <c r="E7" i="4"/>
  <c r="B36" i="4"/>
  <c r="N4" i="6"/>
  <c r="N27" i="6"/>
  <c r="B111" i="4"/>
  <c r="E42" i="4"/>
  <c r="F80" i="4"/>
  <c r="M10" i="6"/>
  <c r="E24" i="4"/>
  <c r="F96" i="4"/>
  <c r="E126" i="4"/>
  <c r="E100" i="4"/>
  <c r="C126" i="4"/>
  <c r="I31" i="6"/>
  <c r="F84" i="4"/>
  <c r="D105" i="4"/>
  <c r="E119" i="4"/>
  <c r="M5" i="6"/>
  <c r="D50" i="4"/>
  <c r="N31" i="6"/>
  <c r="F42" i="4"/>
  <c r="E117" i="4"/>
  <c r="B146" i="4"/>
  <c r="C147" i="4"/>
  <c r="D22" i="4"/>
  <c r="C87" i="4"/>
  <c r="B60" i="4"/>
  <c r="F86" i="4"/>
  <c r="B112" i="4"/>
  <c r="C132" i="4"/>
  <c r="F75" i="4"/>
  <c r="V17" i="6"/>
  <c r="C16" i="4"/>
  <c r="C72" i="4"/>
  <c r="E146" i="4"/>
  <c r="M23" i="6"/>
  <c r="D44" i="4"/>
  <c r="P34" i="6"/>
  <c r="R33" i="6"/>
  <c r="S33" i="6"/>
  <c r="X10" i="6"/>
  <c r="AF34" i="6"/>
  <c r="X4" i="6"/>
  <c r="S32" i="6"/>
  <c r="X5" i="6"/>
  <c r="X13" i="6"/>
  <c r="AC33" i="6"/>
  <c r="AA33" i="6"/>
  <c r="D118" i="4"/>
  <c r="D94" i="4"/>
  <c r="E96" i="4"/>
  <c r="D43" i="4"/>
  <c r="W5" i="6"/>
  <c r="D76" i="4"/>
  <c r="C9" i="4"/>
  <c r="D80" i="4"/>
  <c r="F25" i="4"/>
  <c r="F109" i="4"/>
  <c r="E19" i="4"/>
  <c r="D93" i="4"/>
  <c r="D139" i="4"/>
  <c r="E69" i="4"/>
  <c r="N24" i="6"/>
  <c r="B106" i="4"/>
  <c r="E51" i="4"/>
  <c r="B96" i="4"/>
  <c r="D62" i="4"/>
  <c r="F56" i="4"/>
  <c r="D112" i="4"/>
  <c r="E77" i="4"/>
  <c r="C47" i="4"/>
  <c r="B19" i="4"/>
  <c r="C120" i="4"/>
  <c r="C102" i="4"/>
  <c r="E139" i="4"/>
  <c r="B55" i="4"/>
  <c r="F92" i="4"/>
  <c r="B35" i="4"/>
  <c r="D126" i="4"/>
  <c r="C26" i="4"/>
  <c r="E129" i="4"/>
  <c r="B5" i="4"/>
  <c r="B80" i="4"/>
  <c r="F43" i="4"/>
  <c r="C83" i="4"/>
  <c r="F47" i="4"/>
  <c r="B74" i="4"/>
  <c r="C137" i="4"/>
  <c r="F36" i="4"/>
  <c r="D91" i="4"/>
  <c r="C41" i="4"/>
  <c r="B58" i="4"/>
  <c r="F147" i="4"/>
  <c r="E23" i="4"/>
  <c r="F146" i="4"/>
  <c r="F16" i="4"/>
  <c r="B81" i="4"/>
  <c r="C90" i="4"/>
  <c r="C43" i="4"/>
  <c r="E110" i="4"/>
  <c r="E136" i="4"/>
  <c r="E64" i="4"/>
  <c r="E142" i="4"/>
  <c r="E133" i="4"/>
  <c r="P32" i="6"/>
  <c r="B71" i="4"/>
  <c r="B124" i="4"/>
  <c r="D19" i="4"/>
  <c r="F37" i="4"/>
  <c r="D132" i="4"/>
  <c r="D109" i="4"/>
  <c r="C49" i="4"/>
  <c r="C143" i="4"/>
  <c r="D37" i="4"/>
  <c r="F127" i="4"/>
  <c r="D20" i="4"/>
  <c r="C88" i="4"/>
  <c r="C139" i="4"/>
  <c r="F7" i="4"/>
  <c r="M12" i="6"/>
  <c r="B139" i="4"/>
  <c r="P33" i="6"/>
  <c r="G33" i="6" s="1"/>
  <c r="D25" i="4"/>
  <c r="V14" i="6"/>
  <c r="C109" i="4"/>
  <c r="C44" i="4"/>
  <c r="F74" i="4"/>
  <c r="X15" i="6"/>
  <c r="X17" i="6"/>
  <c r="U32" i="6"/>
  <c r="J32" i="6"/>
  <c r="G32" i="6"/>
  <c r="X14" i="6"/>
  <c r="Z33" i="6"/>
  <c r="V33" i="6"/>
  <c r="T32" i="6"/>
  <c r="W32" i="6"/>
  <c r="L33" i="6"/>
  <c r="B33" i="6"/>
  <c r="V32" i="6"/>
  <c r="T33" i="6"/>
  <c r="J33" i="6"/>
  <c r="L32" i="6"/>
  <c r="B32" i="6"/>
  <c r="E39" i="4"/>
  <c r="B133" i="4"/>
  <c r="M9" i="6"/>
  <c r="C105" i="4"/>
  <c r="N9" i="6"/>
  <c r="E80" i="4"/>
  <c r="D15" i="4"/>
  <c r="E56" i="4"/>
  <c r="C14" i="4"/>
  <c r="E113" i="4"/>
  <c r="B18" i="4"/>
  <c r="G31" i="6"/>
  <c r="F26" i="4"/>
  <c r="B26" i="4"/>
  <c r="C68" i="4"/>
  <c r="U31" i="6"/>
  <c r="D119" i="4"/>
  <c r="C25" i="4"/>
  <c r="E114" i="4"/>
  <c r="B130" i="4"/>
  <c r="E104" i="4"/>
  <c r="B15" i="4"/>
  <c r="F110" i="4"/>
  <c r="B142" i="4"/>
  <c r="B69" i="4"/>
  <c r="C118" i="4"/>
  <c r="D129" i="4"/>
  <c r="M17" i="6"/>
  <c r="D123" i="4"/>
  <c r="B129" i="4"/>
  <c r="F135" i="4"/>
  <c r="C71" i="4"/>
  <c r="D134" i="4"/>
  <c r="D63" i="4"/>
  <c r="C135" i="4"/>
  <c r="C114" i="4"/>
  <c r="F126" i="4"/>
  <c r="D33" i="4"/>
  <c r="F51" i="4"/>
  <c r="F66" i="4"/>
  <c r="F28" i="4"/>
  <c r="F34" i="4"/>
  <c r="B40" i="4"/>
  <c r="B125" i="4"/>
  <c r="B85" i="4"/>
  <c r="F11" i="4"/>
  <c r="D18" i="4"/>
  <c r="F128" i="4"/>
  <c r="E17" i="4"/>
  <c r="B147" i="4"/>
  <c r="D99" i="4"/>
  <c r="E138" i="4"/>
  <c r="D120" i="4"/>
  <c r="B59" i="4"/>
  <c r="M15" i="6"/>
  <c r="F45" i="4"/>
  <c r="B95" i="4"/>
  <c r="D107" i="4"/>
  <c r="F119" i="4"/>
  <c r="C59" i="4"/>
  <c r="B16" i="4"/>
  <c r="F107" i="4"/>
  <c r="E16" i="4"/>
  <c r="E65" i="4"/>
  <c r="E81" i="4"/>
  <c r="F138" i="4"/>
  <c r="E10" i="4"/>
  <c r="F129" i="4"/>
  <c r="C145" i="4"/>
  <c r="E37" i="4"/>
  <c r="W31" i="6"/>
  <c r="E74" i="4"/>
  <c r="B65" i="4"/>
  <c r="D106" i="4"/>
  <c r="B98" i="4"/>
  <c r="F114" i="4"/>
  <c r="X31" i="6"/>
  <c r="B99" i="4"/>
  <c r="E103" i="4"/>
  <c r="X11" i="6"/>
  <c r="X6" i="6"/>
  <c r="Y33" i="6"/>
  <c r="I33" i="6"/>
  <c r="E33" i="6"/>
  <c r="U33" i="6"/>
  <c r="AA32" i="6"/>
  <c r="X16" i="6"/>
  <c r="C33" i="6"/>
  <c r="I32" i="6"/>
  <c r="F33" i="6"/>
  <c r="E32" i="6"/>
  <c r="Z32" i="6"/>
  <c r="F32" i="6"/>
  <c r="H33" i="6"/>
  <c r="N33" i="6"/>
  <c r="N32" i="6"/>
  <c r="AC32" i="6"/>
  <c r="AD32" i="6"/>
  <c r="E137" i="4"/>
  <c r="E84" i="4"/>
  <c r="E72" i="4"/>
  <c r="N18" i="6"/>
  <c r="V6" i="6"/>
  <c r="F148" i="4"/>
  <c r="F64" i="4"/>
  <c r="F115" i="4"/>
  <c r="B119" i="4"/>
  <c r="D143" i="4"/>
  <c r="B43" i="4"/>
  <c r="E68" i="4"/>
  <c r="F59" i="4"/>
  <c r="B12" i="4"/>
  <c r="F38" i="4"/>
  <c r="D89" i="4"/>
  <c r="D86" i="4"/>
  <c r="V15" i="6"/>
  <c r="F32" i="4"/>
  <c r="E14" i="4"/>
  <c r="E93" i="4"/>
  <c r="D137" i="4"/>
  <c r="E8" i="4"/>
  <c r="C24" i="4"/>
  <c r="C17" i="4"/>
  <c r="D97" i="4"/>
  <c r="V9" i="6"/>
  <c r="E20" i="4"/>
  <c r="E134" i="4"/>
  <c r="F41" i="4"/>
  <c r="B8" i="4"/>
  <c r="C127" i="4"/>
  <c r="F100" i="4"/>
  <c r="V13" i="6"/>
  <c r="D13" i="4"/>
  <c r="D11" i="4"/>
  <c r="B137" i="4"/>
  <c r="M11" i="6"/>
  <c r="N21" i="6"/>
  <c r="B94" i="4"/>
  <c r="C39" i="4"/>
  <c r="D9" i="4"/>
  <c r="C80" i="4"/>
  <c r="C81" i="4"/>
  <c r="F48" i="4"/>
  <c r="C45" i="4"/>
  <c r="M8" i="6"/>
  <c r="D35" i="4"/>
  <c r="C111" i="4"/>
  <c r="F72" i="4"/>
  <c r="D88" i="4"/>
  <c r="B77" i="4"/>
  <c r="F101" i="4"/>
  <c r="B143" i="4"/>
  <c r="N12" i="6"/>
  <c r="E73" i="4"/>
  <c r="C75" i="4"/>
  <c r="E45" i="4"/>
  <c r="D108" i="4"/>
  <c r="D141" i="4"/>
  <c r="F102" i="4"/>
  <c r="B76" i="4"/>
  <c r="E131" i="4"/>
  <c r="E145" i="4"/>
  <c r="B72" i="4"/>
  <c r="E54" i="4"/>
  <c r="C113" i="4"/>
  <c r="C99" i="4"/>
  <c r="B84" i="4"/>
  <c r="F73" i="4"/>
  <c r="F144" i="4"/>
  <c r="F20" i="4"/>
  <c r="C61" i="4"/>
  <c r="C124" i="4"/>
  <c r="D85" i="4"/>
  <c r="F123" i="4"/>
  <c r="M24" i="6"/>
  <c r="C32" i="4"/>
  <c r="V31" i="6"/>
  <c r="X7" i="6"/>
  <c r="D33" i="6"/>
  <c r="X8" i="6"/>
  <c r="X32" i="6"/>
  <c r="M33" i="6"/>
  <c r="K33" i="6"/>
  <c r="AB33" i="6"/>
  <c r="AB32" i="6"/>
  <c r="Y32" i="6"/>
  <c r="W33" i="6"/>
  <c r="AD33" i="6"/>
  <c r="X9" i="6"/>
  <c r="R32" i="6"/>
  <c r="X12" i="6"/>
  <c r="K32" i="6"/>
  <c r="X33" i="6"/>
  <c r="P35" i="6"/>
  <c r="V34" i="6"/>
  <c r="AB34" i="6"/>
  <c r="J34" i="6"/>
  <c r="G34" i="6"/>
  <c r="AD34" i="6"/>
  <c r="Y16" i="6"/>
  <c r="H34" i="6"/>
  <c r="C34" i="6"/>
  <c r="Y10" i="6"/>
  <c r="Y11" i="6"/>
  <c r="M34" i="6"/>
  <c r="Y6" i="6"/>
  <c r="K34" i="6"/>
  <c r="AF35" i="6"/>
  <c r="Y8" i="6"/>
  <c r="D34" i="6"/>
  <c r="Y9" i="6"/>
  <c r="Z34" i="6"/>
  <c r="R34" i="6"/>
  <c r="W34" i="6"/>
  <c r="Y15" i="6"/>
  <c r="I34" i="6"/>
  <c r="Y34" i="6"/>
  <c r="Y12" i="6"/>
  <c r="B34" i="6"/>
  <c r="AA34" i="6"/>
  <c r="E34" i="6"/>
  <c r="Y13" i="6"/>
  <c r="Y17" i="6"/>
  <c r="S34" i="6"/>
  <c r="Y14" i="6"/>
  <c r="T34" i="6"/>
  <c r="Y4" i="6"/>
  <c r="F34" i="6"/>
  <c r="Y7" i="6"/>
  <c r="N34" i="6"/>
  <c r="L34" i="6"/>
  <c r="X34" i="6"/>
  <c r="AC34" i="6"/>
  <c r="Y5" i="6"/>
  <c r="U34" i="6"/>
  <c r="H32" i="6"/>
  <c r="C32" i="6"/>
  <c r="M32" i="6"/>
  <c r="D32" i="6"/>
  <c r="A36" i="6" l="1"/>
  <c r="Z3" i="6"/>
  <c r="R35" i="6"/>
  <c r="AF36" i="6"/>
  <c r="E35" i="6"/>
  <c r="AA35" i="6"/>
  <c r="T35" i="6"/>
  <c r="Z15" i="6"/>
  <c r="Z8" i="6"/>
  <c r="Z6" i="6"/>
  <c r="Z5" i="6"/>
  <c r="Z4" i="6"/>
  <c r="Y35" i="6"/>
  <c r="L35" i="6"/>
  <c r="X35" i="6"/>
  <c r="Z9" i="6"/>
  <c r="I35" i="6"/>
  <c r="Z10" i="6"/>
  <c r="Z7" i="6"/>
  <c r="F35" i="6"/>
  <c r="Z12" i="6"/>
  <c r="M35" i="6"/>
  <c r="Z14" i="6"/>
  <c r="S35" i="6"/>
  <c r="K35" i="6"/>
  <c r="Z16" i="6"/>
  <c r="P36" i="6"/>
  <c r="C35" i="6"/>
  <c r="V35" i="6"/>
  <c r="N35" i="6"/>
  <c r="Z11" i="6"/>
  <c r="W35" i="6"/>
  <c r="U35" i="6"/>
  <c r="H35" i="6"/>
  <c r="AB35" i="6"/>
  <c r="B35" i="6"/>
  <c r="G35" i="6"/>
  <c r="Z35" i="6"/>
  <c r="AD35" i="6"/>
  <c r="AC35" i="6"/>
  <c r="J35" i="6"/>
  <c r="Z17" i="6"/>
  <c r="D35" i="6"/>
  <c r="Z13" i="6"/>
  <c r="A37" i="6" l="1"/>
  <c r="AA3" i="6"/>
  <c r="AA7" i="6"/>
  <c r="AA16" i="6"/>
  <c r="V36" i="6"/>
  <c r="Y36" i="6"/>
  <c r="AA36" i="6"/>
  <c r="H36" i="6"/>
  <c r="X36" i="6"/>
  <c r="AA4" i="6"/>
  <c r="C36" i="6"/>
  <c r="F36" i="6"/>
  <c r="G36" i="6"/>
  <c r="L36" i="6"/>
  <c r="AA12" i="6"/>
  <c r="AA6" i="6"/>
  <c r="P37" i="6"/>
  <c r="AA8" i="6"/>
  <c r="AB36" i="6"/>
  <c r="B36" i="6"/>
  <c r="AC36" i="6"/>
  <c r="M36" i="6"/>
  <c r="J36" i="6"/>
  <c r="Z36" i="6"/>
  <c r="I36" i="6"/>
  <c r="W36" i="6"/>
  <c r="AA10" i="6"/>
  <c r="S36" i="6"/>
  <c r="D36" i="6"/>
  <c r="U36" i="6"/>
  <c r="AA13" i="6"/>
  <c r="AA5" i="6"/>
  <c r="T36" i="6"/>
  <c r="AA14" i="6"/>
  <c r="E36" i="6"/>
  <c r="AF37" i="6"/>
  <c r="AA17" i="6"/>
  <c r="AA15" i="6"/>
  <c r="K36" i="6"/>
  <c r="AD36" i="6"/>
  <c r="N36" i="6"/>
  <c r="R36" i="6"/>
  <c r="AA9" i="6"/>
  <c r="AA11" i="6"/>
  <c r="A38" i="6" l="1"/>
  <c r="AB3" i="6"/>
  <c r="W37" i="6"/>
  <c r="AB15" i="6"/>
  <c r="P38" i="6"/>
  <c r="AB12" i="6"/>
  <c r="AB8" i="6"/>
  <c r="AB16" i="6"/>
  <c r="AB11" i="6"/>
  <c r="E37" i="6"/>
  <c r="V37" i="6"/>
  <c r="AC37" i="6"/>
  <c r="AB7" i="6"/>
  <c r="T37" i="6"/>
  <c r="AB17" i="6"/>
  <c r="U37" i="6"/>
  <c r="M37" i="6"/>
  <c r="N37" i="6"/>
  <c r="AB10" i="6"/>
  <c r="I37" i="6"/>
  <c r="X37" i="6"/>
  <c r="F37" i="6"/>
  <c r="AB9" i="6"/>
  <c r="D37" i="6"/>
  <c r="AB4" i="6"/>
  <c r="Y37" i="6"/>
  <c r="AF38" i="6"/>
  <c r="AA37" i="6"/>
  <c r="AB13" i="6"/>
  <c r="AB14" i="6"/>
  <c r="C37" i="6"/>
  <c r="H37" i="6"/>
  <c r="L37" i="6"/>
  <c r="G37" i="6"/>
  <c r="Z37" i="6"/>
  <c r="AB37" i="6"/>
  <c r="K37" i="6"/>
  <c r="R37" i="6"/>
  <c r="AD37" i="6"/>
  <c r="AB5" i="6"/>
  <c r="AB6" i="6"/>
  <c r="S37" i="6"/>
  <c r="J37" i="6"/>
  <c r="B37" i="6"/>
  <c r="A39" i="6" l="1"/>
  <c r="AC3" i="6"/>
  <c r="R38" i="6"/>
  <c r="AC11" i="6"/>
  <c r="AC13" i="6"/>
  <c r="AC16" i="6"/>
  <c r="V38" i="6"/>
  <c r="AC38" i="6"/>
  <c r="G38" i="6"/>
  <c r="I38" i="6"/>
  <c r="AC10" i="6"/>
  <c r="AC8" i="6"/>
  <c r="AC12" i="6"/>
  <c r="P39" i="6"/>
  <c r="M38" i="6"/>
  <c r="W38" i="6"/>
  <c r="Y38" i="6"/>
  <c r="K38" i="6"/>
  <c r="AC6" i="6"/>
  <c r="B38" i="6"/>
  <c r="AC14" i="6"/>
  <c r="AC17" i="6"/>
  <c r="N38" i="6"/>
  <c r="AC15" i="6"/>
  <c r="T38" i="6"/>
  <c r="L38" i="6"/>
  <c r="C38" i="6"/>
  <c r="J38" i="6"/>
  <c r="F38" i="6"/>
  <c r="D38" i="6"/>
  <c r="S38" i="6"/>
  <c r="AF39" i="6"/>
  <c r="AB38" i="6"/>
  <c r="Z38" i="6"/>
  <c r="AC9" i="6"/>
  <c r="X38" i="6"/>
  <c r="AA38" i="6"/>
  <c r="AD38" i="6"/>
  <c r="AC7" i="6"/>
  <c r="AC5" i="6"/>
  <c r="H38" i="6"/>
  <c r="AC4" i="6"/>
  <c r="E38" i="6"/>
  <c r="U38" i="6"/>
  <c r="A40" i="6" l="1"/>
  <c r="AD3" i="6"/>
  <c r="AD11" i="6"/>
  <c r="P40" i="6"/>
  <c r="AD16" i="6"/>
  <c r="AD13" i="6"/>
  <c r="S39" i="6"/>
  <c r="C39" i="6"/>
  <c r="Y39" i="6"/>
  <c r="AD39" i="6"/>
  <c r="W39" i="6"/>
  <c r="AD10" i="6"/>
  <c r="B39" i="6"/>
  <c r="AD12" i="6"/>
  <c r="AD7" i="6"/>
  <c r="L39" i="6"/>
  <c r="H39" i="6"/>
  <c r="K39" i="6"/>
  <c r="AD5" i="6"/>
  <c r="AD14" i="6"/>
  <c r="G39" i="6"/>
  <c r="D39" i="6"/>
  <c r="AD17" i="6"/>
  <c r="AB39" i="6"/>
  <c r="V39" i="6"/>
  <c r="I39" i="6"/>
  <c r="M39" i="6"/>
  <c r="Z39" i="6"/>
  <c r="X39" i="6"/>
  <c r="AA39" i="6"/>
  <c r="AD9" i="6"/>
  <c r="N39" i="6"/>
  <c r="AD8" i="6"/>
  <c r="E39" i="6"/>
  <c r="AD6" i="6"/>
  <c r="J39" i="6"/>
  <c r="R39" i="6"/>
  <c r="AC39" i="6"/>
  <c r="AD15" i="6"/>
  <c r="T39" i="6"/>
  <c r="AF40" i="6"/>
  <c r="F39" i="6"/>
  <c r="AD4" i="6"/>
  <c r="U39" i="6"/>
  <c r="A41" i="6" l="1"/>
  <c r="P41" i="6"/>
  <c r="T40" i="6"/>
  <c r="L40" i="6"/>
  <c r="M40" i="6"/>
  <c r="AC40" i="6"/>
  <c r="B40" i="6"/>
  <c r="Z40" i="6"/>
  <c r="V40" i="6"/>
  <c r="S40" i="6"/>
  <c r="F40" i="6"/>
  <c r="AD40" i="6"/>
  <c r="K40" i="6"/>
  <c r="X40" i="6"/>
  <c r="U40" i="6"/>
  <c r="G40" i="6"/>
  <c r="E40" i="6"/>
  <c r="I40" i="6"/>
  <c r="AB40" i="6"/>
  <c r="Y40" i="6"/>
  <c r="H40" i="6"/>
  <c r="AA40" i="6"/>
  <c r="D40" i="6"/>
  <c r="N40" i="6"/>
  <c r="AF41" i="6"/>
  <c r="R40" i="6"/>
  <c r="C40" i="6"/>
  <c r="J40" i="6"/>
  <c r="W40" i="6"/>
  <c r="A42" i="6" l="1"/>
  <c r="B41" i="6"/>
  <c r="AB41" i="6"/>
  <c r="R41" i="6"/>
  <c r="G41" i="6"/>
  <c r="I41" i="6"/>
  <c r="AF42" i="6"/>
  <c r="T41" i="6"/>
  <c r="F41" i="6"/>
  <c r="V41" i="6"/>
  <c r="L41" i="6"/>
  <c r="E41" i="6"/>
  <c r="W41" i="6"/>
  <c r="N41" i="6"/>
  <c r="Z41" i="6"/>
  <c r="D41" i="6"/>
  <c r="X41" i="6"/>
  <c r="U41" i="6"/>
  <c r="M41" i="6"/>
  <c r="S41" i="6"/>
  <c r="P42" i="6"/>
  <c r="Y41" i="6"/>
  <c r="C41" i="6"/>
  <c r="J41" i="6"/>
  <c r="H41" i="6"/>
  <c r="AC41" i="6"/>
  <c r="AA41" i="6"/>
  <c r="AD41" i="6"/>
  <c r="K41" i="6"/>
  <c r="A43" i="6" l="1"/>
  <c r="M42" i="6"/>
  <c r="U42" i="6"/>
  <c r="H42" i="6"/>
  <c r="F42" i="6"/>
  <c r="T42" i="6"/>
  <c r="E42" i="6"/>
  <c r="K42" i="6"/>
  <c r="I42" i="6"/>
  <c r="P43" i="6"/>
  <c r="V42" i="6"/>
  <c r="AC42" i="6"/>
  <c r="Y42" i="6"/>
  <c r="X42" i="6"/>
  <c r="J42" i="6"/>
  <c r="S42" i="6"/>
  <c r="Z42" i="6"/>
  <c r="AF43" i="6"/>
  <c r="AB42" i="6"/>
  <c r="G42" i="6"/>
  <c r="N42" i="6"/>
  <c r="W42" i="6"/>
  <c r="AD42" i="6"/>
  <c r="C42" i="6"/>
  <c r="AA42" i="6"/>
  <c r="D42" i="6"/>
  <c r="L42" i="6"/>
  <c r="R42" i="6"/>
  <c r="B42" i="6"/>
  <c r="A44" i="6" l="1"/>
  <c r="D43" i="6"/>
  <c r="B43" i="6"/>
  <c r="AF44" i="6"/>
  <c r="U43" i="6"/>
  <c r="I43" i="6"/>
  <c r="X43" i="6"/>
  <c r="Y43" i="6"/>
  <c r="Z43" i="6"/>
  <c r="S43" i="6"/>
  <c r="C43" i="6"/>
  <c r="L43" i="6"/>
  <c r="J43" i="6"/>
  <c r="G43" i="6"/>
  <c r="H43" i="6"/>
  <c r="T43" i="6"/>
  <c r="K43" i="6"/>
  <c r="P44" i="6"/>
  <c r="AB43" i="6"/>
  <c r="F43" i="6"/>
  <c r="AA43" i="6"/>
  <c r="N43" i="6"/>
  <c r="AD43" i="6"/>
  <c r="M43" i="6"/>
  <c r="E43" i="6"/>
  <c r="V43" i="6"/>
  <c r="AC43" i="6"/>
  <c r="R43" i="6"/>
  <c r="W43" i="6"/>
  <c r="A45" i="6" l="1"/>
  <c r="L44" i="6"/>
  <c r="Z44" i="6"/>
  <c r="Y44" i="6"/>
  <c r="T44" i="6"/>
  <c r="C44" i="6"/>
  <c r="K44" i="6"/>
  <c r="AB44" i="6"/>
  <c r="AC44" i="6"/>
  <c r="R44" i="6"/>
  <c r="P45" i="6"/>
  <c r="F44" i="6"/>
  <c r="X44" i="6"/>
  <c r="AA44" i="6"/>
  <c r="J44" i="6"/>
  <c r="E44" i="6"/>
  <c r="G44" i="6"/>
  <c r="V44" i="6"/>
  <c r="B44" i="6"/>
  <c r="D44" i="6"/>
  <c r="M44" i="6"/>
  <c r="S44" i="6"/>
  <c r="H44" i="6"/>
  <c r="AF45" i="6"/>
  <c r="AD44" i="6"/>
  <c r="N44" i="6"/>
  <c r="U44" i="6"/>
  <c r="I44" i="6"/>
  <c r="W44" i="6"/>
  <c r="A46" i="6" l="1"/>
  <c r="N45" i="6"/>
  <c r="Y45" i="6"/>
  <c r="D45" i="6"/>
  <c r="K45" i="6"/>
  <c r="E45" i="6"/>
  <c r="F45" i="6"/>
  <c r="L45" i="6"/>
  <c r="AB45" i="6"/>
  <c r="S45" i="6"/>
  <c r="H45" i="6"/>
  <c r="G45" i="6"/>
  <c r="U45" i="6"/>
  <c r="T45" i="6"/>
  <c r="I45" i="6"/>
  <c r="Z45" i="6"/>
  <c r="AC45" i="6"/>
  <c r="R45" i="6"/>
  <c r="AA45" i="6"/>
  <c r="AF46" i="6"/>
  <c r="W45" i="6"/>
  <c r="J45" i="6"/>
  <c r="B45" i="6"/>
  <c r="M45" i="6"/>
  <c r="C45" i="6"/>
  <c r="X45" i="6"/>
  <c r="AD45" i="6"/>
  <c r="P46" i="6"/>
  <c r="V45" i="6"/>
  <c r="A47" i="6" l="1"/>
  <c r="X46" i="6"/>
  <c r="R46" i="6"/>
  <c r="V46" i="6"/>
  <c r="AC46" i="6"/>
  <c r="J46" i="6"/>
  <c r="N46" i="6"/>
  <c r="M46" i="6"/>
  <c r="W46" i="6"/>
  <c r="C46" i="6"/>
  <c r="AF47" i="6"/>
  <c r="Z46" i="6"/>
  <c r="I46" i="6"/>
  <c r="Y46" i="6"/>
  <c r="AB46" i="6"/>
  <c r="D46" i="6"/>
  <c r="AD46" i="6"/>
  <c r="P47" i="6"/>
  <c r="T46" i="6"/>
  <c r="G46" i="6"/>
  <c r="F46" i="6"/>
  <c r="U46" i="6"/>
  <c r="S46" i="6"/>
  <c r="L46" i="6"/>
  <c r="B46" i="6"/>
  <c r="K46" i="6"/>
  <c r="E46" i="6"/>
  <c r="AA46" i="6"/>
  <c r="H46" i="6"/>
  <c r="A48" i="6" l="1"/>
  <c r="P48" i="6"/>
  <c r="R47" i="6"/>
  <c r="I47" i="6"/>
  <c r="U47" i="6"/>
  <c r="AC47" i="6"/>
  <c r="D47" i="6"/>
  <c r="AB47" i="6"/>
  <c r="AD47" i="6"/>
  <c r="Z47" i="6"/>
  <c r="N47" i="6"/>
  <c r="F47" i="6"/>
  <c r="AF48" i="6"/>
  <c r="S47" i="6"/>
  <c r="L47" i="6"/>
  <c r="G47" i="6"/>
  <c r="J47" i="6"/>
  <c r="Y47" i="6"/>
  <c r="M47" i="6"/>
  <c r="C47" i="6"/>
  <c r="T47" i="6"/>
  <c r="W47" i="6"/>
  <c r="H47" i="6"/>
  <c r="X47" i="6"/>
  <c r="V47" i="6"/>
  <c r="AA47" i="6"/>
  <c r="E47" i="6"/>
  <c r="B47" i="6"/>
  <c r="K47" i="6"/>
  <c r="A49" i="6" l="1"/>
  <c r="Y48" i="6"/>
  <c r="R48" i="6"/>
  <c r="N48" i="6"/>
  <c r="AC48" i="6"/>
  <c r="W48" i="6"/>
  <c r="Z48" i="6"/>
  <c r="E48" i="6"/>
  <c r="AB48" i="6"/>
  <c r="B48" i="6"/>
  <c r="M48" i="6"/>
  <c r="AA48" i="6"/>
  <c r="I48" i="6"/>
  <c r="AF49" i="6"/>
  <c r="S48" i="6"/>
  <c r="C48" i="6"/>
  <c r="X48" i="6"/>
  <c r="U48" i="6"/>
  <c r="L48" i="6"/>
  <c r="H48" i="6"/>
  <c r="J48" i="6"/>
  <c r="K48" i="6"/>
  <c r="F48" i="6"/>
  <c r="D48" i="6"/>
  <c r="AD48" i="6"/>
  <c r="T48" i="6"/>
  <c r="G48" i="6"/>
  <c r="P49" i="6"/>
  <c r="V48" i="6"/>
  <c r="A50" i="6" l="1"/>
  <c r="R49" i="6"/>
  <c r="N49" i="6"/>
  <c r="AB49" i="6"/>
  <c r="L49" i="6"/>
  <c r="P50" i="6"/>
  <c r="B49" i="6"/>
  <c r="Z49" i="6"/>
  <c r="S49" i="6"/>
  <c r="AA49" i="6"/>
  <c r="Y49" i="6"/>
  <c r="V49" i="6"/>
  <c r="H49" i="6"/>
  <c r="X49" i="6"/>
  <c r="I49" i="6"/>
  <c r="J49" i="6"/>
  <c r="D49" i="6"/>
  <c r="K49" i="6"/>
  <c r="U49" i="6"/>
  <c r="AD49" i="6"/>
  <c r="E49" i="6"/>
  <c r="F49" i="6"/>
  <c r="G49" i="6"/>
  <c r="M49" i="6"/>
  <c r="AC49" i="6"/>
  <c r="T49" i="6"/>
  <c r="C49" i="6"/>
  <c r="AF50" i="6"/>
  <c r="W49" i="6"/>
  <c r="A51" i="6" l="1"/>
  <c r="H50" i="6"/>
  <c r="T50" i="6"/>
  <c r="B50" i="6"/>
  <c r="E50" i="6"/>
  <c r="G50" i="6"/>
  <c r="J50" i="6"/>
  <c r="U50" i="6"/>
  <c r="D50" i="6"/>
  <c r="S50" i="6"/>
  <c r="W50" i="6"/>
  <c r="F50" i="6"/>
  <c r="X50" i="6"/>
  <c r="R50" i="6"/>
  <c r="AA50" i="6"/>
  <c r="C50" i="6"/>
  <c r="AC50" i="6"/>
  <c r="Y50" i="6"/>
  <c r="AF51" i="6"/>
  <c r="P51" i="6"/>
  <c r="L50" i="6"/>
  <c r="AB50" i="6"/>
  <c r="AD50" i="6"/>
  <c r="Z50" i="6"/>
  <c r="N50" i="6"/>
  <c r="K50" i="6"/>
  <c r="I50" i="6"/>
  <c r="V50" i="6"/>
  <c r="M50" i="6"/>
  <c r="A52" i="6" l="1"/>
  <c r="T51" i="6"/>
  <c r="D51" i="6"/>
  <c r="W51" i="6"/>
  <c r="I51" i="6"/>
  <c r="G51" i="6"/>
  <c r="H51" i="6"/>
  <c r="R51" i="6"/>
  <c r="J51" i="6"/>
  <c r="AD51" i="6"/>
  <c r="V51" i="6"/>
  <c r="M51" i="6"/>
  <c r="Z51" i="6"/>
  <c r="U51" i="6"/>
  <c r="B51" i="6"/>
  <c r="C51" i="6"/>
  <c r="L51" i="6"/>
  <c r="E51" i="6"/>
  <c r="AC51" i="6"/>
  <c r="Y51" i="6"/>
  <c r="N51" i="6"/>
  <c r="AF52" i="6"/>
  <c r="X51" i="6"/>
  <c r="S51" i="6"/>
  <c r="P52" i="6"/>
  <c r="AA51" i="6"/>
  <c r="AB51" i="6"/>
  <c r="K51" i="6"/>
  <c r="F51" i="6"/>
  <c r="A53" i="6" l="1"/>
  <c r="L52" i="6"/>
  <c r="AD52" i="6"/>
  <c r="E52" i="6"/>
  <c r="K52" i="6"/>
  <c r="P53" i="6"/>
  <c r="Y52" i="6"/>
  <c r="N52" i="6"/>
  <c r="AA52" i="6"/>
  <c r="AF53" i="6"/>
  <c r="V52" i="6"/>
  <c r="J52" i="6"/>
  <c r="M52" i="6"/>
  <c r="T52" i="6"/>
  <c r="S52" i="6"/>
  <c r="D52" i="6"/>
  <c r="H52" i="6"/>
  <c r="X52" i="6"/>
  <c r="AB52" i="6"/>
  <c r="G52" i="6"/>
  <c r="R52" i="6"/>
  <c r="F52" i="6"/>
  <c r="B52" i="6"/>
  <c r="Z52" i="6"/>
  <c r="U52" i="6"/>
  <c r="W52" i="6"/>
  <c r="AC52" i="6"/>
  <c r="C52" i="6"/>
  <c r="I52" i="6"/>
  <c r="A54" i="6" l="1"/>
  <c r="U53" i="6"/>
  <c r="X53" i="6"/>
  <c r="AF54" i="6"/>
  <c r="T53" i="6"/>
  <c r="Z53" i="6"/>
  <c r="J53" i="6"/>
  <c r="E53" i="6"/>
  <c r="H53" i="6"/>
  <c r="AC53" i="6"/>
  <c r="C53" i="6"/>
  <c r="V53" i="6"/>
  <c r="G53" i="6"/>
  <c r="Y53" i="6"/>
  <c r="AA53" i="6"/>
  <c r="N53" i="6"/>
  <c r="M53" i="6"/>
  <c r="D53" i="6"/>
  <c r="W53" i="6"/>
  <c r="K53" i="6"/>
  <c r="F53" i="6"/>
  <c r="P54" i="6"/>
  <c r="L53" i="6"/>
  <c r="AD53" i="6"/>
  <c r="R53" i="6"/>
  <c r="I53" i="6"/>
  <c r="B53" i="6"/>
  <c r="AB53" i="6"/>
  <c r="S53" i="6"/>
  <c r="A55" i="6" l="1"/>
  <c r="V54" i="6"/>
  <c r="AF55" i="6"/>
  <c r="W54" i="6"/>
  <c r="AC54" i="6"/>
  <c r="N54" i="6"/>
  <c r="X54" i="6"/>
  <c r="L54" i="6"/>
  <c r="AB54" i="6"/>
  <c r="P55" i="6"/>
  <c r="T54" i="6"/>
  <c r="M54" i="6"/>
  <c r="D54" i="6"/>
  <c r="AA54" i="6"/>
  <c r="Y54" i="6"/>
  <c r="Z54" i="6"/>
  <c r="I54" i="6"/>
  <c r="G54" i="6"/>
  <c r="E54" i="6"/>
  <c r="H54" i="6"/>
  <c r="U54" i="6"/>
  <c r="C54" i="6"/>
  <c r="J54" i="6"/>
  <c r="AD54" i="6"/>
  <c r="R54" i="6"/>
  <c r="F54" i="6"/>
  <c r="B54" i="6"/>
  <c r="K54" i="6"/>
  <c r="S54" i="6"/>
  <c r="A56" i="6" l="1"/>
  <c r="AD55" i="6"/>
  <c r="Y55" i="6"/>
  <c r="L55" i="6"/>
  <c r="AA55" i="6"/>
  <c r="M55" i="6"/>
  <c r="X55" i="6"/>
  <c r="P56" i="6"/>
  <c r="W55" i="6"/>
  <c r="Z55" i="6"/>
  <c r="T55" i="6"/>
  <c r="C55" i="6"/>
  <c r="U55" i="6"/>
  <c r="R55" i="6"/>
  <c r="F55" i="6"/>
  <c r="E55" i="6"/>
  <c r="J55" i="6"/>
  <c r="AF56" i="6"/>
  <c r="G55" i="6"/>
  <c r="N55" i="6"/>
  <c r="AC55" i="6"/>
  <c r="I55" i="6"/>
  <c r="D55" i="6"/>
  <c r="S55" i="6"/>
  <c r="K55" i="6"/>
  <c r="B55" i="6"/>
  <c r="H55" i="6"/>
  <c r="AB55" i="6"/>
  <c r="V55" i="6"/>
  <c r="A57" i="6" l="1"/>
  <c r="AC56" i="6"/>
  <c r="I56" i="6"/>
  <c r="T56" i="6"/>
  <c r="AF57" i="6"/>
  <c r="E56" i="6"/>
  <c r="AD56" i="6"/>
  <c r="W56" i="6"/>
  <c r="D56" i="6"/>
  <c r="X56" i="6"/>
  <c r="AA56" i="6"/>
  <c r="H56" i="6"/>
  <c r="U56" i="6"/>
  <c r="M56" i="6"/>
  <c r="K56" i="6"/>
  <c r="G56" i="6"/>
  <c r="Y56" i="6"/>
  <c r="L56" i="6"/>
  <c r="R56" i="6"/>
  <c r="J56" i="6"/>
  <c r="S56" i="6"/>
  <c r="Z56" i="6"/>
  <c r="P57" i="6"/>
  <c r="B56" i="6"/>
  <c r="F56" i="6"/>
  <c r="C56" i="6"/>
  <c r="N56" i="6"/>
  <c r="V56" i="6"/>
  <c r="AB56" i="6"/>
  <c r="A58" i="6" l="1"/>
  <c r="M57" i="6"/>
  <c r="AA57" i="6"/>
  <c r="V57" i="6"/>
  <c r="I57" i="6"/>
  <c r="S57" i="6"/>
  <c r="C57" i="6"/>
  <c r="N57" i="6"/>
  <c r="Z57" i="6"/>
  <c r="D57" i="6"/>
  <c r="P58" i="6"/>
  <c r="AB57" i="6"/>
  <c r="J57" i="6"/>
  <c r="U57" i="6"/>
  <c r="AD57" i="6"/>
  <c r="G57" i="6"/>
  <c r="H57" i="6"/>
  <c r="F57" i="6"/>
  <c r="B57" i="6"/>
  <c r="E57" i="6"/>
  <c r="T57" i="6"/>
  <c r="L57" i="6"/>
  <c r="R57" i="6"/>
  <c r="AF58" i="6"/>
  <c r="K57" i="6"/>
  <c r="X57" i="6"/>
  <c r="AC57" i="6"/>
  <c r="W57" i="6"/>
  <c r="Y57" i="6"/>
  <c r="A59" i="6" l="1"/>
  <c r="AD58" i="6"/>
  <c r="D58" i="6"/>
  <c r="S58" i="6"/>
  <c r="T58" i="6"/>
  <c r="Y58" i="6"/>
  <c r="F58" i="6"/>
  <c r="K58" i="6"/>
  <c r="P59" i="6"/>
  <c r="AC58" i="6"/>
  <c r="G58" i="6"/>
  <c r="V58" i="6"/>
  <c r="B58" i="6"/>
  <c r="N58" i="6"/>
  <c r="R58" i="6"/>
  <c r="AF59" i="6"/>
  <c r="X58" i="6"/>
  <c r="M58" i="6"/>
  <c r="J58" i="6"/>
  <c r="H58" i="6"/>
  <c r="U58" i="6"/>
  <c r="Z58" i="6"/>
  <c r="AB58" i="6"/>
  <c r="E58" i="6"/>
  <c r="C58" i="6"/>
  <c r="AA58" i="6"/>
  <c r="W58" i="6"/>
  <c r="L58" i="6"/>
  <c r="I58" i="6"/>
  <c r="A60" i="6" l="1"/>
  <c r="M59" i="6"/>
  <c r="R59" i="6"/>
  <c r="I59" i="6"/>
  <c r="E59" i="6"/>
  <c r="L59" i="6"/>
  <c r="P60" i="6"/>
  <c r="G59" i="6"/>
  <c r="H59" i="6"/>
  <c r="D59" i="6"/>
  <c r="B59" i="6"/>
  <c r="S59" i="6"/>
  <c r="AA59" i="6"/>
  <c r="F59" i="6"/>
  <c r="V59" i="6"/>
  <c r="N59" i="6"/>
  <c r="K59" i="6"/>
  <c r="Z59" i="6"/>
  <c r="X59" i="6"/>
  <c r="C59" i="6"/>
  <c r="T59" i="6"/>
  <c r="AC59" i="6"/>
  <c r="W59" i="6"/>
  <c r="U59" i="6"/>
  <c r="AD59" i="6"/>
  <c r="AB59" i="6"/>
  <c r="Y59" i="6"/>
  <c r="AF60" i="6"/>
  <c r="J59" i="6"/>
  <c r="A61" i="6" l="1"/>
  <c r="G60" i="6"/>
  <c r="AA60" i="6"/>
  <c r="S60" i="6"/>
  <c r="AF61" i="6"/>
  <c r="Z60" i="6"/>
  <c r="Y60" i="6"/>
  <c r="AB60" i="6"/>
  <c r="M60" i="6"/>
  <c r="T60" i="6"/>
  <c r="K60" i="6"/>
  <c r="R60" i="6"/>
  <c r="E60" i="6"/>
  <c r="C60" i="6"/>
  <c r="L60" i="6"/>
  <c r="D60" i="6"/>
  <c r="F60" i="6"/>
  <c r="W60" i="6"/>
  <c r="V60" i="6"/>
  <c r="H60" i="6"/>
  <c r="AC60" i="6"/>
  <c r="U60" i="6"/>
  <c r="AD60" i="6"/>
  <c r="J60" i="6"/>
  <c r="N60" i="6"/>
  <c r="X60" i="6"/>
  <c r="B60" i="6"/>
  <c r="P61" i="6"/>
  <c r="I60" i="6"/>
  <c r="A62" i="6" l="1"/>
  <c r="U61" i="6"/>
  <c r="R61" i="6"/>
  <c r="M61" i="6"/>
  <c r="Y61" i="6"/>
  <c r="K61" i="6"/>
  <c r="N61" i="6"/>
  <c r="T61" i="6"/>
  <c r="C61" i="6"/>
  <c r="AC61" i="6"/>
  <c r="H61" i="6"/>
  <c r="Z61" i="6"/>
  <c r="B61" i="6"/>
  <c r="P62" i="6"/>
  <c r="G61" i="6"/>
  <c r="F61" i="6"/>
  <c r="E61" i="6"/>
  <c r="D61" i="6"/>
  <c r="AB61" i="6"/>
  <c r="L61" i="6"/>
  <c r="V61" i="6"/>
  <c r="AF62" i="6"/>
  <c r="AD61" i="6"/>
  <c r="X61" i="6"/>
  <c r="W61" i="6"/>
  <c r="J61" i="6"/>
  <c r="AA61" i="6"/>
  <c r="S61" i="6"/>
  <c r="I61" i="6"/>
  <c r="A63" i="6" l="1"/>
  <c r="R62" i="6"/>
  <c r="E62" i="6"/>
  <c r="AF63" i="6"/>
  <c r="AA62" i="6"/>
  <c r="W62" i="6"/>
  <c r="F62" i="6"/>
  <c r="K62" i="6"/>
  <c r="AD62" i="6"/>
  <c r="J62" i="6"/>
  <c r="AC62" i="6"/>
  <c r="T62" i="6"/>
  <c r="X62" i="6"/>
  <c r="C62" i="6"/>
  <c r="U62" i="6"/>
  <c r="V62" i="6"/>
  <c r="Z62" i="6"/>
  <c r="P63" i="6"/>
  <c r="B62" i="6"/>
  <c r="L62" i="6"/>
  <c r="M62" i="6"/>
  <c r="AB62" i="6"/>
  <c r="G62" i="6"/>
  <c r="H62" i="6"/>
  <c r="I62" i="6"/>
  <c r="N62" i="6"/>
  <c r="S62" i="6"/>
  <c r="D62" i="6"/>
  <c r="Y62" i="6"/>
  <c r="A64" i="6" l="1"/>
  <c r="L63" i="6"/>
  <c r="C63" i="6"/>
  <c r="AB63" i="6"/>
  <c r="X63" i="6"/>
  <c r="R63" i="6"/>
  <c r="B63" i="6"/>
  <c r="P64" i="6"/>
  <c r="Y63" i="6"/>
  <c r="V63" i="6"/>
  <c r="Z63" i="6"/>
  <c r="F63" i="6"/>
  <c r="AD63" i="6"/>
  <c r="I63" i="6"/>
  <c r="G63" i="6"/>
  <c r="U63" i="6"/>
  <c r="J63" i="6"/>
  <c r="M63" i="6"/>
  <c r="AA63" i="6"/>
  <c r="AC63" i="6"/>
  <c r="E63" i="6"/>
  <c r="K63" i="6"/>
  <c r="N63" i="6"/>
  <c r="W63" i="6"/>
  <c r="AF64" i="6"/>
  <c r="H63" i="6"/>
  <c r="D63" i="6"/>
  <c r="S63" i="6"/>
  <c r="T63" i="6"/>
  <c r="A65" i="6" l="1"/>
  <c r="X64" i="6"/>
  <c r="T64" i="6"/>
  <c r="AC64" i="6"/>
  <c r="N64" i="6"/>
  <c r="C64" i="6"/>
  <c r="K64" i="6"/>
  <c r="D64" i="6"/>
  <c r="AD64" i="6"/>
  <c r="M64" i="6"/>
  <c r="J64" i="6"/>
  <c r="P65" i="6"/>
  <c r="Y64" i="6"/>
  <c r="F64" i="6"/>
  <c r="H64" i="6"/>
  <c r="S64" i="6"/>
  <c r="AA64" i="6"/>
  <c r="G64" i="6"/>
  <c r="V64" i="6"/>
  <c r="R64" i="6"/>
  <c r="W64" i="6"/>
  <c r="Z64" i="6"/>
  <c r="B64" i="6"/>
  <c r="U64" i="6"/>
  <c r="E64" i="6"/>
  <c r="AB64" i="6"/>
  <c r="L64" i="6"/>
  <c r="AF65" i="6"/>
  <c r="I64" i="6"/>
  <c r="A66" i="6" l="1"/>
  <c r="F65" i="6"/>
  <c r="E65" i="6"/>
  <c r="R65" i="6"/>
  <c r="D65" i="6"/>
  <c r="P66" i="6"/>
  <c r="Y65" i="6"/>
  <c r="U65" i="6"/>
  <c r="AB65" i="6"/>
  <c r="V65" i="6"/>
  <c r="H65" i="6"/>
  <c r="AF66" i="6"/>
  <c r="AD65" i="6"/>
  <c r="M65" i="6"/>
  <c r="S65" i="6"/>
  <c r="G65" i="6"/>
  <c r="B65" i="6"/>
  <c r="W65" i="6"/>
  <c r="C65" i="6"/>
  <c r="I65" i="6"/>
  <c r="N65" i="6"/>
  <c r="AC65" i="6"/>
  <c r="X65" i="6"/>
  <c r="T65" i="6"/>
  <c r="K65" i="6"/>
  <c r="L65" i="6"/>
  <c r="Z65" i="6"/>
  <c r="AA65" i="6"/>
  <c r="J65" i="6"/>
  <c r="A67" i="6" l="1"/>
  <c r="E66" i="6"/>
  <c r="AC66" i="6"/>
  <c r="S66" i="6"/>
  <c r="C66" i="6"/>
  <c r="L66" i="6"/>
  <c r="T66" i="6"/>
  <c r="W66" i="6"/>
  <c r="H66" i="6"/>
  <c r="F66" i="6"/>
  <c r="Y66" i="6"/>
  <c r="K66" i="6"/>
  <c r="I66" i="6"/>
  <c r="AD66" i="6"/>
  <c r="B66" i="6"/>
  <c r="X66" i="6"/>
  <c r="AF67" i="6"/>
  <c r="R66" i="6"/>
  <c r="J66" i="6"/>
  <c r="AA66" i="6"/>
  <c r="Y67" i="6"/>
  <c r="Z66" i="6"/>
  <c r="P67" i="6"/>
  <c r="M66" i="6"/>
  <c r="G66" i="6"/>
  <c r="U66" i="6"/>
  <c r="V67" i="6"/>
  <c r="N66" i="6"/>
  <c r="AB66" i="6"/>
  <c r="T67" i="6"/>
  <c r="D66" i="6"/>
  <c r="V66" i="6"/>
  <c r="W67" i="6"/>
  <c r="X67" i="6"/>
  <c r="U67" i="6"/>
  <c r="AB67" i="6"/>
  <c r="R67" i="6"/>
  <c r="S67" i="6"/>
  <c r="AC67" i="6"/>
  <c r="AA67" i="6"/>
  <c r="Z67" i="6"/>
  <c r="AD67" i="6"/>
  <c r="C67" i="6" l="1"/>
  <c r="E67" i="6"/>
  <c r="I67" i="6"/>
  <c r="D67" i="6"/>
  <c r="F67" i="6"/>
  <c r="K67" i="6"/>
  <c r="B67" i="6"/>
  <c r="G67" i="6"/>
  <c r="H67" i="6"/>
  <c r="M67" i="6"/>
  <c r="L67" i="6"/>
  <c r="J67" i="6"/>
  <c r="N67" i="6"/>
</calcChain>
</file>

<file path=xl/sharedStrings.xml><?xml version="1.0" encoding="utf-8"?>
<sst xmlns="http://schemas.openxmlformats.org/spreadsheetml/2006/main" count="120" uniqueCount="109">
  <si>
    <t>w</t>
  </si>
  <si>
    <t>Sun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</si>
  <si>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</si>
  <si>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</si>
  <si>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</si>
  <si>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</si>
  <si>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</si>
  <si>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</si>
  <si>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</si>
  <si>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</si>
  <si>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Mag</t>
  </si>
  <si>
    <t>Object IDs</t>
  </si>
  <si>
    <t>Pluto</t>
  </si>
  <si>
    <t>1AU</t>
  </si>
  <si>
    <t>Earth Rad</t>
  </si>
  <si>
    <t>Size</t>
  </si>
  <si>
    <t>Date</t>
  </si>
  <si>
    <t>Earth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</si>
  <si>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</si>
  <si>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</si>
  <si>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</si>
  <si>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</si>
  <si>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</si>
  <si>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</si>
  <si>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</si>
  <si>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</si>
  <si>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</si>
  <si>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</si>
  <si>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</si>
  <si>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</si>
  <si>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</si>
  <si>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</si>
  <si>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</si>
  <si>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</si>
  <si>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</si>
  <si>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</si>
  <si>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</si>
  <si>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</si>
  <si>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</si>
  <si>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</si>
  <si>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</si>
  <si>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</si>
  <si>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</si>
  <si>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</si>
  <si>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</si>
  <si>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</si>
  <si>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</si>
  <si>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</si>
  <si>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</si>
  <si>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</si>
  <si>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</si>
  <si>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</si>
  <si>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</si>
  <si>
    <t>Temp</t>
  </si>
  <si>
    <t>Press</t>
  </si>
  <si>
    <t>Lat</t>
  </si>
  <si>
    <t>Long</t>
  </si>
  <si>
    <t>Planet</t>
  </si>
  <si>
    <t>Astrodate</t>
  </si>
  <si>
    <t>MA</t>
  </si>
  <si>
    <t>Omega</t>
  </si>
  <si>
    <t>Long Of Asc</t>
  </si>
  <si>
    <t>Julian Date</t>
  </si>
  <si>
    <t>Ceres</t>
  </si>
  <si>
    <t>RA</t>
  </si>
  <si>
    <t>Dec</t>
  </si>
  <si>
    <t>LST</t>
  </si>
  <si>
    <t>Alt</t>
  </si>
  <si>
    <t>Az</t>
  </si>
  <si>
    <t>Lonecl</t>
  </si>
  <si>
    <t>Latecl</t>
  </si>
  <si>
    <t>Dist Earth</t>
  </si>
  <si>
    <t>X</t>
  </si>
  <si>
    <t>Y</t>
  </si>
  <si>
    <t>Z</t>
  </si>
  <si>
    <t>Eccentricity</t>
  </si>
  <si>
    <t>eccentric Anomaly</t>
  </si>
  <si>
    <t>xv</t>
  </si>
  <si>
    <t>yv</t>
  </si>
  <si>
    <t>r</t>
  </si>
  <si>
    <t>Plan Dist from Sun</t>
  </si>
  <si>
    <t>ID</t>
  </si>
  <si>
    <t>Yr of Per</t>
  </si>
  <si>
    <t>Mth of Per</t>
  </si>
  <si>
    <t>Peri Dist</t>
  </si>
  <si>
    <t>Dy of Per</t>
  </si>
  <si>
    <t>N</t>
  </si>
  <si>
    <t>i</t>
  </si>
  <si>
    <t>epoch</t>
  </si>
  <si>
    <t>Abs Mag</t>
  </si>
  <si>
    <t>Slope</t>
  </si>
  <si>
    <t>a</t>
  </si>
  <si>
    <t>Struct  contains</t>
  </si>
  <si>
    <t>name</t>
  </si>
  <si>
    <t>incl</t>
  </si>
  <si>
    <t>omega</t>
  </si>
  <si>
    <t>e</t>
  </si>
  <si>
    <t>mag</t>
  </si>
  <si>
    <t>siz</t>
  </si>
  <si>
    <t>Sun Dist</t>
  </si>
  <si>
    <t>P (yrs)</t>
  </si>
  <si>
    <t>Earth Dist</t>
  </si>
  <si>
    <t>Phase</t>
  </si>
  <si>
    <t>Elong</t>
  </si>
  <si>
    <t>Ea Dist</t>
  </si>
  <si>
    <t>PJ96R020</t>
  </si>
  <si>
    <t>P/1996</t>
  </si>
  <si>
    <t>R2 (Lagerkvist)</t>
  </si>
  <si>
    <t>NK   1615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</si>
</sst>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00E+00"/>
    <numFmt numFmtId="165" formatCode="_-* #,##0.0_-;\-* #,##0.0_-;_-* &quot;-&quot;??_-;_-@_-"/>
    <numFmt numFmtId="166" formatCode="0.00000"/>
    <numFmt numFmtId="167" formatCode="0.000"/>
    <numFmt numFmtId="168" formatCode="_-* #,##0.000_-;\-* #,##0.000_-;_-* &quot;-&quot;??_-;_-@_-"/>
    <numFmt numFmtId="169" formatCode="_-* #,##0.0000_-;\-* #,##0.00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38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43" fontId="0" fillId="0" borderId="0" xfId="1" applyFont="1"/>
    <xf numFmtId="0" fontId="0" fillId="2" borderId="8" xfId="0" applyFill="1" applyBorder="1"/>
    <xf numFmtId="14" fontId="0" fillId="0" borderId="0" xfId="0" applyNumberFormat="1"/>
    <xf numFmtId="0" fontId="0" fillId="3" borderId="0" xfId="0" applyFill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/>
    <xf numFmtId="0" fontId="0" fillId="0" borderId="0" xfId="0" applyAlignment="1">
      <alignment horizontal="center"/>
    </xf>
    <xf numFmtId="164" fontId="0" fillId="0" borderId="2" xfId="0" applyNumberFormat="1" applyBorder="1"/>
    <xf numFmtId="165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4" fillId="0" borderId="0" xfId="2" applyFont="1" applyAlignment="1" applyProtection="1"/>
    <xf numFmtId="43" fontId="0" fillId="0" borderId="0" xfId="1" applyNumberFormat="1" applyFont="1"/>
    <xf numFmtId="43" fontId="0" fillId="2" borderId="0" xfId="1" applyNumberFormat="1" applyFont="1" applyFill="1" applyBorder="1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quotePrefix="1"/>
    <xf numFmtId="169" fontId="0" fillId="0" borderId="0" xfId="1" applyNumberFormat="1" applyFont="1" applyAlignment="1">
      <alignment horizontal="right"/>
    </xf>
    <xf numFmtId="169" fontId="0" fillId="0" borderId="0" xfId="1" quotePrefix="1" applyNumberFormat="1" applyFont="1" applyAlignment="1">
      <alignment horizontal="right"/>
    </xf>
    <xf numFmtId="168" fontId="0" fillId="0" borderId="0" xfId="1" applyNumberFormat="1" applyFont="1" applyAlignment="1">
      <alignment horizontal="right"/>
    </xf>
    <xf numFmtId="10" fontId="0" fillId="0" borderId="0" xfId="3" applyNumberFormat="1" applyFont="1"/>
    <xf numFmtId="169" fontId="5" fillId="0" borderId="0" xfId="1" quotePrefix="1" applyNumberFormat="1" applyFont="1" applyAlignment="1">
      <alignment horizontal="right"/>
    </xf>
    <xf numFmtId="43" fontId="0" fillId="0" borderId="0" xfId="0" applyNumberFormat="1"/>
    <xf numFmtId="0" fontId="2" fillId="0" borderId="0" xfId="0" applyFont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14"/>
          <c:w val="0.82658620613599776"/>
          <c:h val="0.686775360369247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BestVisibility!$B$3</c:f>
              <c:strCache>
                <c:ptCount val="1"/>
                <c:pt idx="0">
                  <c:v>Jupiter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_(* #,##0.00_);_(* \(#,##0.00\);_(* "-"??_);_(@_)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C-4482-9840-DBDA91D4D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73088"/>
        <c:axId val="155296896"/>
      </c:scatterChart>
      <c:valAx>
        <c:axId val="155273088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55296896"/>
        <c:crosses val="autoZero"/>
        <c:crossBetween val="midCat"/>
        <c:majorUnit val="365"/>
        <c:minorUnit val="90"/>
      </c:valAx>
      <c:valAx>
        <c:axId val="15529689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15527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23"/>
          <c:w val="0.82658620613599776"/>
          <c:h val="0.68677536036924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BestVisibility!$F$4</c:f>
              <c:strCache>
                <c:ptCount val="1"/>
                <c:pt idx="0">
                  <c:v> Size 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m/d/yyyy\ 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5744"/>
        <c:axId val="44097536"/>
      </c:scatterChart>
      <c:scatterChart>
        <c:scatterStyle val="smoothMarker"/>
        <c:varyColors val="0"/>
        <c:ser>
          <c:idx val="2"/>
          <c:order val="1"/>
          <c:tx>
            <c:strRef>
              <c:f>BestVisibility!$E$4</c:f>
              <c:strCache>
                <c:ptCount val="1"/>
                <c:pt idx="0">
                  <c:v> Mag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_(* #,##0.00_);_(* \(#,##0.00\);_(* "-"??_);_(@_)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0608"/>
        <c:axId val="44099072"/>
      </c:scatterChart>
      <c:valAx>
        <c:axId val="44095744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44097536"/>
        <c:crosses val="autoZero"/>
        <c:crossBetween val="midCat"/>
        <c:majorUnit val="365"/>
        <c:minorUnit val="90"/>
      </c:valAx>
      <c:valAx>
        <c:axId val="4409753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44095744"/>
        <c:crosses val="autoZero"/>
        <c:crossBetween val="midCat"/>
      </c:valAx>
      <c:valAx>
        <c:axId val="4409907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44100608"/>
        <c:crosses val="max"/>
        <c:crossBetween val="midCat"/>
      </c:valAx>
      <c:valAx>
        <c:axId val="44100608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one"/>
        <c:crossAx val="440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K1048576"/>
  <sheetViews>
    <sheetView tabSelected="1" topLeftCell="W1" zoomScale="70" zoomScaleNormal="70" workbookViewId="0">
      <selection activeCell="AK6" sqref="AK6"/>
    </sheetView>
  </sheetViews>
  <sheetFormatPr defaultRowHeight="15" x14ac:dyDescent="0.25"/>
  <cols>
    <col min="1" max="1" width="18.85546875" bestFit="1" customWidth="1"/>
    <col min="2" max="2" width="14.85546875" bestFit="1" customWidth="1"/>
    <col min="3" max="3" width="17.85546875" style="13" customWidth="1"/>
    <col min="4" max="4" width="10.5703125" bestFit="1" customWidth="1"/>
    <col min="5" max="5" width="10" style="25" bestFit="1" customWidth="1"/>
    <col min="6" max="6" width="10.7109375" style="15" bestFit="1" customWidth="1"/>
    <col min="17" max="17" width="14.5703125" bestFit="1" customWidth="1"/>
    <col min="18" max="18" width="15.7109375" bestFit="1" customWidth="1"/>
    <col min="23" max="23" width="13.140625" bestFit="1" customWidth="1"/>
    <col min="27" max="27" width="11.5703125" bestFit="1" customWidth="1"/>
    <col min="32" max="32" width="13" bestFit="1" customWidth="1"/>
    <col min="34" max="34" width="17.5703125" customWidth="1"/>
    <col min="35" max="35" width="12.5703125" bestFit="1" customWidth="1"/>
    <col min="37" max="37" width="12.42578125" bestFit="1" customWidth="1"/>
  </cols>
  <sheetData>
    <row r="1" spans="1:37" x14ac:dyDescent="0.25">
      <c r="A1" t="s">
        <v>23</v>
      </c>
      <c r="B1" s="21">
        <v>51.883000000000003</v>
      </c>
      <c r="C1" s="22">
        <v>-1.3080000000000001</v>
      </c>
      <c r="E1" s="25" t="s">
        <v>24</v>
      </c>
      <c r="F1" s="15">
        <v>20</v>
      </c>
      <c r="G1" t="s">
        <v>0</v>
      </c>
      <c r="I1" s="37" t="str">
        <f>B3</f>
        <v>Jupiter</v>
      </c>
      <c r="J1" s="37"/>
      <c r="K1" s="37"/>
      <c r="L1" s="37"/>
      <c r="M1" s="37"/>
      <c r="N1" s="37"/>
      <c r="Q1" t="s">
        <v>39</v>
      </c>
    </row>
    <row r="2" spans="1:37" ht="15.75" thickBot="1" x14ac:dyDescent="0.3">
      <c r="A2" s="10"/>
      <c r="B2">
        <f>VLOOKUP(B3,planlookup,2,0)</f>
        <v>5</v>
      </c>
      <c r="C2" s="13">
        <f>VLOOKUP(C3,AA4:AB5,2,0)</f>
        <v>1</v>
      </c>
      <c r="I2" s="37"/>
      <c r="J2" s="37"/>
      <c r="K2" s="37"/>
      <c r="L2" s="37"/>
      <c r="M2" s="37"/>
      <c r="N2" s="37"/>
      <c r="Q2" t="s">
        <v>25</v>
      </c>
      <c r="R2" t="s">
        <v>29</v>
      </c>
      <c r="S2">
        <f>1+46/60</f>
        <v>1.7666666666666666</v>
      </c>
      <c r="AH2" s="36"/>
    </row>
    <row r="3" spans="1:37" ht="15.75" thickBot="1" x14ac:dyDescent="0.3">
      <c r="A3" s="8"/>
      <c r="B3" s="23" t="s">
        <v>6</v>
      </c>
      <c r="C3" s="23" t="s">
        <v>19</v>
      </c>
      <c r="D3" s="16"/>
      <c r="Q3" t="s">
        <v>26</v>
      </c>
      <c r="R3" t="s">
        <v>32</v>
      </c>
      <c r="S3">
        <f>8+9.8/60</f>
        <v>8.163333333333334</v>
      </c>
      <c r="X3" t="s">
        <v>11</v>
      </c>
      <c r="AH3" s="10">
        <v>43617.958333333336</v>
      </c>
    </row>
    <row r="4" spans="1:37" ht="15.75" thickBot="1" x14ac:dyDescent="0.3">
      <c r="A4" s="11" t="s">
        <v>16</v>
      </c>
      <c r="B4" s="20" t="s">
        <v>18</v>
      </c>
      <c r="C4" s="19" t="s">
        <v>21</v>
      </c>
      <c r="D4" s="9" t="s">
        <v>22</v>
      </c>
      <c r="E4" s="26" t="s">
        <v>10</v>
      </c>
      <c r="F4" s="18" t="s">
        <v>15</v>
      </c>
      <c r="Q4" t="s">
        <v>27</v>
      </c>
      <c r="R4" t="s">
        <v>30</v>
      </c>
      <c r="S4">
        <f>49+53/60</f>
        <v>49.883333333333333</v>
      </c>
      <c r="X4" s="2" t="s">
        <v>1</v>
      </c>
      <c r="Y4" s="6">
        <v>0</v>
      </c>
      <c r="AA4" s="2" t="s">
        <v>19</v>
      </c>
      <c r="AB4" s="6">
        <v>1</v>
      </c>
      <c r="AF4" t="s">
        <v>57</v>
      </c>
      <c r="AH4">
        <v>0</v>
      </c>
    </row>
    <row r="5" spans="1:37" ht="15.75" thickBot="1" x14ac:dyDescent="0.3">
      <c r="A5" s="1">
        <v>43101</v>
      </c>
      <c r="B5" s="12" t="e">
        <f>TimeofTransit(B$2,$A5,$B$1, $C$1)/24</f>
        <v>#VALUE!</v>
      </c>
      <c r="C5" s="14" t="e">
        <f>isvisible(B$2,A5,$B$1,$C$1,$C$2,1,temp,pres)</f>
        <v>#VALUE!</v>
      </c>
      <c r="D5" s="12" t="e">
        <f>isvisible(B$2,A5,$B$1,$C$1,$C$2,2,temp,pres)</f>
        <v>#VALUE!</v>
      </c>
      <c r="E5" s="25" t="e">
        <f>visualmagnitude($B$2,astrodaysfromdt(A5))</f>
        <v>#VALUE!</v>
      </c>
      <c r="F5" s="15" t="e">
        <f>apparentsize($B$2, astrodaysfromdt(A5))</f>
        <v>#VALUE!</v>
      </c>
      <c r="Q5" t="s">
        <v>28</v>
      </c>
      <c r="R5" t="s">
        <v>31</v>
      </c>
      <c r="S5">
        <f>60+49/60</f>
        <v>60.81666666666667</v>
      </c>
      <c r="W5" s="8"/>
      <c r="X5" s="3" t="s">
        <v>4</v>
      </c>
      <c r="Y5" s="4">
        <v>1</v>
      </c>
      <c r="AA5" s="5" t="s">
        <v>20</v>
      </c>
      <c r="AB5" s="7">
        <v>2</v>
      </c>
      <c r="AF5" t="s">
        <v>16</v>
      </c>
      <c r="AH5" s="8">
        <f>AH3*1</f>
        <v>43617.958333333336</v>
      </c>
    </row>
    <row r="6" spans="1:37" x14ac:dyDescent="0.25">
      <c r="A6" s="1">
        <f t="shared" ref="A6:A37" si="0">DATE(YEAR(A5), IF(unt="m",intvl,0)+MONTH(A5), IF(unt="m", 0,intvl)+DAY(A5))</f>
        <v>43121</v>
      </c>
      <c r="B6" s="12" t="e">
        <f t="shared" ref="B6:B69" si="1">TimeofTransit(B$2,$A6,$B$1, $C$1)/24</f>
        <v>#VALUE!</v>
      </c>
      <c r="C6" s="14" t="e">
        <f t="shared" ref="C6:C36" si="2">isvisible(B$2,A6,$B$1,$C$1,$C$2,1,temp,pres)</f>
        <v>#VALUE!</v>
      </c>
      <c r="D6" s="12" t="e">
        <f t="shared" ref="D6:D36" si="3">isvisible(B$2,A6,$B$1,$C$1,$C$2,2,temp,pres)</f>
        <v>#VALUE!</v>
      </c>
      <c r="E6" s="25" t="e">
        <f>visualmagnitude($B$2,astrodaysfromdt(A6))</f>
        <v>#VALUE!</v>
      </c>
      <c r="F6" s="15" t="e">
        <f>apparentsize($B$2, astrodaysfromdt(A6))</f>
        <v>#VALUE!</v>
      </c>
      <c r="X6" s="3" t="s">
        <v>2</v>
      </c>
      <c r="Y6" s="4">
        <v>2</v>
      </c>
      <c r="AA6" s="2"/>
      <c r="AB6" s="17"/>
      <c r="AF6" t="s">
        <v>58</v>
      </c>
      <c r="AH6">
        <f>astrodaysfromdt(AH5*1)</f>
        <v>-36921.042372685188</v>
      </c>
      <c r="AK6" s="29">
        <f>astrodaysfromdt(100.5)</f>
        <v>-36921.042372685188</v>
      </c>
    </row>
    <row r="7" spans="1:37" x14ac:dyDescent="0.25">
      <c r="A7" s="1">
        <f t="shared" si="0"/>
        <v>43141</v>
      </c>
      <c r="B7" s="12" t="e">
        <f t="shared" si="1"/>
        <v>#VALUE!</v>
      </c>
      <c r="C7" s="14" t="e">
        <f t="shared" si="2"/>
        <v>#VALUE!</v>
      </c>
      <c r="D7" s="12" t="e">
        <f t="shared" si="3"/>
        <v>#VALUE!</v>
      </c>
      <c r="E7" s="25" t="e">
        <f>visualmagnitude($B$2,astrodaysfromdt(A7))</f>
        <v>#VALUE!</v>
      </c>
      <c r="F7" s="15" t="e">
        <f>apparentsize($B$2, astrodaysfromdt(A7))</f>
        <v>#VALUE!</v>
      </c>
      <c r="X7" s="3" t="s">
        <v>3</v>
      </c>
      <c r="Y7" s="4">
        <v>3</v>
      </c>
      <c r="AA7" s="3"/>
      <c r="AB7" s="4"/>
      <c r="AF7" t="s">
        <v>62</v>
      </c>
      <c r="AH7">
        <f>JulianDate(YEAR(AH5), MONTH(AH5), DAY(AH5),0,0,0)</f>
        <v>84926441.000925928</v>
      </c>
    </row>
    <row r="8" spans="1:37" x14ac:dyDescent="0.25">
      <c r="A8" s="1">
        <f t="shared" si="0"/>
        <v>43161</v>
      </c>
      <c r="B8" s="12" t="e">
        <f t="shared" si="1"/>
        <v>#VALUE!</v>
      </c>
      <c r="C8" s="14" t="e">
        <f t="shared" si="2"/>
        <v>#VALUE!</v>
      </c>
      <c r="D8" s="12" t="e">
        <f t="shared" si="3"/>
        <v>#VALUE!</v>
      </c>
      <c r="E8" s="25" t="e">
        <f>visualmagnitude($B$2,astrodaysfromdt(A8))</f>
        <v>#VALUE!</v>
      </c>
      <c r="F8" s="15" t="e">
        <f>apparentsize($B$2, astrodaysfromdt(A8))</f>
        <v>#VALUE!</v>
      </c>
      <c r="Q8" t="s">
        <v>33</v>
      </c>
      <c r="X8" s="3" t="s">
        <v>5</v>
      </c>
      <c r="Y8" s="4">
        <v>4</v>
      </c>
      <c r="AA8" s="3" t="s">
        <v>13</v>
      </c>
      <c r="AB8" s="4">
        <v>149597870.69999999</v>
      </c>
      <c r="AF8" t="s">
        <v>66</v>
      </c>
      <c r="AH8">
        <f>LSTFromDt(AH5, longi)</f>
        <v>3.5066810431621889</v>
      </c>
    </row>
    <row r="9" spans="1:37" ht="15.75" thickBot="1" x14ac:dyDescent="0.3">
      <c r="A9" s="1">
        <f t="shared" si="0"/>
        <v>43181</v>
      </c>
      <c r="B9" s="12" t="e">
        <f t="shared" si="1"/>
        <v>#VALUE!</v>
      </c>
      <c r="C9" s="14" t="e">
        <f t="shared" si="2"/>
        <v>#VALUE!</v>
      </c>
      <c r="D9" s="12" t="e">
        <f t="shared" si="3"/>
        <v>#VALUE!</v>
      </c>
      <c r="E9" s="25" t="e">
        <f>visualmagnitude($B$2,astrodaysfromdt(A9))</f>
        <v>#VALUE!</v>
      </c>
      <c r="F9" s="15" t="e">
        <f>apparentsize($B$2, astrodaysfromdt(A9))</f>
        <v>#VALUE!</v>
      </c>
      <c r="Q9" t="s">
        <v>50</v>
      </c>
      <c r="X9" s="3" t="s">
        <v>6</v>
      </c>
      <c r="Y9" s="4">
        <v>5</v>
      </c>
      <c r="AA9" s="5" t="s">
        <v>14</v>
      </c>
      <c r="AB9" s="7">
        <f>6378140/1000</f>
        <v>6378.14</v>
      </c>
    </row>
    <row r="10" spans="1:37" x14ac:dyDescent="0.25">
      <c r="A10" s="1">
        <f t="shared" si="0"/>
        <v>43201</v>
      </c>
      <c r="B10" s="12" t="e">
        <f t="shared" si="1"/>
        <v>#VALUE!</v>
      </c>
      <c r="C10" s="14" t="e">
        <f t="shared" si="2"/>
        <v>#VALUE!</v>
      </c>
      <c r="D10" s="12" t="e">
        <f t="shared" si="3"/>
        <v>#VALUE!</v>
      </c>
      <c r="E10" s="25" t="e">
        <f>visualmagnitude($B$2,astrodaysfromdt(A10))</f>
        <v>#VALUE!</v>
      </c>
      <c r="F10" s="15" t="e">
        <f>apparentsize($B$2, astrodaysfromdt(A10))</f>
        <v>#VALUE!</v>
      </c>
      <c r="Q10" t="s">
        <v>34</v>
      </c>
      <c r="X10" s="3" t="s">
        <v>7</v>
      </c>
      <c r="Y10" s="4">
        <v>6</v>
      </c>
      <c r="AF10" t="s">
        <v>75</v>
      </c>
      <c r="AH10" s="8"/>
    </row>
    <row r="11" spans="1:37" x14ac:dyDescent="0.25">
      <c r="A11" s="1">
        <f t="shared" si="0"/>
        <v>43221</v>
      </c>
      <c r="B11" s="12" t="e">
        <f t="shared" si="1"/>
        <v>#VALUE!</v>
      </c>
      <c r="C11" s="14" t="e">
        <f t="shared" si="2"/>
        <v>#VALUE!</v>
      </c>
      <c r="D11" s="12" t="e">
        <f t="shared" si="3"/>
        <v>#VALUE!</v>
      </c>
      <c r="E11" s="25" t="e">
        <f>visualmagnitude($B$2,astrodaysfromdt(A11))</f>
        <v>#VALUE!</v>
      </c>
      <c r="F11" s="15" t="e">
        <f>apparentsize($B$2, astrodaysfromdt(A11))</f>
        <v>#VALUE!</v>
      </c>
      <c r="X11" s="3" t="s">
        <v>8</v>
      </c>
      <c r="Y11" s="4">
        <v>7</v>
      </c>
      <c r="AA11" t="s">
        <v>53</v>
      </c>
      <c r="AB11">
        <v>10</v>
      </c>
      <c r="AF11" t="s">
        <v>59</v>
      </c>
    </row>
    <row r="12" spans="1:37" x14ac:dyDescent="0.25">
      <c r="A12" s="1">
        <f t="shared" si="0"/>
        <v>43241</v>
      </c>
      <c r="B12" s="12" t="e">
        <f t="shared" si="1"/>
        <v>#VALUE!</v>
      </c>
      <c r="C12" s="14" t="e">
        <f t="shared" si="2"/>
        <v>#VALUE!</v>
      </c>
      <c r="D12" s="12" t="e">
        <f t="shared" si="3"/>
        <v>#VALUE!</v>
      </c>
      <c r="E12" s="25" t="e">
        <f>visualmagnitude($B$2,astrodaysfromdt(A12))</f>
        <v>#VALUE!</v>
      </c>
      <c r="F12" s="15" t="e">
        <f>apparentsize($B$2, astrodaysfromdt(A12))</f>
        <v>#VALUE!</v>
      </c>
      <c r="Q12" t="s">
        <v>35</v>
      </c>
      <c r="X12" s="3" t="s">
        <v>9</v>
      </c>
      <c r="Y12" s="4">
        <v>8</v>
      </c>
      <c r="AA12" t="s">
        <v>54</v>
      </c>
      <c r="AB12">
        <v>1010</v>
      </c>
      <c r="AF12" t="s">
        <v>60</v>
      </c>
    </row>
    <row r="13" spans="1:37" x14ac:dyDescent="0.25">
      <c r="A13" s="1">
        <f t="shared" si="0"/>
        <v>43261</v>
      </c>
      <c r="B13" s="12" t="e">
        <f t="shared" si="1"/>
        <v>#VALUE!</v>
      </c>
      <c r="C13" s="14" t="e">
        <f t="shared" si="2"/>
        <v>#VALUE!</v>
      </c>
      <c r="D13" s="12" t="e">
        <f t="shared" si="3"/>
        <v>#VALUE!</v>
      </c>
      <c r="E13" s="25" t="e">
        <f>visualmagnitude($B$2,astrodaysfromdt(A13))</f>
        <v>#VALUE!</v>
      </c>
      <c r="F13" s="15" t="e">
        <f>apparentsize($B$2, astrodaysfromdt(A13))</f>
        <v>#VALUE!</v>
      </c>
      <c r="Q13" t="s">
        <v>36</v>
      </c>
      <c r="X13" s="3" t="s">
        <v>17</v>
      </c>
      <c r="Y13" s="4">
        <v>9</v>
      </c>
      <c r="AF13" t="s">
        <v>61</v>
      </c>
    </row>
    <row r="14" spans="1:37" x14ac:dyDescent="0.25">
      <c r="A14" s="1">
        <f t="shared" si="0"/>
        <v>43281</v>
      </c>
      <c r="B14" s="12" t="e">
        <f t="shared" si="1"/>
        <v>#VALUE!</v>
      </c>
      <c r="C14" s="14" t="e">
        <f t="shared" si="2"/>
        <v>#VALUE!</v>
      </c>
      <c r="D14" s="12" t="e">
        <f t="shared" si="3"/>
        <v>#VALUE!</v>
      </c>
      <c r="E14" s="25" t="e">
        <f>visualmagnitude($B$2,astrodaysfromdt(A14))</f>
        <v>#VALUE!</v>
      </c>
      <c r="F14" s="15" t="e">
        <f>apparentsize($B$2, astrodaysfromdt(A14))</f>
        <v>#VALUE!</v>
      </c>
      <c r="X14" s="3" t="s">
        <v>12</v>
      </c>
      <c r="Y14" s="4">
        <v>10</v>
      </c>
      <c r="AB14" s="10"/>
      <c r="AF14" t="s">
        <v>76</v>
      </c>
    </row>
    <row r="15" spans="1:37" x14ac:dyDescent="0.25">
      <c r="A15" s="1">
        <f t="shared" si="0"/>
        <v>43301</v>
      </c>
      <c r="B15" s="12" t="e">
        <f t="shared" si="1"/>
        <v>#VALUE!</v>
      </c>
      <c r="C15" s="14" t="e">
        <f t="shared" si="2"/>
        <v>#VALUE!</v>
      </c>
      <c r="D15" s="12" t="e">
        <f t="shared" si="3"/>
        <v>#VALUE!</v>
      </c>
      <c r="E15" s="25" t="e">
        <f>visualmagnitude($B$2,astrodaysfromdt(A15))</f>
        <v>#VALUE!</v>
      </c>
      <c r="F15" s="15" t="e">
        <f>apparentsize($B$2, astrodaysfromdt(A15))</f>
        <v>#VALUE!</v>
      </c>
      <c r="Q15" t="s">
        <v>37</v>
      </c>
      <c r="W15" s="8"/>
      <c r="X15" s="3" t="s">
        <v>63</v>
      </c>
      <c r="Y15" s="4">
        <v>11</v>
      </c>
    </row>
    <row r="16" spans="1:37" ht="15.75" customHeight="1" x14ac:dyDescent="0.25">
      <c r="A16" s="1">
        <f t="shared" si="0"/>
        <v>43321</v>
      </c>
      <c r="B16" s="12" t="e">
        <f t="shared" si="1"/>
        <v>#VALUE!</v>
      </c>
      <c r="C16" s="14" t="e">
        <f t="shared" si="2"/>
        <v>#VALUE!</v>
      </c>
      <c r="D16" s="12" t="e">
        <f t="shared" si="3"/>
        <v>#VALUE!</v>
      </c>
      <c r="E16" s="25" t="e">
        <f>visualmagnitude($B$2,astrodaysfromdt(A16))</f>
        <v>#VALUE!</v>
      </c>
      <c r="F16" s="15" t="e">
        <f>apparentsize($B$2, astrodaysfromdt(A16))</f>
        <v>#VALUE!</v>
      </c>
      <c r="Q16" t="s">
        <v>38</v>
      </c>
      <c r="W16" s="8"/>
      <c r="X16" s="3"/>
      <c r="Y16" s="4"/>
      <c r="AA16" s="10"/>
      <c r="AF16" t="s">
        <v>64</v>
      </c>
    </row>
    <row r="17" spans="1:32" x14ac:dyDescent="0.25">
      <c r="A17" s="1">
        <f t="shared" si="0"/>
        <v>43341</v>
      </c>
      <c r="B17" s="12" t="e">
        <f t="shared" si="1"/>
        <v>#VALUE!</v>
      </c>
      <c r="C17" s="14" t="e">
        <f t="shared" si="2"/>
        <v>#VALUE!</v>
      </c>
      <c r="D17" s="12" t="e">
        <f t="shared" si="3"/>
        <v>#VALUE!</v>
      </c>
      <c r="E17" s="25" t="e">
        <f>visualmagnitude($B$2,astrodaysfromdt(A17))</f>
        <v>#VALUE!</v>
      </c>
      <c r="F17" s="15" t="e">
        <f>apparentsize($B$2, astrodaysfromdt(A17))</f>
        <v>#VALUE!</v>
      </c>
      <c r="Q17" t="s">
        <v>49</v>
      </c>
      <c r="X17" s="3"/>
      <c r="Y17" s="4"/>
      <c r="AB17" s="10"/>
      <c r="AF17" t="s">
        <v>65</v>
      </c>
    </row>
    <row r="18" spans="1:32" x14ac:dyDescent="0.25">
      <c r="A18" s="1">
        <f t="shared" si="0"/>
        <v>43361</v>
      </c>
      <c r="B18" s="12" t="e">
        <f t="shared" si="1"/>
        <v>#VALUE!</v>
      </c>
      <c r="C18" s="14" t="e">
        <f t="shared" si="2"/>
        <v>#VALUE!</v>
      </c>
      <c r="D18" s="12" t="e">
        <f t="shared" si="3"/>
        <v>#VALUE!</v>
      </c>
      <c r="E18" s="25" t="e">
        <f>visualmagnitude($B$2,astrodaysfromdt(A18))</f>
        <v>#VALUE!</v>
      </c>
      <c r="F18" s="15" t="e">
        <f>apparentsize($B$2, astrodaysfromdt(A18))</f>
        <v>#VALUE!</v>
      </c>
      <c r="X18" s="3"/>
      <c r="Y18" s="4"/>
      <c r="AF18" t="s">
        <v>68</v>
      </c>
    </row>
    <row r="19" spans="1:32" ht="15.75" thickBot="1" x14ac:dyDescent="0.3">
      <c r="A19" s="1">
        <f t="shared" si="0"/>
        <v>43381</v>
      </c>
      <c r="B19" s="12" t="e">
        <f t="shared" si="1"/>
        <v>#VALUE!</v>
      </c>
      <c r="C19" s="14" t="e">
        <f t="shared" si="2"/>
        <v>#VALUE!</v>
      </c>
      <c r="D19" s="12" t="e">
        <f t="shared" si="3"/>
        <v>#VALUE!</v>
      </c>
      <c r="E19" s="25" t="e">
        <f>visualmagnitude($B$2,astrodaysfromdt(A19))</f>
        <v>#VALUE!</v>
      </c>
      <c r="F19" s="15" t="e">
        <f>apparentsize($B$2, astrodaysfromdt(A19))</f>
        <v>#VALUE!</v>
      </c>
      <c r="Q19" t="s">
        <v>40</v>
      </c>
      <c r="X19" s="5"/>
      <c r="Y19" s="7"/>
      <c r="AF19" t="s">
        <v>67</v>
      </c>
    </row>
    <row r="20" spans="1:32" x14ac:dyDescent="0.25">
      <c r="A20" s="1">
        <f t="shared" si="0"/>
        <v>43401</v>
      </c>
      <c r="B20" s="12" t="e">
        <f t="shared" si="1"/>
        <v>#VALUE!</v>
      </c>
      <c r="C20" s="14" t="e">
        <f t="shared" si="2"/>
        <v>#VALUE!</v>
      </c>
      <c r="D20" s="12" t="e">
        <f t="shared" si="3"/>
        <v>#VALUE!</v>
      </c>
      <c r="E20" s="25" t="e">
        <f>visualmagnitude($B$2,astrodaysfromdt(A20))</f>
        <v>#VALUE!</v>
      </c>
      <c r="F20" s="15" t="e">
        <f>apparentsize($B$2, astrodaysfromdt(A20))</f>
        <v>#VALUE!</v>
      </c>
      <c r="Q20" t="s">
        <v>51</v>
      </c>
      <c r="AF20" t="s">
        <v>69</v>
      </c>
    </row>
    <row r="21" spans="1:32" x14ac:dyDescent="0.25">
      <c r="A21" s="1">
        <f t="shared" si="0"/>
        <v>43421</v>
      </c>
      <c r="B21" s="12" t="e">
        <f t="shared" si="1"/>
        <v>#VALUE!</v>
      </c>
      <c r="C21" s="14" t="e">
        <f t="shared" si="2"/>
        <v>#VALUE!</v>
      </c>
      <c r="D21" s="12" t="e">
        <f t="shared" si="3"/>
        <v>#VALUE!</v>
      </c>
      <c r="E21" s="25" t="e">
        <f>visualmagnitude($B$2,astrodaysfromdt(A21))</f>
        <v>#VALUE!</v>
      </c>
      <c r="F21" s="15" t="e">
        <f>apparentsize($B$2, astrodaysfromdt(A21))</f>
        <v>#VALUE!</v>
      </c>
      <c r="Q21" t="s">
        <v>41</v>
      </c>
      <c r="AA21" s="10">
        <v>43221</v>
      </c>
      <c r="AF21" t="s">
        <v>70</v>
      </c>
    </row>
    <row r="22" spans="1:32" x14ac:dyDescent="0.25">
      <c r="A22" s="1">
        <f t="shared" si="0"/>
        <v>43441</v>
      </c>
      <c r="B22" s="12" t="e">
        <f t="shared" si="1"/>
        <v>#VALUE!</v>
      </c>
      <c r="C22" s="14" t="e">
        <f t="shared" si="2"/>
        <v>#VALUE!</v>
      </c>
      <c r="D22" s="12" t="e">
        <f t="shared" si="3"/>
        <v>#VALUE!</v>
      </c>
      <c r="E22" s="25" t="e">
        <f>visualmagnitude($B$2,astrodaysfromdt(A22))</f>
        <v>#VALUE!</v>
      </c>
      <c r="F22" s="15" t="e">
        <f>apparentsize($B$2, astrodaysfromdt(A22))</f>
        <v>#VALUE!</v>
      </c>
      <c r="Q22" t="s">
        <v>42</v>
      </c>
      <c r="AF22" t="s">
        <v>71</v>
      </c>
    </row>
    <row r="23" spans="1:32" x14ac:dyDescent="0.25">
      <c r="A23" s="1">
        <f t="shared" si="0"/>
        <v>43461</v>
      </c>
      <c r="B23" s="12" t="e">
        <f t="shared" si="1"/>
        <v>#VALUE!</v>
      </c>
      <c r="C23" s="14" t="e">
        <f t="shared" si="2"/>
        <v>#VALUE!</v>
      </c>
      <c r="D23" s="12" t="e">
        <f t="shared" si="3"/>
        <v>#VALUE!</v>
      </c>
      <c r="E23" s="25" t="e">
        <f>visualmagnitude($B$2,astrodaysfromdt(A23))</f>
        <v>#VALUE!</v>
      </c>
      <c r="F23" s="15" t="e">
        <f>apparentsize($B$2, astrodaysfromdt(A23))</f>
        <v>#VALUE!</v>
      </c>
      <c r="AF23" t="s">
        <v>72</v>
      </c>
    </row>
    <row r="24" spans="1:32" x14ac:dyDescent="0.25">
      <c r="A24" s="1">
        <f t="shared" si="0"/>
        <v>43481</v>
      </c>
      <c r="B24" s="12" t="e">
        <f t="shared" si="1"/>
        <v>#VALUE!</v>
      </c>
      <c r="C24" s="14" t="e">
        <f t="shared" si="2"/>
        <v>#VALUE!</v>
      </c>
      <c r="D24" s="12" t="e">
        <f t="shared" si="3"/>
        <v>#VALUE!</v>
      </c>
      <c r="E24" s="25" t="e">
        <f>visualmagnitude($B$2,astrodaysfromdt(A24))</f>
        <v>#VALUE!</v>
      </c>
      <c r="F24" s="15" t="e">
        <f>apparentsize($B$2, astrodaysfromdt(A24))</f>
        <v>#VALUE!</v>
      </c>
      <c r="Q24" t="s">
        <v>52</v>
      </c>
      <c r="AF24" t="s">
        <v>73</v>
      </c>
    </row>
    <row r="25" spans="1:32" x14ac:dyDescent="0.25">
      <c r="A25" s="1">
        <f t="shared" si="0"/>
        <v>43501</v>
      </c>
      <c r="B25" s="12" t="e">
        <f t="shared" si="1"/>
        <v>#VALUE!</v>
      </c>
      <c r="C25" s="14" t="e">
        <f t="shared" si="2"/>
        <v>#VALUE!</v>
      </c>
      <c r="D25" s="12" t="e">
        <f t="shared" si="3"/>
        <v>#VALUE!</v>
      </c>
      <c r="E25" s="25" t="e">
        <f>visualmagnitude($B$2,astrodaysfromdt(A25))</f>
        <v>#VALUE!</v>
      </c>
      <c r="F25" s="15" t="e">
        <f>apparentsize($B$2, astrodaysfromdt(A25))</f>
        <v>#VALUE!</v>
      </c>
      <c r="Q25" t="s">
        <v>43</v>
      </c>
      <c r="AF25" t="s">
        <v>74</v>
      </c>
    </row>
    <row r="26" spans="1:32" x14ac:dyDescent="0.25">
      <c r="A26" s="1">
        <f t="shared" si="0"/>
        <v>43521</v>
      </c>
      <c r="B26" s="12" t="e">
        <f t="shared" si="1"/>
        <v>#VALUE!</v>
      </c>
      <c r="C26" s="14" t="e">
        <f t="shared" si="2"/>
        <v>#VALUE!</v>
      </c>
      <c r="D26" s="12" t="e">
        <f t="shared" si="3"/>
        <v>#VALUE!</v>
      </c>
      <c r="E26" s="25" t="e">
        <f>visualmagnitude($B$2,astrodaysfromdt(A26))</f>
        <v>#VALUE!</v>
      </c>
      <c r="F26" s="15" t="e">
        <f>apparentsize($B$2, astrodaysfromdt(A26))</f>
        <v>#VALUE!</v>
      </c>
      <c r="Q26" t="s">
        <v>44</v>
      </c>
      <c r="AF26" t="s">
        <v>80</v>
      </c>
    </row>
    <row r="27" spans="1:32" x14ac:dyDescent="0.25">
      <c r="A27" s="1">
        <f t="shared" si="0"/>
        <v>43541</v>
      </c>
      <c r="B27" s="12" t="e">
        <f t="shared" si="1"/>
        <v>#VALUE!</v>
      </c>
      <c r="C27" s="14" t="e">
        <f t="shared" si="2"/>
        <v>#VALUE!</v>
      </c>
      <c r="D27" s="12" t="e">
        <f t="shared" si="3"/>
        <v>#VALUE!</v>
      </c>
      <c r="E27" s="25" t="e">
        <f>visualmagnitude($B$2,astrodaysfromdt(A27))</f>
        <v>#VALUE!</v>
      </c>
      <c r="F27" s="15" t="e">
        <f>apparentsize($B$2, astrodaysfromdt(A27))</f>
        <v>#VALUE!</v>
      </c>
      <c r="AF27" t="s">
        <v>77</v>
      </c>
    </row>
    <row r="28" spans="1:32" x14ac:dyDescent="0.25">
      <c r="A28" s="1">
        <f t="shared" si="0"/>
        <v>43561</v>
      </c>
      <c r="B28" s="12" t="e">
        <f t="shared" si="1"/>
        <v>#VALUE!</v>
      </c>
      <c r="C28" s="14" t="e">
        <f t="shared" si="2"/>
        <v>#VALUE!</v>
      </c>
      <c r="D28" s="12" t="e">
        <f t="shared" si="3"/>
        <v>#VALUE!</v>
      </c>
      <c r="E28" s="25" t="e">
        <f>visualmagnitude($B$2,astrodaysfromdt(A28))</f>
        <v>#VALUE!</v>
      </c>
      <c r="F28" s="15" t="e">
        <f>apparentsize($B$2, astrodaysfromdt(A28))</f>
        <v>#VALUE!</v>
      </c>
      <c r="AF28" t="s">
        <v>78</v>
      </c>
    </row>
    <row r="29" spans="1:32" x14ac:dyDescent="0.25">
      <c r="A29" s="1">
        <f t="shared" si="0"/>
        <v>43581</v>
      </c>
      <c r="B29" s="12" t="e">
        <f t="shared" si="1"/>
        <v>#VALUE!</v>
      </c>
      <c r="C29" s="14" t="e">
        <f t="shared" si="2"/>
        <v>#VALUE!</v>
      </c>
      <c r="D29" s="12" t="e">
        <f t="shared" si="3"/>
        <v>#VALUE!</v>
      </c>
      <c r="E29" s="25" t="e">
        <f>visualmagnitude($B$2,astrodaysfromdt(A29))</f>
        <v>#VALUE!</v>
      </c>
      <c r="F29" s="15" t="e">
        <f>apparentsize($B$2, astrodaysfromdt(A29))</f>
        <v>#VALUE!</v>
      </c>
      <c r="Q29" t="s">
        <v>45</v>
      </c>
      <c r="AF29" t="s">
        <v>79</v>
      </c>
    </row>
    <row r="30" spans="1:32" ht="16.5" customHeight="1" x14ac:dyDescent="0.3">
      <c r="A30" s="1">
        <f t="shared" si="0"/>
        <v>43601</v>
      </c>
      <c r="B30" s="12" t="e">
        <f t="shared" si="1"/>
        <v>#VALUE!</v>
      </c>
      <c r="C30" s="14" t="e">
        <f t="shared" si="2"/>
        <v>#VALUE!</v>
      </c>
      <c r="D30" s="12" t="e">
        <f t="shared" si="3"/>
        <v>#VALUE!</v>
      </c>
      <c r="E30" s="25" t="e">
        <f>visualmagnitude($B$2,astrodaysfromdt(A30))</f>
        <v>#VALUE!</v>
      </c>
      <c r="F30" s="15" t="e">
        <f>apparentsize($B$2, astrodaysfromdt(A30))</f>
        <v>#VALUE!</v>
      </c>
      <c r="Q30" s="24" t="s">
        <v>46</v>
      </c>
    </row>
    <row r="31" spans="1:32" x14ac:dyDescent="0.25">
      <c r="A31" s="1">
        <f t="shared" si="0"/>
        <v>43621</v>
      </c>
      <c r="B31" s="12" t="e">
        <f t="shared" si="1"/>
        <v>#VALUE!</v>
      </c>
      <c r="C31" s="14" t="e">
        <f t="shared" si="2"/>
        <v>#VALUE!</v>
      </c>
      <c r="D31" s="12" t="e">
        <f t="shared" si="3"/>
        <v>#VALUE!</v>
      </c>
      <c r="E31" s="25" t="e">
        <f>visualmagnitude($B$2,astrodaysfromdt(A31))</f>
        <v>#VALUE!</v>
      </c>
      <c r="F31" s="15" t="e">
        <f>apparentsize($B$2, astrodaysfromdt(A31))</f>
        <v>#VALUE!</v>
      </c>
      <c r="Q31" t="s">
        <v>47</v>
      </c>
    </row>
    <row r="32" spans="1:32" ht="18.75" x14ac:dyDescent="0.3">
      <c r="A32" s="1">
        <f t="shared" si="0"/>
        <v>43641</v>
      </c>
      <c r="B32" s="12" t="e">
        <f t="shared" si="1"/>
        <v>#VALUE!</v>
      </c>
      <c r="C32" s="14" t="e">
        <f t="shared" si="2"/>
        <v>#VALUE!</v>
      </c>
      <c r="D32" s="12" t="e">
        <f t="shared" si="3"/>
        <v>#VALUE!</v>
      </c>
      <c r="E32" s="25" t="e">
        <f>visualmagnitude($B$2,astrodaysfromdt(A32))</f>
        <v>#VALUE!</v>
      </c>
      <c r="F32" s="15" t="e">
        <f>apparentsize($B$2, astrodaysfromdt(A32))</f>
        <v>#VALUE!</v>
      </c>
      <c r="Q32" s="24" t="s">
        <v>48</v>
      </c>
    </row>
    <row r="33" spans="1:17" x14ac:dyDescent="0.25">
      <c r="A33" s="1">
        <f t="shared" si="0"/>
        <v>43661</v>
      </c>
      <c r="B33" s="12" t="e">
        <f t="shared" si="1"/>
        <v>#VALUE!</v>
      </c>
      <c r="C33" s="14" t="e">
        <f t="shared" si="2"/>
        <v>#VALUE!</v>
      </c>
      <c r="D33" s="12" t="e">
        <f t="shared" si="3"/>
        <v>#VALUE!</v>
      </c>
      <c r="E33" s="25" t="e">
        <f>visualmagnitude($B$2,astrodaysfromdt(A33))</f>
        <v>#VALUE!</v>
      </c>
      <c r="F33" s="15" t="e">
        <f>apparentsize($B$2, astrodaysfromdt(A33))</f>
        <v>#VALUE!</v>
      </c>
    </row>
    <row r="34" spans="1:17" x14ac:dyDescent="0.25">
      <c r="A34" s="1">
        <f t="shared" si="0"/>
        <v>43681</v>
      </c>
      <c r="B34" s="12" t="e">
        <f t="shared" si="1"/>
        <v>#VALUE!</v>
      </c>
      <c r="C34" s="14" t="e">
        <f t="shared" si="2"/>
        <v>#VALUE!</v>
      </c>
      <c r="D34" s="12" t="e">
        <f t="shared" si="3"/>
        <v>#VALUE!</v>
      </c>
      <c r="E34" s="25" t="e">
        <f>visualmagnitude($B$2,astrodaysfromdt(A34))</f>
        <v>#VALUE!</v>
      </c>
      <c r="F34" s="15" t="e">
        <f>apparentsize($B$2, astrodaysfromdt(A34))</f>
        <v>#VALUE!</v>
      </c>
    </row>
    <row r="35" spans="1:17" x14ac:dyDescent="0.25">
      <c r="A35" s="1">
        <f t="shared" si="0"/>
        <v>43701</v>
      </c>
      <c r="B35" s="12" t="e">
        <f t="shared" si="1"/>
        <v>#VALUE!</v>
      </c>
      <c r="C35" s="14" t="e">
        <f t="shared" si="2"/>
        <v>#VALUE!</v>
      </c>
      <c r="D35" s="12" t="e">
        <f t="shared" si="3"/>
        <v>#VALUE!</v>
      </c>
      <c r="E35" s="25" t="e">
        <f>visualmagnitude($B$2,astrodaysfromdt(A35))</f>
        <v>#VALUE!</v>
      </c>
      <c r="F35" s="15" t="e">
        <f>apparentsize($B$2, astrodaysfromdt(A35))</f>
        <v>#VALUE!</v>
      </c>
    </row>
    <row r="36" spans="1:17" x14ac:dyDescent="0.25">
      <c r="A36" s="1">
        <f t="shared" si="0"/>
        <v>43721</v>
      </c>
      <c r="B36" s="12" t="e">
        <f t="shared" si="1"/>
        <v>#VALUE!</v>
      </c>
      <c r="C36" s="14" t="e">
        <f t="shared" si="2"/>
        <v>#VALUE!</v>
      </c>
      <c r="D36" s="12" t="e">
        <f t="shared" si="3"/>
        <v>#VALUE!</v>
      </c>
      <c r="E36" s="25" t="e">
        <f>visualmagnitude($B$2,astrodaysfromdt(A36))</f>
        <v>#VALUE!</v>
      </c>
      <c r="F36" s="15" t="e">
        <f>apparentsize($B$2, astrodaysfromdt(A36))</f>
        <v>#VALUE!</v>
      </c>
    </row>
    <row r="37" spans="1:17" x14ac:dyDescent="0.25">
      <c r="A37" s="1">
        <f t="shared" si="0"/>
        <v>43741</v>
      </c>
      <c r="B37" s="12" t="e">
        <f t="shared" si="1"/>
        <v>#VALUE!</v>
      </c>
      <c r="C37" s="14" t="e">
        <f t="shared" ref="C37:C68" si="4">isvisible(B$2,A37,$B$1,$C$1,$C$2,1,temp,pres)</f>
        <v>#VALUE!</v>
      </c>
      <c r="D37" s="12" t="e">
        <f t="shared" ref="D37:D68" si="5">isvisible(B$2,A37,$B$1,$C$1,$C$2,2,temp,pres)</f>
        <v>#VALUE!</v>
      </c>
      <c r="E37" s="25" t="e">
        <f>visualmagnitude($B$2,astrodaysfromdt(A37))</f>
        <v>#VALUE!</v>
      </c>
      <c r="F37" s="15" t="e">
        <f>apparentsize($B$2, astrodaysfromdt(A37))</f>
        <v>#VALUE!</v>
      </c>
    </row>
    <row r="38" spans="1:17" x14ac:dyDescent="0.25">
      <c r="A38" s="1">
        <f t="shared" ref="A38:A69" si="6">DATE(YEAR(A37), IF(unt="m",intvl,0)+MONTH(A37), IF(unt="m", 0,intvl)+DAY(A37))</f>
        <v>43761</v>
      </c>
      <c r="B38" s="12" t="e">
        <f t="shared" si="1"/>
        <v>#VALUE!</v>
      </c>
      <c r="C38" s="14" t="e">
        <f t="shared" si="4"/>
        <v>#VALUE!</v>
      </c>
      <c r="D38" s="12" t="e">
        <f t="shared" si="5"/>
        <v>#VALUE!</v>
      </c>
      <c r="E38" s="25" t="e">
        <f>visualmagnitude($B$2,astrodaysfromdt(A38))</f>
        <v>#VALUE!</v>
      </c>
      <c r="F38" s="15" t="e">
        <f>apparentsize($B$2, astrodaysfromdt(A38))</f>
        <v>#VALUE!</v>
      </c>
    </row>
    <row r="39" spans="1:17" x14ac:dyDescent="0.25">
      <c r="A39" s="1">
        <f t="shared" si="6"/>
        <v>43781</v>
      </c>
      <c r="B39" s="12" t="e">
        <f t="shared" si="1"/>
        <v>#VALUE!</v>
      </c>
      <c r="C39" s="14" t="e">
        <f t="shared" si="4"/>
        <v>#VALUE!</v>
      </c>
      <c r="D39" s="12" t="e">
        <f t="shared" si="5"/>
        <v>#VALUE!</v>
      </c>
      <c r="E39" s="25" t="e">
        <f>visualmagnitude($B$2,astrodaysfromdt(A39))</f>
        <v>#VALUE!</v>
      </c>
      <c r="F39" s="15" t="e">
        <f>apparentsize($B$2, astrodaysfromdt(A39))</f>
        <v>#VALUE!</v>
      </c>
      <c r="P39" s="14"/>
      <c r="Q39" s="12"/>
    </row>
    <row r="40" spans="1:17" x14ac:dyDescent="0.25">
      <c r="A40" s="1">
        <f t="shared" si="6"/>
        <v>43801</v>
      </c>
      <c r="B40" s="12" t="e">
        <f t="shared" si="1"/>
        <v>#VALUE!</v>
      </c>
      <c r="C40" s="14" t="e">
        <f t="shared" si="4"/>
        <v>#VALUE!</v>
      </c>
      <c r="D40" s="12" t="e">
        <f t="shared" si="5"/>
        <v>#VALUE!</v>
      </c>
      <c r="E40" s="25" t="e">
        <f>visualmagnitude($B$2,astrodaysfromdt(A40))</f>
        <v>#VALUE!</v>
      </c>
      <c r="F40" s="15" t="e">
        <f>apparentsize($B$2, astrodaysfromdt(A40))</f>
        <v>#VALUE!</v>
      </c>
    </row>
    <row r="41" spans="1:17" x14ac:dyDescent="0.25">
      <c r="A41" s="1">
        <f t="shared" si="6"/>
        <v>43821</v>
      </c>
      <c r="B41" s="12" t="e">
        <f t="shared" si="1"/>
        <v>#VALUE!</v>
      </c>
      <c r="C41" s="14" t="e">
        <f t="shared" si="4"/>
        <v>#VALUE!</v>
      </c>
      <c r="D41" s="12" t="e">
        <f t="shared" si="5"/>
        <v>#VALUE!</v>
      </c>
      <c r="E41" s="25" t="e">
        <f>visualmagnitude($B$2,astrodaysfromdt(A41))</f>
        <v>#VALUE!</v>
      </c>
      <c r="F41" s="15" t="e">
        <f>apparentsize($B$2, astrodaysfromdt(A41))</f>
        <v>#VALUE!</v>
      </c>
    </row>
    <row r="42" spans="1:17" x14ac:dyDescent="0.25">
      <c r="A42" s="1">
        <f t="shared" si="6"/>
        <v>43841</v>
      </c>
      <c r="B42" s="12" t="e">
        <f t="shared" si="1"/>
        <v>#VALUE!</v>
      </c>
      <c r="C42" s="14" t="e">
        <f t="shared" si="4"/>
        <v>#VALUE!</v>
      </c>
      <c r="D42" s="12" t="e">
        <f t="shared" si="5"/>
        <v>#VALUE!</v>
      </c>
      <c r="E42" s="25" t="e">
        <f>visualmagnitude($B$2,astrodaysfromdt(A42))</f>
        <v>#VALUE!</v>
      </c>
      <c r="F42" s="15" t="e">
        <f>apparentsize($B$2, astrodaysfromdt(A42))</f>
        <v>#VALUE!</v>
      </c>
    </row>
    <row r="43" spans="1:17" x14ac:dyDescent="0.25">
      <c r="A43" s="1">
        <f t="shared" si="6"/>
        <v>43861</v>
      </c>
      <c r="B43" s="12" t="e">
        <f t="shared" si="1"/>
        <v>#VALUE!</v>
      </c>
      <c r="C43" s="14" t="e">
        <f t="shared" si="4"/>
        <v>#VALUE!</v>
      </c>
      <c r="D43" s="12" t="e">
        <f t="shared" si="5"/>
        <v>#VALUE!</v>
      </c>
      <c r="E43" s="25" t="e">
        <f>visualmagnitude($B$2,astrodaysfromdt(A43))</f>
        <v>#VALUE!</v>
      </c>
      <c r="F43" s="15" t="e">
        <f>apparentsize($B$2, astrodaysfromdt(A43))</f>
        <v>#VALUE!</v>
      </c>
    </row>
    <row r="44" spans="1:17" x14ac:dyDescent="0.25">
      <c r="A44" s="1">
        <f t="shared" si="6"/>
        <v>43881</v>
      </c>
      <c r="B44" s="12" t="e">
        <f t="shared" si="1"/>
        <v>#VALUE!</v>
      </c>
      <c r="C44" s="14" t="e">
        <f t="shared" si="4"/>
        <v>#VALUE!</v>
      </c>
      <c r="D44" s="12" t="e">
        <f t="shared" si="5"/>
        <v>#VALUE!</v>
      </c>
      <c r="E44" s="25" t="e">
        <f>visualmagnitude($B$2,astrodaysfromdt(A44))</f>
        <v>#VALUE!</v>
      </c>
      <c r="F44" s="15" t="e">
        <f>apparentsize($B$2, astrodaysfromdt(A44))</f>
        <v>#VALUE!</v>
      </c>
    </row>
    <row r="45" spans="1:17" x14ac:dyDescent="0.25">
      <c r="A45" s="1">
        <f t="shared" si="6"/>
        <v>43901</v>
      </c>
      <c r="B45" s="12" t="e">
        <f t="shared" si="1"/>
        <v>#VALUE!</v>
      </c>
      <c r="C45" s="14" t="e">
        <f t="shared" si="4"/>
        <v>#VALUE!</v>
      </c>
      <c r="D45" s="12" t="e">
        <f t="shared" si="5"/>
        <v>#VALUE!</v>
      </c>
      <c r="E45" s="25" t="e">
        <f>visualmagnitude($B$2,astrodaysfromdt(A45))</f>
        <v>#VALUE!</v>
      </c>
      <c r="F45" s="15" t="e">
        <f>apparentsize($B$2, astrodaysfromdt(A45))</f>
        <v>#VALUE!</v>
      </c>
    </row>
    <row r="46" spans="1:17" x14ac:dyDescent="0.25">
      <c r="A46" s="1">
        <f t="shared" si="6"/>
        <v>43921</v>
      </c>
      <c r="B46" s="12" t="e">
        <f t="shared" si="1"/>
        <v>#VALUE!</v>
      </c>
      <c r="C46" s="14" t="e">
        <f t="shared" si="4"/>
        <v>#VALUE!</v>
      </c>
      <c r="D46" s="12" t="e">
        <f t="shared" si="5"/>
        <v>#VALUE!</v>
      </c>
      <c r="E46" s="25" t="e">
        <f>visualmagnitude($B$2,astrodaysfromdt(A46))</f>
        <v>#VALUE!</v>
      </c>
      <c r="F46" s="15" t="e">
        <f>apparentsize($B$2, astrodaysfromdt(A46))</f>
        <v>#VALUE!</v>
      </c>
    </row>
    <row r="47" spans="1:17" x14ac:dyDescent="0.25">
      <c r="A47" s="1">
        <f t="shared" si="6"/>
        <v>43941</v>
      </c>
      <c r="B47" s="12" t="e">
        <f t="shared" si="1"/>
        <v>#VALUE!</v>
      </c>
      <c r="C47" s="14" t="e">
        <f t="shared" si="4"/>
        <v>#VALUE!</v>
      </c>
      <c r="D47" s="12" t="e">
        <f t="shared" si="5"/>
        <v>#VALUE!</v>
      </c>
      <c r="E47" s="25" t="e">
        <f>visualmagnitude($B$2,astrodaysfromdt(A47))</f>
        <v>#VALUE!</v>
      </c>
      <c r="F47" s="15" t="e">
        <f>apparentsize($B$2, astrodaysfromdt(A47))</f>
        <v>#VALUE!</v>
      </c>
    </row>
    <row r="48" spans="1:17" x14ac:dyDescent="0.25">
      <c r="A48" s="1">
        <f t="shared" si="6"/>
        <v>43961</v>
      </c>
      <c r="B48" s="12" t="e">
        <f t="shared" si="1"/>
        <v>#VALUE!</v>
      </c>
      <c r="C48" s="14" t="e">
        <f t="shared" si="4"/>
        <v>#VALUE!</v>
      </c>
      <c r="D48" s="12" t="e">
        <f t="shared" si="5"/>
        <v>#VALUE!</v>
      </c>
      <c r="E48" s="25" t="e">
        <f>visualmagnitude($B$2,astrodaysfromdt(A48))</f>
        <v>#VALUE!</v>
      </c>
      <c r="F48" s="15" t="e">
        <f>apparentsize($B$2, astrodaysfromdt(A48))</f>
        <v>#VALUE!</v>
      </c>
    </row>
    <row r="49" spans="1:6" x14ac:dyDescent="0.25">
      <c r="A49" s="1">
        <f t="shared" si="6"/>
        <v>43981</v>
      </c>
      <c r="B49" s="12" t="e">
        <f t="shared" si="1"/>
        <v>#VALUE!</v>
      </c>
      <c r="C49" s="14" t="e">
        <f t="shared" si="4"/>
        <v>#VALUE!</v>
      </c>
      <c r="D49" s="12" t="e">
        <f t="shared" si="5"/>
        <v>#VALUE!</v>
      </c>
      <c r="E49" s="25" t="e">
        <f>visualmagnitude($B$2,astrodaysfromdt(A49))</f>
        <v>#VALUE!</v>
      </c>
      <c r="F49" s="15" t="e">
        <f>apparentsize($B$2, astrodaysfromdt(A49))</f>
        <v>#VALUE!</v>
      </c>
    </row>
    <row r="50" spans="1:6" x14ac:dyDescent="0.25">
      <c r="A50" s="1">
        <f t="shared" si="6"/>
        <v>44001</v>
      </c>
      <c r="B50" s="12" t="e">
        <f t="shared" si="1"/>
        <v>#VALUE!</v>
      </c>
      <c r="C50" s="14" t="e">
        <f t="shared" si="4"/>
        <v>#VALUE!</v>
      </c>
      <c r="D50" s="12" t="e">
        <f t="shared" si="5"/>
        <v>#VALUE!</v>
      </c>
      <c r="E50" s="25" t="e">
        <f>visualmagnitude($B$2,astrodaysfromdt(A50))</f>
        <v>#VALUE!</v>
      </c>
      <c r="F50" s="15" t="e">
        <f>apparentsize($B$2, astrodaysfromdt(A50))</f>
        <v>#VALUE!</v>
      </c>
    </row>
    <row r="51" spans="1:6" x14ac:dyDescent="0.25">
      <c r="A51" s="1">
        <f t="shared" si="6"/>
        <v>44021</v>
      </c>
      <c r="B51" s="12" t="e">
        <f t="shared" si="1"/>
        <v>#VALUE!</v>
      </c>
      <c r="C51" s="14" t="e">
        <f t="shared" si="4"/>
        <v>#VALUE!</v>
      </c>
      <c r="D51" s="12" t="e">
        <f t="shared" si="5"/>
        <v>#VALUE!</v>
      </c>
      <c r="E51" s="25" t="e">
        <f>visualmagnitude($B$2,astrodaysfromdt(A51))</f>
        <v>#VALUE!</v>
      </c>
      <c r="F51" s="15" t="e">
        <f>apparentsize($B$2, astrodaysfromdt(A51))</f>
        <v>#VALUE!</v>
      </c>
    </row>
    <row r="52" spans="1:6" x14ac:dyDescent="0.25">
      <c r="A52" s="1">
        <f t="shared" si="6"/>
        <v>44041</v>
      </c>
      <c r="B52" s="12" t="e">
        <f t="shared" si="1"/>
        <v>#VALUE!</v>
      </c>
      <c r="C52" s="14" t="e">
        <f t="shared" si="4"/>
        <v>#VALUE!</v>
      </c>
      <c r="D52" s="12" t="e">
        <f t="shared" si="5"/>
        <v>#VALUE!</v>
      </c>
      <c r="E52" s="25" t="e">
        <f>visualmagnitude($B$2,astrodaysfromdt(A52))</f>
        <v>#VALUE!</v>
      </c>
      <c r="F52" s="15" t="e">
        <f>apparentsize($B$2, astrodaysfromdt(A52))</f>
        <v>#VALUE!</v>
      </c>
    </row>
    <row r="53" spans="1:6" x14ac:dyDescent="0.25">
      <c r="A53" s="1">
        <f t="shared" si="6"/>
        <v>44061</v>
      </c>
      <c r="B53" s="12" t="e">
        <f t="shared" si="1"/>
        <v>#VALUE!</v>
      </c>
      <c r="C53" s="14" t="e">
        <f t="shared" si="4"/>
        <v>#VALUE!</v>
      </c>
      <c r="D53" s="12" t="e">
        <f t="shared" si="5"/>
        <v>#VALUE!</v>
      </c>
      <c r="E53" s="25" t="e">
        <f>visualmagnitude($B$2,astrodaysfromdt(A53))</f>
        <v>#VALUE!</v>
      </c>
      <c r="F53" s="15" t="e">
        <f>apparentsize($B$2, astrodaysfromdt(A53))</f>
        <v>#VALUE!</v>
      </c>
    </row>
    <row r="54" spans="1:6" x14ac:dyDescent="0.25">
      <c r="A54" s="1">
        <f t="shared" si="6"/>
        <v>44081</v>
      </c>
      <c r="B54" s="12" t="e">
        <f t="shared" si="1"/>
        <v>#VALUE!</v>
      </c>
      <c r="C54" s="14" t="e">
        <f t="shared" si="4"/>
        <v>#VALUE!</v>
      </c>
      <c r="D54" s="12" t="e">
        <f t="shared" si="5"/>
        <v>#VALUE!</v>
      </c>
      <c r="E54" s="25" t="e">
        <f>visualmagnitude($B$2,astrodaysfromdt(A54))</f>
        <v>#VALUE!</v>
      </c>
      <c r="F54" s="15" t="e">
        <f>apparentsize($B$2, astrodaysfromdt(A54))</f>
        <v>#VALUE!</v>
      </c>
    </row>
    <row r="55" spans="1:6" x14ac:dyDescent="0.25">
      <c r="A55" s="1">
        <f t="shared" si="6"/>
        <v>44101</v>
      </c>
      <c r="B55" s="12" t="e">
        <f t="shared" si="1"/>
        <v>#VALUE!</v>
      </c>
      <c r="C55" s="14" t="e">
        <f t="shared" si="4"/>
        <v>#VALUE!</v>
      </c>
      <c r="D55" s="12" t="e">
        <f t="shared" si="5"/>
        <v>#VALUE!</v>
      </c>
      <c r="E55" s="25" t="e">
        <f>visualmagnitude($B$2,astrodaysfromdt(A55))</f>
        <v>#VALUE!</v>
      </c>
      <c r="F55" s="15" t="e">
        <f>apparentsize($B$2, astrodaysfromdt(A55))</f>
        <v>#VALUE!</v>
      </c>
    </row>
    <row r="56" spans="1:6" x14ac:dyDescent="0.25">
      <c r="A56" s="1">
        <f t="shared" si="6"/>
        <v>44121</v>
      </c>
      <c r="B56" s="12" t="e">
        <f t="shared" si="1"/>
        <v>#VALUE!</v>
      </c>
      <c r="C56" s="14" t="e">
        <f t="shared" si="4"/>
        <v>#VALUE!</v>
      </c>
      <c r="D56" s="12" t="e">
        <f t="shared" si="5"/>
        <v>#VALUE!</v>
      </c>
      <c r="E56" s="25" t="e">
        <f>visualmagnitude($B$2,astrodaysfromdt(A56))</f>
        <v>#VALUE!</v>
      </c>
      <c r="F56" s="15" t="e">
        <f>apparentsize($B$2, astrodaysfromdt(A56))</f>
        <v>#VALUE!</v>
      </c>
    </row>
    <row r="57" spans="1:6" x14ac:dyDescent="0.25">
      <c r="A57" s="1">
        <f t="shared" si="6"/>
        <v>44141</v>
      </c>
      <c r="B57" s="12" t="e">
        <f t="shared" si="1"/>
        <v>#VALUE!</v>
      </c>
      <c r="C57" s="14" t="e">
        <f t="shared" si="4"/>
        <v>#VALUE!</v>
      </c>
      <c r="D57" s="12" t="e">
        <f t="shared" si="5"/>
        <v>#VALUE!</v>
      </c>
      <c r="E57" s="25" t="e">
        <f>visualmagnitude($B$2,astrodaysfromdt(A57))</f>
        <v>#VALUE!</v>
      </c>
      <c r="F57" s="15" t="e">
        <f>apparentsize($B$2, astrodaysfromdt(A57))</f>
        <v>#VALUE!</v>
      </c>
    </row>
    <row r="58" spans="1:6" x14ac:dyDescent="0.25">
      <c r="A58" s="1">
        <f t="shared" si="6"/>
        <v>44161</v>
      </c>
      <c r="B58" s="12" t="e">
        <f t="shared" si="1"/>
        <v>#VALUE!</v>
      </c>
      <c r="C58" s="14" t="e">
        <f t="shared" si="4"/>
        <v>#VALUE!</v>
      </c>
      <c r="D58" s="12" t="e">
        <f t="shared" si="5"/>
        <v>#VALUE!</v>
      </c>
      <c r="E58" s="25" t="e">
        <f>visualmagnitude($B$2,astrodaysfromdt(A58))</f>
        <v>#VALUE!</v>
      </c>
      <c r="F58" s="15" t="e">
        <f>apparentsize($B$2, astrodaysfromdt(A58))</f>
        <v>#VALUE!</v>
      </c>
    </row>
    <row r="59" spans="1:6" x14ac:dyDescent="0.25">
      <c r="A59" s="1">
        <f t="shared" si="6"/>
        <v>44181</v>
      </c>
      <c r="B59" s="12" t="e">
        <f t="shared" si="1"/>
        <v>#VALUE!</v>
      </c>
      <c r="C59" s="14" t="e">
        <f t="shared" si="4"/>
        <v>#VALUE!</v>
      </c>
      <c r="D59" s="12" t="e">
        <f t="shared" si="5"/>
        <v>#VALUE!</v>
      </c>
      <c r="E59" s="25" t="e">
        <f>visualmagnitude($B$2,astrodaysfromdt(A59))</f>
        <v>#VALUE!</v>
      </c>
      <c r="F59" s="15" t="e">
        <f>apparentsize($B$2, astrodaysfromdt(A59))</f>
        <v>#VALUE!</v>
      </c>
    </row>
    <row r="60" spans="1:6" x14ac:dyDescent="0.25">
      <c r="A60" s="1">
        <f t="shared" si="6"/>
        <v>44201</v>
      </c>
      <c r="B60" s="12" t="e">
        <f t="shared" si="1"/>
        <v>#VALUE!</v>
      </c>
      <c r="C60" s="14" t="e">
        <f t="shared" si="4"/>
        <v>#VALUE!</v>
      </c>
      <c r="D60" s="12" t="e">
        <f t="shared" si="5"/>
        <v>#VALUE!</v>
      </c>
      <c r="E60" s="25" t="e">
        <f>visualmagnitude($B$2,astrodaysfromdt(A60))</f>
        <v>#VALUE!</v>
      </c>
      <c r="F60" s="15" t="e">
        <f>apparentsize($B$2, astrodaysfromdt(A60))</f>
        <v>#VALUE!</v>
      </c>
    </row>
    <row r="61" spans="1:6" x14ac:dyDescent="0.25">
      <c r="A61" s="1">
        <f t="shared" si="6"/>
        <v>44221</v>
      </c>
      <c r="B61" s="12" t="e">
        <f t="shared" si="1"/>
        <v>#VALUE!</v>
      </c>
      <c r="C61" s="14" t="e">
        <f t="shared" si="4"/>
        <v>#VALUE!</v>
      </c>
      <c r="D61" s="12" t="e">
        <f t="shared" si="5"/>
        <v>#VALUE!</v>
      </c>
      <c r="E61" s="25" t="e">
        <f>visualmagnitude($B$2,astrodaysfromdt(A61))</f>
        <v>#VALUE!</v>
      </c>
      <c r="F61" s="15" t="e">
        <f>apparentsize($B$2, astrodaysfromdt(A61))</f>
        <v>#VALUE!</v>
      </c>
    </row>
    <row r="62" spans="1:6" x14ac:dyDescent="0.25">
      <c r="A62" s="1">
        <f t="shared" si="6"/>
        <v>44241</v>
      </c>
      <c r="B62" s="12" t="e">
        <f t="shared" si="1"/>
        <v>#VALUE!</v>
      </c>
      <c r="C62" s="14" t="e">
        <f t="shared" si="4"/>
        <v>#VALUE!</v>
      </c>
      <c r="D62" s="12" t="e">
        <f t="shared" si="5"/>
        <v>#VALUE!</v>
      </c>
      <c r="E62" s="25" t="e">
        <f>visualmagnitude($B$2,astrodaysfromdt(A62))</f>
        <v>#VALUE!</v>
      </c>
      <c r="F62" s="15" t="e">
        <f>apparentsize($B$2, astrodaysfromdt(A62))</f>
        <v>#VALUE!</v>
      </c>
    </row>
    <row r="63" spans="1:6" x14ac:dyDescent="0.25">
      <c r="A63" s="1">
        <f t="shared" si="6"/>
        <v>44261</v>
      </c>
      <c r="B63" s="12" t="e">
        <f t="shared" si="1"/>
        <v>#VALUE!</v>
      </c>
      <c r="C63" s="14" t="e">
        <f t="shared" si="4"/>
        <v>#VALUE!</v>
      </c>
      <c r="D63" s="12" t="e">
        <f t="shared" si="5"/>
        <v>#VALUE!</v>
      </c>
      <c r="E63" s="25" t="e">
        <f>visualmagnitude($B$2,astrodaysfromdt(A63))</f>
        <v>#VALUE!</v>
      </c>
      <c r="F63" s="15" t="e">
        <f>apparentsize($B$2, astrodaysfromdt(A63))</f>
        <v>#VALUE!</v>
      </c>
    </row>
    <row r="64" spans="1:6" x14ac:dyDescent="0.25">
      <c r="A64" s="1">
        <f t="shared" si="6"/>
        <v>44281</v>
      </c>
      <c r="B64" s="12" t="e">
        <f t="shared" si="1"/>
        <v>#VALUE!</v>
      </c>
      <c r="C64" s="14" t="e">
        <f t="shared" si="4"/>
        <v>#VALUE!</v>
      </c>
      <c r="D64" s="12" t="e">
        <f t="shared" si="5"/>
        <v>#VALUE!</v>
      </c>
      <c r="E64" s="25" t="e">
        <f>visualmagnitude($B$2,astrodaysfromdt(A64))</f>
        <v>#VALUE!</v>
      </c>
      <c r="F64" s="15" t="e">
        <f>apparentsize($B$2, astrodaysfromdt(A64))</f>
        <v>#VALUE!</v>
      </c>
    </row>
    <row r="65" spans="1:6" x14ac:dyDescent="0.25">
      <c r="A65" s="1">
        <f t="shared" si="6"/>
        <v>44301</v>
      </c>
      <c r="B65" s="12" t="e">
        <f t="shared" si="1"/>
        <v>#VALUE!</v>
      </c>
      <c r="C65" s="14" t="e">
        <f t="shared" si="4"/>
        <v>#VALUE!</v>
      </c>
      <c r="D65" s="12" t="e">
        <f t="shared" si="5"/>
        <v>#VALUE!</v>
      </c>
      <c r="E65" s="25" t="e">
        <f>visualmagnitude($B$2,astrodaysfromdt(A65))</f>
        <v>#VALUE!</v>
      </c>
      <c r="F65" s="15" t="e">
        <f>apparentsize($B$2, astrodaysfromdt(A65))</f>
        <v>#VALUE!</v>
      </c>
    </row>
    <row r="66" spans="1:6" x14ac:dyDescent="0.25">
      <c r="A66" s="1">
        <f t="shared" si="6"/>
        <v>44321</v>
      </c>
      <c r="B66" s="12" t="e">
        <f t="shared" si="1"/>
        <v>#VALUE!</v>
      </c>
      <c r="C66" s="14" t="e">
        <f t="shared" si="4"/>
        <v>#VALUE!</v>
      </c>
      <c r="D66" s="12" t="e">
        <f t="shared" si="5"/>
        <v>#VALUE!</v>
      </c>
      <c r="E66" s="25" t="e">
        <f>visualmagnitude($B$2,astrodaysfromdt(A66))</f>
        <v>#VALUE!</v>
      </c>
      <c r="F66" s="15" t="e">
        <f>apparentsize($B$2, astrodaysfromdt(A66))</f>
        <v>#VALUE!</v>
      </c>
    </row>
    <row r="67" spans="1:6" x14ac:dyDescent="0.25">
      <c r="A67" s="1">
        <f t="shared" si="6"/>
        <v>44341</v>
      </c>
      <c r="B67" s="12" t="e">
        <f t="shared" si="1"/>
        <v>#VALUE!</v>
      </c>
      <c r="C67" s="14" t="e">
        <f t="shared" si="4"/>
        <v>#VALUE!</v>
      </c>
      <c r="D67" s="12" t="e">
        <f t="shared" si="5"/>
        <v>#VALUE!</v>
      </c>
      <c r="E67" s="25" t="e">
        <f>visualmagnitude($B$2,astrodaysfromdt(A67))</f>
        <v>#VALUE!</v>
      </c>
      <c r="F67" s="15" t="e">
        <f>apparentsize($B$2, astrodaysfromdt(A67))</f>
        <v>#VALUE!</v>
      </c>
    </row>
    <row r="68" spans="1:6" x14ac:dyDescent="0.25">
      <c r="A68" s="1">
        <f t="shared" si="6"/>
        <v>44361</v>
      </c>
      <c r="B68" s="12" t="e">
        <f t="shared" si="1"/>
        <v>#VALUE!</v>
      </c>
      <c r="C68" s="14" t="e">
        <f t="shared" si="4"/>
        <v>#VALUE!</v>
      </c>
      <c r="D68" s="12" t="e">
        <f t="shared" si="5"/>
        <v>#VALUE!</v>
      </c>
      <c r="E68" s="25" t="e">
        <f>visualmagnitude($B$2,astrodaysfromdt(A68))</f>
        <v>#VALUE!</v>
      </c>
      <c r="F68" s="15" t="e">
        <f>apparentsize($B$2, astrodaysfromdt(A68))</f>
        <v>#VALUE!</v>
      </c>
    </row>
    <row r="69" spans="1:6" x14ac:dyDescent="0.25">
      <c r="A69" s="1">
        <f t="shared" si="6"/>
        <v>44381</v>
      </c>
      <c r="B69" s="12" t="e">
        <f t="shared" si="1"/>
        <v>#VALUE!</v>
      </c>
      <c r="C69" s="14" t="e">
        <f t="shared" ref="C69:C100" si="7">isvisible(B$2,A69,$B$1,$C$1,$C$2,1,temp,pres)</f>
        <v>#VALUE!</v>
      </c>
      <c r="D69" s="12" t="e">
        <f t="shared" ref="D69:D100" si="8">isvisible(B$2,A69,$B$1,$C$1,$C$2,2,temp,pres)</f>
        <v>#VALUE!</v>
      </c>
      <c r="E69" s="25" t="e">
        <f>visualmagnitude($B$2,astrodaysfromdt(A69))</f>
        <v>#VALUE!</v>
      </c>
      <c r="F69" s="15" t="e">
        <f>apparentsize($B$2, astrodaysfromdt(A69))</f>
        <v>#VALUE!</v>
      </c>
    </row>
    <row r="70" spans="1:6" x14ac:dyDescent="0.25">
      <c r="A70" s="1">
        <f t="shared" ref="A70:A101" si="9">DATE(YEAR(A69), IF(unt="m",intvl,0)+MONTH(A69), IF(unt="m", 0,intvl)+DAY(A69))</f>
        <v>44401</v>
      </c>
      <c r="B70" s="12" t="e">
        <f t="shared" ref="B70:B133" si="10">TimeofTransit(B$2,$A70,$B$1, $C$1)/24</f>
        <v>#VALUE!</v>
      </c>
      <c r="C70" s="14" t="e">
        <f t="shared" si="7"/>
        <v>#VALUE!</v>
      </c>
      <c r="D70" s="12" t="e">
        <f t="shared" si="8"/>
        <v>#VALUE!</v>
      </c>
      <c r="E70" s="25" t="e">
        <f>visualmagnitude($B$2,astrodaysfromdt(A70))</f>
        <v>#VALUE!</v>
      </c>
      <c r="F70" s="15" t="e">
        <f>apparentsize($B$2, astrodaysfromdt(A70))</f>
        <v>#VALUE!</v>
      </c>
    </row>
    <row r="71" spans="1:6" x14ac:dyDescent="0.25">
      <c r="A71" s="1">
        <f t="shared" si="9"/>
        <v>44421</v>
      </c>
      <c r="B71" s="12" t="e">
        <f t="shared" si="10"/>
        <v>#VALUE!</v>
      </c>
      <c r="C71" s="14" t="e">
        <f t="shared" si="7"/>
        <v>#VALUE!</v>
      </c>
      <c r="D71" s="12" t="e">
        <f t="shared" si="8"/>
        <v>#VALUE!</v>
      </c>
      <c r="E71" s="25" t="e">
        <f>visualmagnitude($B$2,astrodaysfromdt(A71))</f>
        <v>#VALUE!</v>
      </c>
      <c r="F71" s="15" t="e">
        <f>apparentsize($B$2, astrodaysfromdt(A71))</f>
        <v>#VALUE!</v>
      </c>
    </row>
    <row r="72" spans="1:6" x14ac:dyDescent="0.25">
      <c r="A72" s="1">
        <f t="shared" si="9"/>
        <v>44441</v>
      </c>
      <c r="B72" s="12" t="e">
        <f t="shared" si="10"/>
        <v>#VALUE!</v>
      </c>
      <c r="C72" s="14" t="e">
        <f t="shared" si="7"/>
        <v>#VALUE!</v>
      </c>
      <c r="D72" s="12" t="e">
        <f t="shared" si="8"/>
        <v>#VALUE!</v>
      </c>
      <c r="E72" s="25" t="e">
        <f>visualmagnitude($B$2,astrodaysfromdt(A72))</f>
        <v>#VALUE!</v>
      </c>
      <c r="F72" s="15" t="e">
        <f>apparentsize($B$2, astrodaysfromdt(A72))</f>
        <v>#VALUE!</v>
      </c>
    </row>
    <row r="73" spans="1:6" x14ac:dyDescent="0.25">
      <c r="A73" s="1">
        <f t="shared" si="9"/>
        <v>44461</v>
      </c>
      <c r="B73" s="12" t="e">
        <f t="shared" si="10"/>
        <v>#VALUE!</v>
      </c>
      <c r="C73" s="14" t="e">
        <f t="shared" si="7"/>
        <v>#VALUE!</v>
      </c>
      <c r="D73" s="12" t="e">
        <f t="shared" si="8"/>
        <v>#VALUE!</v>
      </c>
      <c r="E73" s="25" t="e">
        <f>visualmagnitude($B$2,astrodaysfromdt(A73))</f>
        <v>#VALUE!</v>
      </c>
      <c r="F73" s="15" t="e">
        <f>apparentsize($B$2, astrodaysfromdt(A73))</f>
        <v>#VALUE!</v>
      </c>
    </row>
    <row r="74" spans="1:6" x14ac:dyDescent="0.25">
      <c r="A74" s="1">
        <f t="shared" si="9"/>
        <v>44481</v>
      </c>
      <c r="B74" s="12" t="e">
        <f t="shared" si="10"/>
        <v>#VALUE!</v>
      </c>
      <c r="C74" s="14" t="e">
        <f t="shared" si="7"/>
        <v>#VALUE!</v>
      </c>
      <c r="D74" s="12" t="e">
        <f t="shared" si="8"/>
        <v>#VALUE!</v>
      </c>
      <c r="E74" s="25" t="e">
        <f>visualmagnitude($B$2,astrodaysfromdt(A74))</f>
        <v>#VALUE!</v>
      </c>
      <c r="F74" s="15" t="e">
        <f>apparentsize($B$2, astrodaysfromdt(A74))</f>
        <v>#VALUE!</v>
      </c>
    </row>
    <row r="75" spans="1:6" x14ac:dyDescent="0.25">
      <c r="A75" s="1">
        <f t="shared" si="9"/>
        <v>44501</v>
      </c>
      <c r="B75" s="12" t="e">
        <f t="shared" si="10"/>
        <v>#VALUE!</v>
      </c>
      <c r="C75" s="14" t="e">
        <f t="shared" si="7"/>
        <v>#VALUE!</v>
      </c>
      <c r="D75" s="12" t="e">
        <f t="shared" si="8"/>
        <v>#VALUE!</v>
      </c>
      <c r="E75" s="25" t="e">
        <f>visualmagnitude($B$2,astrodaysfromdt(A75))</f>
        <v>#VALUE!</v>
      </c>
      <c r="F75" s="15" t="e">
        <f>apparentsize($B$2, astrodaysfromdt(A75))</f>
        <v>#VALUE!</v>
      </c>
    </row>
    <row r="76" spans="1:6" x14ac:dyDescent="0.25">
      <c r="A76" s="1">
        <f t="shared" si="9"/>
        <v>44521</v>
      </c>
      <c r="B76" s="12" t="e">
        <f t="shared" si="10"/>
        <v>#VALUE!</v>
      </c>
      <c r="C76" s="14" t="e">
        <f t="shared" si="7"/>
        <v>#VALUE!</v>
      </c>
      <c r="D76" s="12" t="e">
        <f t="shared" si="8"/>
        <v>#VALUE!</v>
      </c>
      <c r="E76" s="25" t="e">
        <f>visualmagnitude($B$2,astrodaysfromdt(A76))</f>
        <v>#VALUE!</v>
      </c>
      <c r="F76" s="15" t="e">
        <f>apparentsize($B$2, astrodaysfromdt(A76))</f>
        <v>#VALUE!</v>
      </c>
    </row>
    <row r="77" spans="1:6" x14ac:dyDescent="0.25">
      <c r="A77" s="1">
        <f t="shared" si="9"/>
        <v>44541</v>
      </c>
      <c r="B77" s="12" t="e">
        <f t="shared" si="10"/>
        <v>#VALUE!</v>
      </c>
      <c r="C77" s="14" t="e">
        <f t="shared" si="7"/>
        <v>#VALUE!</v>
      </c>
      <c r="D77" s="12" t="e">
        <f t="shared" si="8"/>
        <v>#VALUE!</v>
      </c>
      <c r="E77" s="25" t="e">
        <f>visualmagnitude($B$2,astrodaysfromdt(A77))</f>
        <v>#VALUE!</v>
      </c>
      <c r="F77" s="15" t="e">
        <f>apparentsize($B$2, astrodaysfromdt(A77))</f>
        <v>#VALUE!</v>
      </c>
    </row>
    <row r="78" spans="1:6" x14ac:dyDescent="0.25">
      <c r="A78" s="1">
        <f t="shared" si="9"/>
        <v>44561</v>
      </c>
      <c r="B78" s="12" t="e">
        <f t="shared" si="10"/>
        <v>#VALUE!</v>
      </c>
      <c r="C78" s="14" t="e">
        <f t="shared" si="7"/>
        <v>#VALUE!</v>
      </c>
      <c r="D78" s="12" t="e">
        <f t="shared" si="8"/>
        <v>#VALUE!</v>
      </c>
      <c r="E78" s="25" t="e">
        <f>visualmagnitude($B$2,astrodaysfromdt(A78))</f>
        <v>#VALUE!</v>
      </c>
      <c r="F78" s="15" t="e">
        <f>apparentsize($B$2, astrodaysfromdt(A78))</f>
        <v>#VALUE!</v>
      </c>
    </row>
    <row r="79" spans="1:6" x14ac:dyDescent="0.25">
      <c r="A79" s="1">
        <f t="shared" si="9"/>
        <v>44581</v>
      </c>
      <c r="B79" s="12" t="e">
        <f t="shared" si="10"/>
        <v>#VALUE!</v>
      </c>
      <c r="C79" s="14" t="e">
        <f t="shared" si="7"/>
        <v>#VALUE!</v>
      </c>
      <c r="D79" s="12" t="e">
        <f t="shared" si="8"/>
        <v>#VALUE!</v>
      </c>
      <c r="E79" s="25" t="e">
        <f>visualmagnitude($B$2,astrodaysfromdt(A79))</f>
        <v>#VALUE!</v>
      </c>
      <c r="F79" s="15" t="e">
        <f>apparentsize($B$2, astrodaysfromdt(A79))</f>
        <v>#VALUE!</v>
      </c>
    </row>
    <row r="80" spans="1:6" x14ac:dyDescent="0.25">
      <c r="A80" s="1">
        <f t="shared" si="9"/>
        <v>44601</v>
      </c>
      <c r="B80" s="12" t="e">
        <f t="shared" si="10"/>
        <v>#VALUE!</v>
      </c>
      <c r="C80" s="14" t="e">
        <f t="shared" si="7"/>
        <v>#VALUE!</v>
      </c>
      <c r="D80" s="12" t="e">
        <f t="shared" si="8"/>
        <v>#VALUE!</v>
      </c>
      <c r="E80" s="25" t="e">
        <f>visualmagnitude($B$2,astrodaysfromdt(A80))</f>
        <v>#VALUE!</v>
      </c>
      <c r="F80" s="15" t="e">
        <f>apparentsize($B$2, astrodaysfromdt(A80))</f>
        <v>#VALUE!</v>
      </c>
    </row>
    <row r="81" spans="1:6" x14ac:dyDescent="0.25">
      <c r="A81" s="1">
        <f t="shared" si="9"/>
        <v>44621</v>
      </c>
      <c r="B81" s="12" t="e">
        <f t="shared" si="10"/>
        <v>#VALUE!</v>
      </c>
      <c r="C81" s="14" t="e">
        <f t="shared" si="7"/>
        <v>#VALUE!</v>
      </c>
      <c r="D81" s="12" t="e">
        <f t="shared" si="8"/>
        <v>#VALUE!</v>
      </c>
      <c r="E81" s="25" t="e">
        <f>visualmagnitude($B$2,astrodaysfromdt(A81))</f>
        <v>#VALUE!</v>
      </c>
      <c r="F81" s="15" t="e">
        <f>apparentsize($B$2, astrodaysfromdt(A81))</f>
        <v>#VALUE!</v>
      </c>
    </row>
    <row r="82" spans="1:6" x14ac:dyDescent="0.25">
      <c r="A82" s="1">
        <f t="shared" si="9"/>
        <v>44641</v>
      </c>
      <c r="B82" s="12" t="e">
        <f t="shared" si="10"/>
        <v>#VALUE!</v>
      </c>
      <c r="C82" s="14" t="e">
        <f t="shared" si="7"/>
        <v>#VALUE!</v>
      </c>
      <c r="D82" s="12" t="e">
        <f t="shared" si="8"/>
        <v>#VALUE!</v>
      </c>
      <c r="E82" s="25" t="e">
        <f>visualmagnitude($B$2,astrodaysfromdt(A82))</f>
        <v>#VALUE!</v>
      </c>
      <c r="F82" s="15" t="e">
        <f>apparentsize($B$2, astrodaysfromdt(A82))</f>
        <v>#VALUE!</v>
      </c>
    </row>
    <row r="83" spans="1:6" x14ac:dyDescent="0.25">
      <c r="A83" s="1">
        <f t="shared" si="9"/>
        <v>44661</v>
      </c>
      <c r="B83" s="12" t="e">
        <f t="shared" si="10"/>
        <v>#VALUE!</v>
      </c>
      <c r="C83" s="14" t="e">
        <f t="shared" si="7"/>
        <v>#VALUE!</v>
      </c>
      <c r="D83" s="12" t="e">
        <f t="shared" si="8"/>
        <v>#VALUE!</v>
      </c>
      <c r="E83" s="25" t="e">
        <f>visualmagnitude($B$2,astrodaysfromdt(A83))</f>
        <v>#VALUE!</v>
      </c>
      <c r="F83" s="15" t="e">
        <f>apparentsize($B$2, astrodaysfromdt(A83))</f>
        <v>#VALUE!</v>
      </c>
    </row>
    <row r="84" spans="1:6" x14ac:dyDescent="0.25">
      <c r="A84" s="1">
        <f t="shared" si="9"/>
        <v>44681</v>
      </c>
      <c r="B84" s="12" t="e">
        <f t="shared" si="10"/>
        <v>#VALUE!</v>
      </c>
      <c r="C84" s="14" t="e">
        <f t="shared" si="7"/>
        <v>#VALUE!</v>
      </c>
      <c r="D84" s="12" t="e">
        <f t="shared" si="8"/>
        <v>#VALUE!</v>
      </c>
      <c r="E84" s="25" t="e">
        <f>visualmagnitude($B$2,astrodaysfromdt(A84))</f>
        <v>#VALUE!</v>
      </c>
      <c r="F84" s="15" t="e">
        <f>apparentsize($B$2, astrodaysfromdt(A84))</f>
        <v>#VALUE!</v>
      </c>
    </row>
    <row r="85" spans="1:6" x14ac:dyDescent="0.25">
      <c r="A85" s="1">
        <f t="shared" si="9"/>
        <v>44701</v>
      </c>
      <c r="B85" s="12" t="e">
        <f t="shared" si="10"/>
        <v>#VALUE!</v>
      </c>
      <c r="C85" s="14" t="e">
        <f t="shared" si="7"/>
        <v>#VALUE!</v>
      </c>
      <c r="D85" s="12" t="e">
        <f t="shared" si="8"/>
        <v>#VALUE!</v>
      </c>
      <c r="E85" s="25" t="e">
        <f>visualmagnitude($B$2,astrodaysfromdt(A85))</f>
        <v>#VALUE!</v>
      </c>
      <c r="F85" s="15" t="e">
        <f>apparentsize($B$2, astrodaysfromdt(A85))</f>
        <v>#VALUE!</v>
      </c>
    </row>
    <row r="86" spans="1:6" x14ac:dyDescent="0.25">
      <c r="A86" s="1">
        <f t="shared" si="9"/>
        <v>44721</v>
      </c>
      <c r="B86" s="12" t="e">
        <f t="shared" si="10"/>
        <v>#VALUE!</v>
      </c>
      <c r="C86" s="14" t="e">
        <f t="shared" si="7"/>
        <v>#VALUE!</v>
      </c>
      <c r="D86" s="12" t="e">
        <f t="shared" si="8"/>
        <v>#VALUE!</v>
      </c>
      <c r="E86" s="25" t="e">
        <f>visualmagnitude($B$2,astrodaysfromdt(A86))</f>
        <v>#VALUE!</v>
      </c>
      <c r="F86" s="15" t="e">
        <f>apparentsize($B$2, astrodaysfromdt(A86))</f>
        <v>#VALUE!</v>
      </c>
    </row>
    <row r="87" spans="1:6" x14ac:dyDescent="0.25">
      <c r="A87" s="1">
        <f t="shared" si="9"/>
        <v>44741</v>
      </c>
      <c r="B87" s="12" t="e">
        <f t="shared" si="10"/>
        <v>#VALUE!</v>
      </c>
      <c r="C87" s="14" t="e">
        <f t="shared" si="7"/>
        <v>#VALUE!</v>
      </c>
      <c r="D87" s="12" t="e">
        <f t="shared" si="8"/>
        <v>#VALUE!</v>
      </c>
      <c r="E87" s="25" t="e">
        <f>visualmagnitude($B$2,astrodaysfromdt(A87))</f>
        <v>#VALUE!</v>
      </c>
      <c r="F87" s="15" t="e">
        <f>apparentsize($B$2, astrodaysfromdt(A87))</f>
        <v>#VALUE!</v>
      </c>
    </row>
    <row r="88" spans="1:6" x14ac:dyDescent="0.25">
      <c r="A88" s="1">
        <f t="shared" si="9"/>
        <v>44761</v>
      </c>
      <c r="B88" s="12" t="e">
        <f t="shared" si="10"/>
        <v>#VALUE!</v>
      </c>
      <c r="C88" s="14" t="e">
        <f t="shared" si="7"/>
        <v>#VALUE!</v>
      </c>
      <c r="D88" s="12" t="e">
        <f t="shared" si="8"/>
        <v>#VALUE!</v>
      </c>
      <c r="E88" s="25" t="e">
        <f>visualmagnitude($B$2,astrodaysfromdt(A88))</f>
        <v>#VALUE!</v>
      </c>
      <c r="F88" s="15" t="e">
        <f>apparentsize($B$2, astrodaysfromdt(A88))</f>
        <v>#VALUE!</v>
      </c>
    </row>
    <row r="89" spans="1:6" x14ac:dyDescent="0.25">
      <c r="A89" s="1">
        <f t="shared" si="9"/>
        <v>44781</v>
      </c>
      <c r="B89" s="12" t="e">
        <f t="shared" si="10"/>
        <v>#VALUE!</v>
      </c>
      <c r="C89" s="14" t="e">
        <f t="shared" si="7"/>
        <v>#VALUE!</v>
      </c>
      <c r="D89" s="12" t="e">
        <f t="shared" si="8"/>
        <v>#VALUE!</v>
      </c>
      <c r="E89" s="25" t="e">
        <f>visualmagnitude($B$2,astrodaysfromdt(A89))</f>
        <v>#VALUE!</v>
      </c>
      <c r="F89" s="15" t="e">
        <f>apparentsize($B$2, astrodaysfromdt(A89))</f>
        <v>#VALUE!</v>
      </c>
    </row>
    <row r="90" spans="1:6" x14ac:dyDescent="0.25">
      <c r="A90" s="1">
        <f t="shared" si="9"/>
        <v>44801</v>
      </c>
      <c r="B90" s="12" t="e">
        <f t="shared" si="10"/>
        <v>#VALUE!</v>
      </c>
      <c r="C90" s="14" t="e">
        <f t="shared" si="7"/>
        <v>#VALUE!</v>
      </c>
      <c r="D90" s="12" t="e">
        <f t="shared" si="8"/>
        <v>#VALUE!</v>
      </c>
      <c r="E90" s="25" t="e">
        <f>visualmagnitude($B$2,astrodaysfromdt(A90))</f>
        <v>#VALUE!</v>
      </c>
      <c r="F90" s="15" t="e">
        <f>apparentsize($B$2, astrodaysfromdt(A90))</f>
        <v>#VALUE!</v>
      </c>
    </row>
    <row r="91" spans="1:6" x14ac:dyDescent="0.25">
      <c r="A91" s="1">
        <f t="shared" si="9"/>
        <v>44821</v>
      </c>
      <c r="B91" s="12" t="e">
        <f t="shared" si="10"/>
        <v>#VALUE!</v>
      </c>
      <c r="C91" s="14" t="e">
        <f t="shared" si="7"/>
        <v>#VALUE!</v>
      </c>
      <c r="D91" s="12" t="e">
        <f t="shared" si="8"/>
        <v>#VALUE!</v>
      </c>
      <c r="E91" s="25" t="e">
        <f>visualmagnitude($B$2,astrodaysfromdt(A91))</f>
        <v>#VALUE!</v>
      </c>
      <c r="F91" s="15" t="e">
        <f>apparentsize($B$2, astrodaysfromdt(A91))</f>
        <v>#VALUE!</v>
      </c>
    </row>
    <row r="92" spans="1:6" x14ac:dyDescent="0.25">
      <c r="A92" s="1">
        <f t="shared" si="9"/>
        <v>44841</v>
      </c>
      <c r="B92" s="12" t="e">
        <f t="shared" si="10"/>
        <v>#VALUE!</v>
      </c>
      <c r="C92" s="14" t="e">
        <f t="shared" si="7"/>
        <v>#VALUE!</v>
      </c>
      <c r="D92" s="12" t="e">
        <f t="shared" si="8"/>
        <v>#VALUE!</v>
      </c>
      <c r="E92" s="25" t="e">
        <f>visualmagnitude($B$2,astrodaysfromdt(A92))</f>
        <v>#VALUE!</v>
      </c>
      <c r="F92" s="15" t="e">
        <f>apparentsize($B$2, astrodaysfromdt(A92))</f>
        <v>#VALUE!</v>
      </c>
    </row>
    <row r="93" spans="1:6" x14ac:dyDescent="0.25">
      <c r="A93" s="1">
        <f t="shared" si="9"/>
        <v>44861</v>
      </c>
      <c r="B93" s="12" t="e">
        <f t="shared" si="10"/>
        <v>#VALUE!</v>
      </c>
      <c r="C93" s="14" t="e">
        <f t="shared" si="7"/>
        <v>#VALUE!</v>
      </c>
      <c r="D93" s="12" t="e">
        <f t="shared" si="8"/>
        <v>#VALUE!</v>
      </c>
      <c r="E93" s="25" t="e">
        <f>visualmagnitude($B$2,astrodaysfromdt(A93))</f>
        <v>#VALUE!</v>
      </c>
      <c r="F93" s="15" t="e">
        <f>apparentsize($B$2, astrodaysfromdt(A93))</f>
        <v>#VALUE!</v>
      </c>
    </row>
    <row r="94" spans="1:6" x14ac:dyDescent="0.25">
      <c r="A94" s="1">
        <f t="shared" si="9"/>
        <v>44881</v>
      </c>
      <c r="B94" s="12" t="e">
        <f t="shared" si="10"/>
        <v>#VALUE!</v>
      </c>
      <c r="C94" s="14" t="e">
        <f t="shared" si="7"/>
        <v>#VALUE!</v>
      </c>
      <c r="D94" s="12" t="e">
        <f t="shared" si="8"/>
        <v>#VALUE!</v>
      </c>
      <c r="E94" s="25" t="e">
        <f>visualmagnitude($B$2,astrodaysfromdt(A94))</f>
        <v>#VALUE!</v>
      </c>
      <c r="F94" s="15" t="e">
        <f>apparentsize($B$2, astrodaysfromdt(A94))</f>
        <v>#VALUE!</v>
      </c>
    </row>
    <row r="95" spans="1:6" x14ac:dyDescent="0.25">
      <c r="A95" s="1">
        <f t="shared" si="9"/>
        <v>44901</v>
      </c>
      <c r="B95" s="12" t="e">
        <f t="shared" si="10"/>
        <v>#VALUE!</v>
      </c>
      <c r="C95" s="14" t="e">
        <f t="shared" si="7"/>
        <v>#VALUE!</v>
      </c>
      <c r="D95" s="12" t="e">
        <f t="shared" si="8"/>
        <v>#VALUE!</v>
      </c>
      <c r="E95" s="25" t="e">
        <f>visualmagnitude($B$2,astrodaysfromdt(A95))</f>
        <v>#VALUE!</v>
      </c>
      <c r="F95" s="15" t="e">
        <f>apparentsize($B$2, astrodaysfromdt(A95))</f>
        <v>#VALUE!</v>
      </c>
    </row>
    <row r="96" spans="1:6" x14ac:dyDescent="0.25">
      <c r="A96" s="1">
        <f t="shared" si="9"/>
        <v>44921</v>
      </c>
      <c r="B96" s="12" t="e">
        <f t="shared" si="10"/>
        <v>#VALUE!</v>
      </c>
      <c r="C96" s="14" t="e">
        <f t="shared" si="7"/>
        <v>#VALUE!</v>
      </c>
      <c r="D96" s="12" t="e">
        <f t="shared" si="8"/>
        <v>#VALUE!</v>
      </c>
      <c r="E96" s="25" t="e">
        <f>visualmagnitude($B$2,astrodaysfromdt(A96))</f>
        <v>#VALUE!</v>
      </c>
      <c r="F96" s="15" t="e">
        <f>apparentsize($B$2, astrodaysfromdt(A96))</f>
        <v>#VALUE!</v>
      </c>
    </row>
    <row r="97" spans="1:6" x14ac:dyDescent="0.25">
      <c r="A97" s="1">
        <f t="shared" si="9"/>
        <v>44941</v>
      </c>
      <c r="B97" s="12" t="e">
        <f t="shared" si="10"/>
        <v>#VALUE!</v>
      </c>
      <c r="C97" s="14" t="e">
        <f t="shared" si="7"/>
        <v>#VALUE!</v>
      </c>
      <c r="D97" s="12" t="e">
        <f t="shared" si="8"/>
        <v>#VALUE!</v>
      </c>
      <c r="E97" s="25" t="e">
        <f>visualmagnitude($B$2,astrodaysfromdt(A97))</f>
        <v>#VALUE!</v>
      </c>
      <c r="F97" s="15" t="e">
        <f>apparentsize($B$2, astrodaysfromdt(A97))</f>
        <v>#VALUE!</v>
      </c>
    </row>
    <row r="98" spans="1:6" x14ac:dyDescent="0.25">
      <c r="A98" s="1">
        <f t="shared" si="9"/>
        <v>44961</v>
      </c>
      <c r="B98" s="12" t="e">
        <f t="shared" si="10"/>
        <v>#VALUE!</v>
      </c>
      <c r="C98" s="14" t="e">
        <f t="shared" si="7"/>
        <v>#VALUE!</v>
      </c>
      <c r="D98" s="12" t="e">
        <f t="shared" si="8"/>
        <v>#VALUE!</v>
      </c>
      <c r="E98" s="25" t="e">
        <f>visualmagnitude($B$2,astrodaysfromdt(A98))</f>
        <v>#VALUE!</v>
      </c>
      <c r="F98" s="15" t="e">
        <f>apparentsize($B$2, astrodaysfromdt(A98))</f>
        <v>#VALUE!</v>
      </c>
    </row>
    <row r="99" spans="1:6" x14ac:dyDescent="0.25">
      <c r="A99" s="1">
        <f t="shared" si="9"/>
        <v>44981</v>
      </c>
      <c r="B99" s="12" t="e">
        <f t="shared" si="10"/>
        <v>#VALUE!</v>
      </c>
      <c r="C99" s="14" t="e">
        <f t="shared" si="7"/>
        <v>#VALUE!</v>
      </c>
      <c r="D99" s="12" t="e">
        <f t="shared" si="8"/>
        <v>#VALUE!</v>
      </c>
      <c r="E99" s="25" t="e">
        <f>visualmagnitude($B$2,astrodaysfromdt(A99))</f>
        <v>#VALUE!</v>
      </c>
      <c r="F99" s="15" t="e">
        <f>apparentsize($B$2, astrodaysfromdt(A99))</f>
        <v>#VALUE!</v>
      </c>
    </row>
    <row r="100" spans="1:6" x14ac:dyDescent="0.25">
      <c r="A100" s="1">
        <f t="shared" si="9"/>
        <v>45001</v>
      </c>
      <c r="B100" s="12" t="e">
        <f t="shared" si="10"/>
        <v>#VALUE!</v>
      </c>
      <c r="C100" s="14" t="e">
        <f t="shared" si="7"/>
        <v>#VALUE!</v>
      </c>
      <c r="D100" s="12" t="e">
        <f t="shared" si="8"/>
        <v>#VALUE!</v>
      </c>
      <c r="E100" s="25" t="e">
        <f>visualmagnitude($B$2,astrodaysfromdt(A100))</f>
        <v>#VALUE!</v>
      </c>
      <c r="F100" s="15" t="e">
        <f>apparentsize($B$2, astrodaysfromdt(A100))</f>
        <v>#VALUE!</v>
      </c>
    </row>
    <row r="101" spans="1:6" x14ac:dyDescent="0.25">
      <c r="A101" s="1">
        <f t="shared" si="9"/>
        <v>45021</v>
      </c>
      <c r="B101" s="12" t="e">
        <f t="shared" si="10"/>
        <v>#VALUE!</v>
      </c>
      <c r="C101" s="14" t="e">
        <f t="shared" ref="C101:C132" si="11">isvisible(B$2,A101,$B$1,$C$1,$C$2,1,temp,pres)</f>
        <v>#VALUE!</v>
      </c>
      <c r="D101" s="12" t="e">
        <f t="shared" ref="D101:D132" si="12">isvisible(B$2,A101,$B$1,$C$1,$C$2,2,temp,pres)</f>
        <v>#VALUE!</v>
      </c>
      <c r="E101" s="25" t="e">
        <f>visualmagnitude($B$2,astrodaysfromdt(A101))</f>
        <v>#VALUE!</v>
      </c>
      <c r="F101" s="15" t="e">
        <f>apparentsize($B$2, astrodaysfromdt(A101))</f>
        <v>#VALUE!</v>
      </c>
    </row>
    <row r="102" spans="1:6" x14ac:dyDescent="0.25">
      <c r="A102" s="1">
        <f t="shared" ref="A102:A133" si="13">DATE(YEAR(A101), IF(unt="m",intvl,0)+MONTH(A101), IF(unt="m", 0,intvl)+DAY(A101))</f>
        <v>45041</v>
      </c>
      <c r="B102" s="12" t="e">
        <f t="shared" si="10"/>
        <v>#VALUE!</v>
      </c>
      <c r="C102" s="14" t="e">
        <f t="shared" si="11"/>
        <v>#VALUE!</v>
      </c>
      <c r="D102" s="12" t="e">
        <f t="shared" si="12"/>
        <v>#VALUE!</v>
      </c>
      <c r="E102" s="25" t="e">
        <f>visualmagnitude($B$2,astrodaysfromdt(A102))</f>
        <v>#VALUE!</v>
      </c>
      <c r="F102" s="15" t="e">
        <f>apparentsize($B$2, astrodaysfromdt(A102))</f>
        <v>#VALUE!</v>
      </c>
    </row>
    <row r="103" spans="1:6" x14ac:dyDescent="0.25">
      <c r="A103" s="1">
        <f t="shared" si="13"/>
        <v>45061</v>
      </c>
      <c r="B103" s="12" t="e">
        <f t="shared" si="10"/>
        <v>#VALUE!</v>
      </c>
      <c r="C103" s="14" t="e">
        <f t="shared" si="11"/>
        <v>#VALUE!</v>
      </c>
      <c r="D103" s="12" t="e">
        <f t="shared" si="12"/>
        <v>#VALUE!</v>
      </c>
      <c r="E103" s="25" t="e">
        <f>visualmagnitude($B$2,astrodaysfromdt(A103))</f>
        <v>#VALUE!</v>
      </c>
      <c r="F103" s="15" t="e">
        <f>apparentsize($B$2, astrodaysfromdt(A103))</f>
        <v>#VALUE!</v>
      </c>
    </row>
    <row r="104" spans="1:6" x14ac:dyDescent="0.25">
      <c r="A104" s="1">
        <f t="shared" si="13"/>
        <v>45081</v>
      </c>
      <c r="B104" s="12" t="e">
        <f t="shared" si="10"/>
        <v>#VALUE!</v>
      </c>
      <c r="C104" s="14" t="e">
        <f t="shared" si="11"/>
        <v>#VALUE!</v>
      </c>
      <c r="D104" s="12" t="e">
        <f t="shared" si="12"/>
        <v>#VALUE!</v>
      </c>
      <c r="E104" s="25" t="e">
        <f>visualmagnitude($B$2,astrodaysfromdt(A104))</f>
        <v>#VALUE!</v>
      </c>
      <c r="F104" s="15" t="e">
        <f>apparentsize($B$2, astrodaysfromdt(A104))</f>
        <v>#VALUE!</v>
      </c>
    </row>
    <row r="105" spans="1:6" x14ac:dyDescent="0.25">
      <c r="A105" s="1">
        <f t="shared" si="13"/>
        <v>45101</v>
      </c>
      <c r="B105" s="12" t="e">
        <f t="shared" si="10"/>
        <v>#VALUE!</v>
      </c>
      <c r="C105" s="14" t="e">
        <f t="shared" si="11"/>
        <v>#VALUE!</v>
      </c>
      <c r="D105" s="12" t="e">
        <f t="shared" si="12"/>
        <v>#VALUE!</v>
      </c>
      <c r="E105" s="25" t="e">
        <f>visualmagnitude($B$2,astrodaysfromdt(A105))</f>
        <v>#VALUE!</v>
      </c>
      <c r="F105" s="15" t="e">
        <f>apparentsize($B$2, astrodaysfromdt(A105))</f>
        <v>#VALUE!</v>
      </c>
    </row>
    <row r="106" spans="1:6" x14ac:dyDescent="0.25">
      <c r="A106" s="1">
        <f t="shared" si="13"/>
        <v>45121</v>
      </c>
      <c r="B106" s="12" t="e">
        <f t="shared" si="10"/>
        <v>#VALUE!</v>
      </c>
      <c r="C106" s="14" t="e">
        <f t="shared" si="11"/>
        <v>#VALUE!</v>
      </c>
      <c r="D106" s="12" t="e">
        <f t="shared" si="12"/>
        <v>#VALUE!</v>
      </c>
      <c r="E106" s="25" t="e">
        <f>visualmagnitude($B$2,astrodaysfromdt(A106))</f>
        <v>#VALUE!</v>
      </c>
      <c r="F106" s="15" t="e">
        <f>apparentsize($B$2, astrodaysfromdt(A106))</f>
        <v>#VALUE!</v>
      </c>
    </row>
    <row r="107" spans="1:6" x14ac:dyDescent="0.25">
      <c r="A107" s="1">
        <f t="shared" si="13"/>
        <v>45141</v>
      </c>
      <c r="B107" s="12" t="e">
        <f t="shared" si="10"/>
        <v>#VALUE!</v>
      </c>
      <c r="C107" s="14" t="e">
        <f t="shared" si="11"/>
        <v>#VALUE!</v>
      </c>
      <c r="D107" s="12" t="e">
        <f t="shared" si="12"/>
        <v>#VALUE!</v>
      </c>
      <c r="E107" s="25" t="e">
        <f>visualmagnitude($B$2,astrodaysfromdt(A107))</f>
        <v>#VALUE!</v>
      </c>
      <c r="F107" s="15" t="e">
        <f>apparentsize($B$2, astrodaysfromdt(A107))</f>
        <v>#VALUE!</v>
      </c>
    </row>
    <row r="108" spans="1:6" x14ac:dyDescent="0.25">
      <c r="A108" s="1">
        <f t="shared" si="13"/>
        <v>45161</v>
      </c>
      <c r="B108" s="12" t="e">
        <f t="shared" si="10"/>
        <v>#VALUE!</v>
      </c>
      <c r="C108" s="14" t="e">
        <f t="shared" si="11"/>
        <v>#VALUE!</v>
      </c>
      <c r="D108" s="12" t="e">
        <f t="shared" si="12"/>
        <v>#VALUE!</v>
      </c>
      <c r="E108" s="25" t="e">
        <f>visualmagnitude($B$2,astrodaysfromdt(A108))</f>
        <v>#VALUE!</v>
      </c>
      <c r="F108" s="15" t="e">
        <f>apparentsize($B$2, astrodaysfromdt(A108))</f>
        <v>#VALUE!</v>
      </c>
    </row>
    <row r="109" spans="1:6" x14ac:dyDescent="0.25">
      <c r="A109" s="1">
        <f t="shared" si="13"/>
        <v>45181</v>
      </c>
      <c r="B109" s="12" t="e">
        <f t="shared" si="10"/>
        <v>#VALUE!</v>
      </c>
      <c r="C109" s="14" t="e">
        <f t="shared" si="11"/>
        <v>#VALUE!</v>
      </c>
      <c r="D109" s="12" t="e">
        <f t="shared" si="12"/>
        <v>#VALUE!</v>
      </c>
      <c r="E109" s="25" t="e">
        <f>visualmagnitude($B$2,astrodaysfromdt(A109))</f>
        <v>#VALUE!</v>
      </c>
      <c r="F109" s="15" t="e">
        <f>apparentsize($B$2, astrodaysfromdt(A109))</f>
        <v>#VALUE!</v>
      </c>
    </row>
    <row r="110" spans="1:6" x14ac:dyDescent="0.25">
      <c r="A110" s="1">
        <f t="shared" si="13"/>
        <v>45201</v>
      </c>
      <c r="B110" s="12" t="e">
        <f t="shared" si="10"/>
        <v>#VALUE!</v>
      </c>
      <c r="C110" s="14" t="e">
        <f t="shared" si="11"/>
        <v>#VALUE!</v>
      </c>
      <c r="D110" s="12" t="e">
        <f t="shared" si="12"/>
        <v>#VALUE!</v>
      </c>
      <c r="E110" s="25" t="e">
        <f>visualmagnitude($B$2,astrodaysfromdt(A110))</f>
        <v>#VALUE!</v>
      </c>
      <c r="F110" s="15" t="e">
        <f>apparentsize($B$2, astrodaysfromdt(A110))</f>
        <v>#VALUE!</v>
      </c>
    </row>
    <row r="111" spans="1:6" x14ac:dyDescent="0.25">
      <c r="A111" s="1">
        <f t="shared" si="13"/>
        <v>45221</v>
      </c>
      <c r="B111" s="12" t="e">
        <f t="shared" si="10"/>
        <v>#VALUE!</v>
      </c>
      <c r="C111" s="14" t="e">
        <f t="shared" si="11"/>
        <v>#VALUE!</v>
      </c>
      <c r="D111" s="12" t="e">
        <f t="shared" si="12"/>
        <v>#VALUE!</v>
      </c>
      <c r="E111" s="25" t="e">
        <f>visualmagnitude($B$2,astrodaysfromdt(A111))</f>
        <v>#VALUE!</v>
      </c>
      <c r="F111" s="15" t="e">
        <f>apparentsize($B$2, astrodaysfromdt(A111))</f>
        <v>#VALUE!</v>
      </c>
    </row>
    <row r="112" spans="1:6" x14ac:dyDescent="0.25">
      <c r="A112" s="1">
        <f t="shared" si="13"/>
        <v>45241</v>
      </c>
      <c r="B112" s="12" t="e">
        <f t="shared" si="10"/>
        <v>#VALUE!</v>
      </c>
      <c r="C112" s="14" t="e">
        <f t="shared" si="11"/>
        <v>#VALUE!</v>
      </c>
      <c r="D112" s="12" t="e">
        <f t="shared" si="12"/>
        <v>#VALUE!</v>
      </c>
      <c r="E112" s="25" t="e">
        <f>visualmagnitude($B$2,astrodaysfromdt(A112))</f>
        <v>#VALUE!</v>
      </c>
      <c r="F112" s="15" t="e">
        <f>apparentsize($B$2, astrodaysfromdt(A112))</f>
        <v>#VALUE!</v>
      </c>
    </row>
    <row r="113" spans="1:6" x14ac:dyDescent="0.25">
      <c r="A113" s="1">
        <f t="shared" si="13"/>
        <v>45261</v>
      </c>
      <c r="B113" s="12" t="e">
        <f t="shared" si="10"/>
        <v>#VALUE!</v>
      </c>
      <c r="C113" s="14" t="e">
        <f t="shared" si="11"/>
        <v>#VALUE!</v>
      </c>
      <c r="D113" s="12" t="e">
        <f t="shared" si="12"/>
        <v>#VALUE!</v>
      </c>
      <c r="E113" s="25" t="e">
        <f>visualmagnitude($B$2,astrodaysfromdt(A113))</f>
        <v>#VALUE!</v>
      </c>
      <c r="F113" s="15" t="e">
        <f>apparentsize($B$2, astrodaysfromdt(A113))</f>
        <v>#VALUE!</v>
      </c>
    </row>
    <row r="114" spans="1:6" x14ac:dyDescent="0.25">
      <c r="A114" s="1">
        <f t="shared" si="13"/>
        <v>45281</v>
      </c>
      <c r="B114" s="12" t="e">
        <f t="shared" si="10"/>
        <v>#VALUE!</v>
      </c>
      <c r="C114" s="14" t="e">
        <f t="shared" si="11"/>
        <v>#VALUE!</v>
      </c>
      <c r="D114" s="12" t="e">
        <f t="shared" si="12"/>
        <v>#VALUE!</v>
      </c>
      <c r="E114" s="25" t="e">
        <f>visualmagnitude($B$2,astrodaysfromdt(A114))</f>
        <v>#VALUE!</v>
      </c>
      <c r="F114" s="15" t="e">
        <f>apparentsize($B$2, astrodaysfromdt(A114))</f>
        <v>#VALUE!</v>
      </c>
    </row>
    <row r="115" spans="1:6" x14ac:dyDescent="0.25">
      <c r="A115" s="1">
        <f t="shared" si="13"/>
        <v>45301</v>
      </c>
      <c r="B115" s="12" t="e">
        <f t="shared" si="10"/>
        <v>#VALUE!</v>
      </c>
      <c r="C115" s="14" t="e">
        <f t="shared" si="11"/>
        <v>#VALUE!</v>
      </c>
      <c r="D115" s="12" t="e">
        <f t="shared" si="12"/>
        <v>#VALUE!</v>
      </c>
      <c r="E115" s="25" t="e">
        <f>visualmagnitude($B$2,astrodaysfromdt(A115))</f>
        <v>#VALUE!</v>
      </c>
      <c r="F115" s="15" t="e">
        <f>apparentsize($B$2, astrodaysfromdt(A115))</f>
        <v>#VALUE!</v>
      </c>
    </row>
    <row r="116" spans="1:6" x14ac:dyDescent="0.25">
      <c r="A116" s="1">
        <f t="shared" si="13"/>
        <v>45321</v>
      </c>
      <c r="B116" s="12" t="e">
        <f t="shared" si="10"/>
        <v>#VALUE!</v>
      </c>
      <c r="C116" s="14" t="e">
        <f t="shared" si="11"/>
        <v>#VALUE!</v>
      </c>
      <c r="D116" s="12" t="e">
        <f t="shared" si="12"/>
        <v>#VALUE!</v>
      </c>
      <c r="E116" s="25" t="e">
        <f>visualmagnitude($B$2,astrodaysfromdt(A116))</f>
        <v>#VALUE!</v>
      </c>
      <c r="F116" s="15" t="e">
        <f>apparentsize($B$2, astrodaysfromdt(A116))</f>
        <v>#VALUE!</v>
      </c>
    </row>
    <row r="117" spans="1:6" x14ac:dyDescent="0.25">
      <c r="A117" s="1">
        <f t="shared" si="13"/>
        <v>45341</v>
      </c>
      <c r="B117" s="12" t="e">
        <f t="shared" si="10"/>
        <v>#VALUE!</v>
      </c>
      <c r="C117" s="14" t="e">
        <f t="shared" si="11"/>
        <v>#VALUE!</v>
      </c>
      <c r="D117" s="12" t="e">
        <f t="shared" si="12"/>
        <v>#VALUE!</v>
      </c>
      <c r="E117" s="25" t="e">
        <f>visualmagnitude($B$2,astrodaysfromdt(A117))</f>
        <v>#VALUE!</v>
      </c>
      <c r="F117" s="15" t="e">
        <f>apparentsize($B$2, astrodaysfromdt(A117))</f>
        <v>#VALUE!</v>
      </c>
    </row>
    <row r="118" spans="1:6" x14ac:dyDescent="0.25">
      <c r="A118" s="1">
        <f t="shared" si="13"/>
        <v>45361</v>
      </c>
      <c r="B118" s="12" t="e">
        <f t="shared" si="10"/>
        <v>#VALUE!</v>
      </c>
      <c r="C118" s="14" t="e">
        <f t="shared" si="11"/>
        <v>#VALUE!</v>
      </c>
      <c r="D118" s="12" t="e">
        <f t="shared" si="12"/>
        <v>#VALUE!</v>
      </c>
      <c r="E118" s="25" t="e">
        <f>visualmagnitude($B$2,astrodaysfromdt(A118))</f>
        <v>#VALUE!</v>
      </c>
      <c r="F118" s="15" t="e">
        <f>apparentsize($B$2, astrodaysfromdt(A118))</f>
        <v>#VALUE!</v>
      </c>
    </row>
    <row r="119" spans="1:6" x14ac:dyDescent="0.25">
      <c r="A119" s="1">
        <f t="shared" si="13"/>
        <v>45381</v>
      </c>
      <c r="B119" s="12" t="e">
        <f t="shared" si="10"/>
        <v>#VALUE!</v>
      </c>
      <c r="C119" s="14" t="e">
        <f t="shared" si="11"/>
        <v>#VALUE!</v>
      </c>
      <c r="D119" s="12" t="e">
        <f t="shared" si="12"/>
        <v>#VALUE!</v>
      </c>
      <c r="E119" s="25" t="e">
        <f>visualmagnitude($B$2,astrodaysfromdt(A119))</f>
        <v>#VALUE!</v>
      </c>
      <c r="F119" s="15" t="e">
        <f>apparentsize($B$2, astrodaysfromdt(A119))</f>
        <v>#VALUE!</v>
      </c>
    </row>
    <row r="120" spans="1:6" x14ac:dyDescent="0.25">
      <c r="A120" s="1">
        <f t="shared" si="13"/>
        <v>45401</v>
      </c>
      <c r="B120" s="12" t="e">
        <f t="shared" si="10"/>
        <v>#VALUE!</v>
      </c>
      <c r="C120" s="14" t="e">
        <f t="shared" si="11"/>
        <v>#VALUE!</v>
      </c>
      <c r="D120" s="12" t="e">
        <f t="shared" si="12"/>
        <v>#VALUE!</v>
      </c>
      <c r="E120" s="25" t="e">
        <f>visualmagnitude($B$2,astrodaysfromdt(A120))</f>
        <v>#VALUE!</v>
      </c>
      <c r="F120" s="15" t="e">
        <f>apparentsize($B$2, astrodaysfromdt(A120))</f>
        <v>#VALUE!</v>
      </c>
    </row>
    <row r="121" spans="1:6" x14ac:dyDescent="0.25">
      <c r="A121" s="1">
        <f t="shared" si="13"/>
        <v>45421</v>
      </c>
      <c r="B121" s="12" t="e">
        <f t="shared" si="10"/>
        <v>#VALUE!</v>
      </c>
      <c r="C121" s="14" t="e">
        <f t="shared" si="11"/>
        <v>#VALUE!</v>
      </c>
      <c r="D121" s="12" t="e">
        <f t="shared" si="12"/>
        <v>#VALUE!</v>
      </c>
      <c r="E121" s="25" t="e">
        <f>visualmagnitude($B$2,astrodaysfromdt(A121))</f>
        <v>#VALUE!</v>
      </c>
      <c r="F121" s="15" t="e">
        <f>apparentsize($B$2, astrodaysfromdt(A121))</f>
        <v>#VALUE!</v>
      </c>
    </row>
    <row r="122" spans="1:6" x14ac:dyDescent="0.25">
      <c r="A122" s="1">
        <f t="shared" si="13"/>
        <v>45441</v>
      </c>
      <c r="B122" s="12" t="e">
        <f t="shared" si="10"/>
        <v>#VALUE!</v>
      </c>
      <c r="C122" s="14" t="e">
        <f t="shared" si="11"/>
        <v>#VALUE!</v>
      </c>
      <c r="D122" s="12" t="e">
        <f t="shared" si="12"/>
        <v>#VALUE!</v>
      </c>
      <c r="E122" s="25" t="e">
        <f>visualmagnitude($B$2,astrodaysfromdt(A122))</f>
        <v>#VALUE!</v>
      </c>
      <c r="F122" s="15" t="e">
        <f>apparentsize($B$2, astrodaysfromdt(A122))</f>
        <v>#VALUE!</v>
      </c>
    </row>
    <row r="123" spans="1:6" x14ac:dyDescent="0.25">
      <c r="A123" s="1">
        <f t="shared" si="13"/>
        <v>45461</v>
      </c>
      <c r="B123" s="12" t="e">
        <f t="shared" si="10"/>
        <v>#VALUE!</v>
      </c>
      <c r="C123" s="14" t="e">
        <f t="shared" si="11"/>
        <v>#VALUE!</v>
      </c>
      <c r="D123" s="12" t="e">
        <f t="shared" si="12"/>
        <v>#VALUE!</v>
      </c>
      <c r="E123" s="25" t="e">
        <f>visualmagnitude($B$2,astrodaysfromdt(A123))</f>
        <v>#VALUE!</v>
      </c>
      <c r="F123" s="15" t="e">
        <f>apparentsize($B$2, astrodaysfromdt(A123))</f>
        <v>#VALUE!</v>
      </c>
    </row>
    <row r="124" spans="1:6" x14ac:dyDescent="0.25">
      <c r="A124" s="1">
        <f t="shared" si="13"/>
        <v>45481</v>
      </c>
      <c r="B124" s="12" t="e">
        <f t="shared" si="10"/>
        <v>#VALUE!</v>
      </c>
      <c r="C124" s="14" t="e">
        <f t="shared" si="11"/>
        <v>#VALUE!</v>
      </c>
      <c r="D124" s="12" t="e">
        <f t="shared" si="12"/>
        <v>#VALUE!</v>
      </c>
      <c r="E124" s="25" t="e">
        <f>visualmagnitude($B$2,astrodaysfromdt(A124))</f>
        <v>#VALUE!</v>
      </c>
      <c r="F124" s="15" t="e">
        <f>apparentsize($B$2, astrodaysfromdt(A124))</f>
        <v>#VALUE!</v>
      </c>
    </row>
    <row r="125" spans="1:6" x14ac:dyDescent="0.25">
      <c r="A125" s="1">
        <f t="shared" si="13"/>
        <v>45501</v>
      </c>
      <c r="B125" s="12" t="e">
        <f t="shared" si="10"/>
        <v>#VALUE!</v>
      </c>
      <c r="C125" s="14" t="e">
        <f t="shared" si="11"/>
        <v>#VALUE!</v>
      </c>
      <c r="D125" s="12" t="e">
        <f t="shared" si="12"/>
        <v>#VALUE!</v>
      </c>
      <c r="E125" s="25" t="e">
        <f>visualmagnitude($B$2,astrodaysfromdt(A125))</f>
        <v>#VALUE!</v>
      </c>
      <c r="F125" s="15" t="e">
        <f>apparentsize($B$2, astrodaysfromdt(A125))</f>
        <v>#VALUE!</v>
      </c>
    </row>
    <row r="126" spans="1:6" x14ac:dyDescent="0.25">
      <c r="A126" s="1">
        <f t="shared" si="13"/>
        <v>45521</v>
      </c>
      <c r="B126" s="12" t="e">
        <f t="shared" si="10"/>
        <v>#VALUE!</v>
      </c>
      <c r="C126" s="14" t="e">
        <f t="shared" si="11"/>
        <v>#VALUE!</v>
      </c>
      <c r="D126" s="12" t="e">
        <f t="shared" si="12"/>
        <v>#VALUE!</v>
      </c>
      <c r="E126" s="25" t="e">
        <f>visualmagnitude($B$2,astrodaysfromdt(A126))</f>
        <v>#VALUE!</v>
      </c>
      <c r="F126" s="15" t="e">
        <f>apparentsize($B$2, astrodaysfromdt(A126))</f>
        <v>#VALUE!</v>
      </c>
    </row>
    <row r="127" spans="1:6" x14ac:dyDescent="0.25">
      <c r="A127" s="1">
        <f t="shared" si="13"/>
        <v>45541</v>
      </c>
      <c r="B127" s="12" t="e">
        <f t="shared" si="10"/>
        <v>#VALUE!</v>
      </c>
      <c r="C127" s="14" t="e">
        <f t="shared" si="11"/>
        <v>#VALUE!</v>
      </c>
      <c r="D127" s="12" t="e">
        <f t="shared" si="12"/>
        <v>#VALUE!</v>
      </c>
      <c r="E127" s="25" t="e">
        <f>visualmagnitude($B$2,astrodaysfromdt(A127))</f>
        <v>#VALUE!</v>
      </c>
      <c r="F127" s="15" t="e">
        <f>apparentsize($B$2, astrodaysfromdt(A127))</f>
        <v>#VALUE!</v>
      </c>
    </row>
    <row r="128" spans="1:6" x14ac:dyDescent="0.25">
      <c r="A128" s="1">
        <f t="shared" si="13"/>
        <v>45561</v>
      </c>
      <c r="B128" s="12" t="e">
        <f t="shared" si="10"/>
        <v>#VALUE!</v>
      </c>
      <c r="C128" s="14" t="e">
        <f t="shared" si="11"/>
        <v>#VALUE!</v>
      </c>
      <c r="D128" s="12" t="e">
        <f t="shared" si="12"/>
        <v>#VALUE!</v>
      </c>
      <c r="E128" s="25" t="e">
        <f>visualmagnitude($B$2,astrodaysfromdt(A128))</f>
        <v>#VALUE!</v>
      </c>
      <c r="F128" s="15" t="e">
        <f>apparentsize($B$2, astrodaysfromdt(A128))</f>
        <v>#VALUE!</v>
      </c>
    </row>
    <row r="129" spans="1:6" x14ac:dyDescent="0.25">
      <c r="A129" s="1">
        <f t="shared" si="13"/>
        <v>45581</v>
      </c>
      <c r="B129" s="12" t="e">
        <f t="shared" si="10"/>
        <v>#VALUE!</v>
      </c>
      <c r="C129" s="14" t="e">
        <f t="shared" si="11"/>
        <v>#VALUE!</v>
      </c>
      <c r="D129" s="12" t="e">
        <f t="shared" si="12"/>
        <v>#VALUE!</v>
      </c>
      <c r="E129" s="25" t="e">
        <f>visualmagnitude($B$2,astrodaysfromdt(A129))</f>
        <v>#VALUE!</v>
      </c>
      <c r="F129" s="15" t="e">
        <f>apparentsize($B$2, astrodaysfromdt(A129))</f>
        <v>#VALUE!</v>
      </c>
    </row>
    <row r="130" spans="1:6" x14ac:dyDescent="0.25">
      <c r="A130" s="1">
        <f t="shared" si="13"/>
        <v>45601</v>
      </c>
      <c r="B130" s="12" t="e">
        <f t="shared" si="10"/>
        <v>#VALUE!</v>
      </c>
      <c r="C130" s="14" t="e">
        <f t="shared" si="11"/>
        <v>#VALUE!</v>
      </c>
      <c r="D130" s="12" t="e">
        <f t="shared" si="12"/>
        <v>#VALUE!</v>
      </c>
      <c r="E130" s="25" t="e">
        <f>visualmagnitude($B$2,astrodaysfromdt(A130))</f>
        <v>#VALUE!</v>
      </c>
      <c r="F130" s="15" t="e">
        <f>apparentsize($B$2, astrodaysfromdt(A130))</f>
        <v>#VALUE!</v>
      </c>
    </row>
    <row r="131" spans="1:6" x14ac:dyDescent="0.25">
      <c r="A131" s="1">
        <f t="shared" si="13"/>
        <v>45621</v>
      </c>
      <c r="B131" s="12" t="e">
        <f t="shared" si="10"/>
        <v>#VALUE!</v>
      </c>
      <c r="C131" s="14" t="e">
        <f t="shared" si="11"/>
        <v>#VALUE!</v>
      </c>
      <c r="D131" s="12" t="e">
        <f t="shared" si="12"/>
        <v>#VALUE!</v>
      </c>
      <c r="E131" s="25" t="e">
        <f>visualmagnitude($B$2,astrodaysfromdt(A131))</f>
        <v>#VALUE!</v>
      </c>
      <c r="F131" s="15" t="e">
        <f>apparentsize($B$2, astrodaysfromdt(A131))</f>
        <v>#VALUE!</v>
      </c>
    </row>
    <row r="132" spans="1:6" x14ac:dyDescent="0.25">
      <c r="A132" s="1">
        <f t="shared" si="13"/>
        <v>45641</v>
      </c>
      <c r="B132" s="12" t="e">
        <f t="shared" si="10"/>
        <v>#VALUE!</v>
      </c>
      <c r="C132" s="14" t="e">
        <f t="shared" si="11"/>
        <v>#VALUE!</v>
      </c>
      <c r="D132" s="12" t="e">
        <f t="shared" si="12"/>
        <v>#VALUE!</v>
      </c>
      <c r="E132" s="25" t="e">
        <f>visualmagnitude($B$2,astrodaysfromdt(A132))</f>
        <v>#VALUE!</v>
      </c>
      <c r="F132" s="15" t="e">
        <f>apparentsize($B$2, astrodaysfromdt(A132))</f>
        <v>#VALUE!</v>
      </c>
    </row>
    <row r="133" spans="1:6" x14ac:dyDescent="0.25">
      <c r="A133" s="1">
        <f t="shared" si="13"/>
        <v>45661</v>
      </c>
      <c r="B133" s="12" t="e">
        <f t="shared" si="10"/>
        <v>#VALUE!</v>
      </c>
      <c r="C133" s="14" t="e">
        <f t="shared" ref="C133:C148" si="14">isvisible(B$2,A133,$B$1,$C$1,$C$2,1,temp,pres)</f>
        <v>#VALUE!</v>
      </c>
      <c r="D133" s="12" t="e">
        <f t="shared" ref="D133:D148" si="15">isvisible(B$2,A133,$B$1,$C$1,$C$2,2,temp,pres)</f>
        <v>#VALUE!</v>
      </c>
      <c r="E133" s="25" t="e">
        <f>visualmagnitude($B$2,astrodaysfromdt(A133))</f>
        <v>#VALUE!</v>
      </c>
      <c r="F133" s="15" t="e">
        <f>apparentsize($B$2, astrodaysfromdt(A133))</f>
        <v>#VALUE!</v>
      </c>
    </row>
    <row r="134" spans="1:6" x14ac:dyDescent="0.25">
      <c r="A134" s="1">
        <f t="shared" ref="A134:A148" si="16">DATE(YEAR(A133), IF(unt="m",intvl,0)+MONTH(A133), IF(unt="m", 0,intvl)+DAY(A133))</f>
        <v>45681</v>
      </c>
      <c r="B134" s="12" t="e">
        <f t="shared" ref="B134:B148" si="17">TimeofTransit(B$2,$A134,$B$1, $C$1)/24</f>
        <v>#VALUE!</v>
      </c>
      <c r="C134" s="14" t="e">
        <f t="shared" si="14"/>
        <v>#VALUE!</v>
      </c>
      <c r="D134" s="12" t="e">
        <f t="shared" si="15"/>
        <v>#VALUE!</v>
      </c>
      <c r="E134" s="25" t="e">
        <f>visualmagnitude($B$2,astrodaysfromdt(A134))</f>
        <v>#VALUE!</v>
      </c>
      <c r="F134" s="15" t="e">
        <f>apparentsize($B$2, astrodaysfromdt(A134))</f>
        <v>#VALUE!</v>
      </c>
    </row>
    <row r="135" spans="1:6" x14ac:dyDescent="0.25">
      <c r="A135" s="1">
        <f t="shared" si="16"/>
        <v>45701</v>
      </c>
      <c r="B135" s="12" t="e">
        <f t="shared" si="17"/>
        <v>#VALUE!</v>
      </c>
      <c r="C135" s="14" t="e">
        <f t="shared" si="14"/>
        <v>#VALUE!</v>
      </c>
      <c r="D135" s="12" t="e">
        <f t="shared" si="15"/>
        <v>#VALUE!</v>
      </c>
      <c r="E135" s="25" t="e">
        <f>visualmagnitude($B$2,astrodaysfromdt(A135))</f>
        <v>#VALUE!</v>
      </c>
      <c r="F135" s="15" t="e">
        <f>apparentsize($B$2, astrodaysfromdt(A135))</f>
        <v>#VALUE!</v>
      </c>
    </row>
    <row r="136" spans="1:6" x14ac:dyDescent="0.25">
      <c r="A136" s="1">
        <f t="shared" si="16"/>
        <v>45721</v>
      </c>
      <c r="B136" s="12" t="e">
        <f t="shared" si="17"/>
        <v>#VALUE!</v>
      </c>
      <c r="C136" s="14" t="e">
        <f t="shared" si="14"/>
        <v>#VALUE!</v>
      </c>
      <c r="D136" s="12" t="e">
        <f t="shared" si="15"/>
        <v>#VALUE!</v>
      </c>
      <c r="E136" s="25" t="e">
        <f>visualmagnitude($B$2,astrodaysfromdt(A136))</f>
        <v>#VALUE!</v>
      </c>
      <c r="F136" s="15" t="e">
        <f>apparentsize($B$2, astrodaysfromdt(A136))</f>
        <v>#VALUE!</v>
      </c>
    </row>
    <row r="137" spans="1:6" x14ac:dyDescent="0.25">
      <c r="A137" s="1">
        <f t="shared" si="16"/>
        <v>45741</v>
      </c>
      <c r="B137" s="12" t="e">
        <f t="shared" si="17"/>
        <v>#VALUE!</v>
      </c>
      <c r="C137" s="14" t="e">
        <f t="shared" si="14"/>
        <v>#VALUE!</v>
      </c>
      <c r="D137" s="12" t="e">
        <f t="shared" si="15"/>
        <v>#VALUE!</v>
      </c>
      <c r="E137" s="25" t="e">
        <f>visualmagnitude($B$2,astrodaysfromdt(A137))</f>
        <v>#VALUE!</v>
      </c>
      <c r="F137" s="15" t="e">
        <f>apparentsize($B$2, astrodaysfromdt(A137))</f>
        <v>#VALUE!</v>
      </c>
    </row>
    <row r="138" spans="1:6" x14ac:dyDescent="0.25">
      <c r="A138" s="1">
        <f t="shared" si="16"/>
        <v>45761</v>
      </c>
      <c r="B138" s="12" t="e">
        <f t="shared" si="17"/>
        <v>#VALUE!</v>
      </c>
      <c r="C138" s="14" t="e">
        <f t="shared" si="14"/>
        <v>#VALUE!</v>
      </c>
      <c r="D138" s="12" t="e">
        <f t="shared" si="15"/>
        <v>#VALUE!</v>
      </c>
      <c r="E138" s="25" t="e">
        <f>visualmagnitude($B$2,astrodaysfromdt(A138))</f>
        <v>#VALUE!</v>
      </c>
      <c r="F138" s="15" t="e">
        <f>apparentsize($B$2, astrodaysfromdt(A138))</f>
        <v>#VALUE!</v>
      </c>
    </row>
    <row r="139" spans="1:6" x14ac:dyDescent="0.25">
      <c r="A139" s="1">
        <f t="shared" si="16"/>
        <v>45781</v>
      </c>
      <c r="B139" s="12" t="e">
        <f t="shared" si="17"/>
        <v>#VALUE!</v>
      </c>
      <c r="C139" s="14" t="e">
        <f t="shared" si="14"/>
        <v>#VALUE!</v>
      </c>
      <c r="D139" s="12" t="e">
        <f t="shared" si="15"/>
        <v>#VALUE!</v>
      </c>
      <c r="E139" s="25" t="e">
        <f>visualmagnitude($B$2,astrodaysfromdt(A139))</f>
        <v>#VALUE!</v>
      </c>
      <c r="F139" s="15" t="e">
        <f>apparentsize($B$2, astrodaysfromdt(A139))</f>
        <v>#VALUE!</v>
      </c>
    </row>
    <row r="140" spans="1:6" x14ac:dyDescent="0.25">
      <c r="A140" s="1">
        <f t="shared" si="16"/>
        <v>45801</v>
      </c>
      <c r="B140" s="12" t="e">
        <f t="shared" si="17"/>
        <v>#VALUE!</v>
      </c>
      <c r="C140" s="14" t="e">
        <f t="shared" si="14"/>
        <v>#VALUE!</v>
      </c>
      <c r="D140" s="12" t="e">
        <f t="shared" si="15"/>
        <v>#VALUE!</v>
      </c>
      <c r="E140" s="25" t="e">
        <f>visualmagnitude($B$2,astrodaysfromdt(A140))</f>
        <v>#VALUE!</v>
      </c>
      <c r="F140" s="15" t="e">
        <f>apparentsize($B$2, astrodaysfromdt(A140))</f>
        <v>#VALUE!</v>
      </c>
    </row>
    <row r="141" spans="1:6" x14ac:dyDescent="0.25">
      <c r="A141" s="1">
        <f t="shared" si="16"/>
        <v>45821</v>
      </c>
      <c r="B141" s="12" t="e">
        <f t="shared" si="17"/>
        <v>#VALUE!</v>
      </c>
      <c r="C141" s="14" t="e">
        <f t="shared" si="14"/>
        <v>#VALUE!</v>
      </c>
      <c r="D141" s="12" t="e">
        <f t="shared" si="15"/>
        <v>#VALUE!</v>
      </c>
      <c r="E141" s="25" t="e">
        <f>visualmagnitude($B$2,astrodaysfromdt(A141))</f>
        <v>#VALUE!</v>
      </c>
      <c r="F141" s="15" t="e">
        <f>apparentsize($B$2, astrodaysfromdt(A141))</f>
        <v>#VALUE!</v>
      </c>
    </row>
    <row r="142" spans="1:6" x14ac:dyDescent="0.25">
      <c r="A142" s="1">
        <f t="shared" si="16"/>
        <v>45841</v>
      </c>
      <c r="B142" s="12" t="e">
        <f t="shared" si="17"/>
        <v>#VALUE!</v>
      </c>
      <c r="C142" s="14" t="e">
        <f t="shared" si="14"/>
        <v>#VALUE!</v>
      </c>
      <c r="D142" s="12" t="e">
        <f t="shared" si="15"/>
        <v>#VALUE!</v>
      </c>
      <c r="E142" s="25" t="e">
        <f>visualmagnitude($B$2,astrodaysfromdt(A142))</f>
        <v>#VALUE!</v>
      </c>
      <c r="F142" s="15" t="e">
        <f>apparentsize($B$2, astrodaysfromdt(A142))</f>
        <v>#VALUE!</v>
      </c>
    </row>
    <row r="143" spans="1:6" x14ac:dyDescent="0.25">
      <c r="A143" s="1">
        <f t="shared" si="16"/>
        <v>45861</v>
      </c>
      <c r="B143" s="12" t="e">
        <f t="shared" si="17"/>
        <v>#VALUE!</v>
      </c>
      <c r="C143" s="14" t="e">
        <f t="shared" si="14"/>
        <v>#VALUE!</v>
      </c>
      <c r="D143" s="12" t="e">
        <f t="shared" si="15"/>
        <v>#VALUE!</v>
      </c>
      <c r="E143" s="25" t="e">
        <f>visualmagnitude($B$2,astrodaysfromdt(A143))</f>
        <v>#VALUE!</v>
      </c>
      <c r="F143" s="15" t="e">
        <f>apparentsize($B$2, astrodaysfromdt(A143))</f>
        <v>#VALUE!</v>
      </c>
    </row>
    <row r="144" spans="1:6" x14ac:dyDescent="0.25">
      <c r="A144" s="1">
        <f t="shared" si="16"/>
        <v>45881</v>
      </c>
      <c r="B144" s="12" t="e">
        <f t="shared" si="17"/>
        <v>#VALUE!</v>
      </c>
      <c r="C144" s="14" t="e">
        <f t="shared" si="14"/>
        <v>#VALUE!</v>
      </c>
      <c r="D144" s="12" t="e">
        <f t="shared" si="15"/>
        <v>#VALUE!</v>
      </c>
      <c r="E144" s="25" t="e">
        <f>visualmagnitude($B$2,astrodaysfromdt(A144))</f>
        <v>#VALUE!</v>
      </c>
      <c r="F144" s="15" t="e">
        <f>apparentsize($B$2, astrodaysfromdt(A144))</f>
        <v>#VALUE!</v>
      </c>
    </row>
    <row r="145" spans="1:6" x14ac:dyDescent="0.25">
      <c r="A145" s="1">
        <f t="shared" si="16"/>
        <v>45901</v>
      </c>
      <c r="B145" s="12" t="e">
        <f t="shared" si="17"/>
        <v>#VALUE!</v>
      </c>
      <c r="C145" s="14" t="e">
        <f t="shared" si="14"/>
        <v>#VALUE!</v>
      </c>
      <c r="D145" s="12" t="e">
        <f t="shared" si="15"/>
        <v>#VALUE!</v>
      </c>
      <c r="E145" s="25" t="e">
        <f>visualmagnitude($B$2,astrodaysfromdt(A145))</f>
        <v>#VALUE!</v>
      </c>
      <c r="F145" s="15" t="e">
        <f>apparentsize($B$2, astrodaysfromdt(A145))</f>
        <v>#VALUE!</v>
      </c>
    </row>
    <row r="146" spans="1:6" x14ac:dyDescent="0.25">
      <c r="A146" s="1">
        <f t="shared" si="16"/>
        <v>45921</v>
      </c>
      <c r="B146" s="12" t="e">
        <f t="shared" si="17"/>
        <v>#VALUE!</v>
      </c>
      <c r="C146" s="14" t="e">
        <f t="shared" si="14"/>
        <v>#VALUE!</v>
      </c>
      <c r="D146" s="12" t="e">
        <f t="shared" si="15"/>
        <v>#VALUE!</v>
      </c>
      <c r="E146" s="25" t="e">
        <f>visualmagnitude($B$2,astrodaysfromdt(A146))</f>
        <v>#VALUE!</v>
      </c>
      <c r="F146" s="15" t="e">
        <f>apparentsize($B$2, astrodaysfromdt(A146))</f>
        <v>#VALUE!</v>
      </c>
    </row>
    <row r="147" spans="1:6" x14ac:dyDescent="0.25">
      <c r="A147" s="1">
        <f t="shared" si="16"/>
        <v>45941</v>
      </c>
      <c r="B147" s="12" t="e">
        <f t="shared" si="17"/>
        <v>#VALUE!</v>
      </c>
      <c r="C147" s="14" t="e">
        <f t="shared" si="14"/>
        <v>#VALUE!</v>
      </c>
      <c r="D147" s="12" t="e">
        <f t="shared" si="15"/>
        <v>#VALUE!</v>
      </c>
      <c r="E147" s="25" t="e">
        <f>visualmagnitude($B$2,astrodaysfromdt(A147))</f>
        <v>#VALUE!</v>
      </c>
      <c r="F147" s="15" t="e">
        <f>apparentsize($B$2, astrodaysfromdt(A147))</f>
        <v>#VALUE!</v>
      </c>
    </row>
    <row r="148" spans="1:6" x14ac:dyDescent="0.25">
      <c r="A148" s="1">
        <f t="shared" si="16"/>
        <v>45961</v>
      </c>
      <c r="B148" s="12" t="e">
        <f t="shared" si="17"/>
        <v>#VALUE!</v>
      </c>
      <c r="C148" s="14" t="e">
        <f t="shared" si="14"/>
        <v>#VALUE!</v>
      </c>
      <c r="D148" s="12" t="e">
        <f t="shared" si="15"/>
        <v>#VALUE!</v>
      </c>
      <c r="E148" s="25" t="e">
        <f>visualmagnitude($B$2,astrodaysfromdt(A148))</f>
        <v>#VALUE!</v>
      </c>
      <c r="F148" s="15" t="e">
        <f>apparentsize($B$2, astrodaysfromdt(A148))</f>
        <v>#VALUE!</v>
      </c>
    </row>
    <row r="149" spans="1:6" x14ac:dyDescent="0.25">
      <c r="A149" s="1"/>
      <c r="B149" s="12"/>
      <c r="C149" s="14"/>
    </row>
    <row r="150" spans="1:6" x14ac:dyDescent="0.25">
      <c r="A150" s="1"/>
      <c r="B150" s="12"/>
      <c r="C150" s="14"/>
    </row>
    <row r="151" spans="1:6" x14ac:dyDescent="0.25">
      <c r="A151" s="1"/>
      <c r="B151" s="12"/>
      <c r="C151" s="14"/>
    </row>
    <row r="152" spans="1:6" x14ac:dyDescent="0.25">
      <c r="A152" s="1"/>
      <c r="B152" s="12"/>
      <c r="C152" s="14"/>
    </row>
    <row r="153" spans="1:6" x14ac:dyDescent="0.25">
      <c r="A153" s="1"/>
      <c r="B153" s="12"/>
      <c r="C153" s="14"/>
    </row>
    <row r="154" spans="1:6" x14ac:dyDescent="0.25">
      <c r="A154" s="1"/>
      <c r="B154" s="8"/>
    </row>
    <row r="155" spans="1:6" x14ac:dyDescent="0.25">
      <c r="A155" s="1"/>
      <c r="B155" s="8"/>
    </row>
    <row r="156" spans="1:6" x14ac:dyDescent="0.25">
      <c r="A156" s="1"/>
      <c r="B156" s="8"/>
    </row>
    <row r="157" spans="1:6" x14ac:dyDescent="0.25">
      <c r="A157" s="1"/>
      <c r="B157" s="8"/>
    </row>
    <row r="158" spans="1:6" x14ac:dyDescent="0.25">
      <c r="A158" s="1"/>
      <c r="B158" s="8"/>
    </row>
    <row r="159" spans="1:6" x14ac:dyDescent="0.25">
      <c r="A159" s="1"/>
      <c r="B159" s="8"/>
    </row>
    <row r="160" spans="1:6" x14ac:dyDescent="0.25">
      <c r="A160" s="1"/>
      <c r="B160" s="8"/>
    </row>
    <row r="161" spans="1:2" x14ac:dyDescent="0.25">
      <c r="A161" s="1"/>
      <c r="B161" s="8"/>
    </row>
    <row r="162" spans="1:2" x14ac:dyDescent="0.25">
      <c r="A162" s="1"/>
      <c r="B162" s="8"/>
    </row>
    <row r="163" spans="1:2" x14ac:dyDescent="0.25">
      <c r="A163" s="1"/>
      <c r="B163" s="8"/>
    </row>
    <row r="164" spans="1:2" x14ac:dyDescent="0.25">
      <c r="A164" s="1"/>
      <c r="B164" s="8"/>
    </row>
    <row r="165" spans="1:2" x14ac:dyDescent="0.25">
      <c r="A165" s="1"/>
      <c r="B165" s="8"/>
    </row>
    <row r="166" spans="1:2" x14ac:dyDescent="0.25">
      <c r="A166" s="1"/>
      <c r="B166" s="8"/>
    </row>
    <row r="167" spans="1:2" x14ac:dyDescent="0.25">
      <c r="A167" s="1"/>
      <c r="B167" s="8"/>
    </row>
    <row r="168" spans="1:2" x14ac:dyDescent="0.25">
      <c r="A168" s="1"/>
      <c r="B168" s="8"/>
    </row>
    <row r="169" spans="1:2" x14ac:dyDescent="0.25">
      <c r="A169" s="1"/>
      <c r="B169" s="8"/>
    </row>
    <row r="170" spans="1:2" x14ac:dyDescent="0.25">
      <c r="A170" s="1"/>
      <c r="B170" s="8"/>
    </row>
    <row r="171" spans="1:2" x14ac:dyDescent="0.25">
      <c r="A171" s="1"/>
      <c r="B171" s="8"/>
    </row>
    <row r="172" spans="1:2" x14ac:dyDescent="0.25">
      <c r="A172" s="1"/>
      <c r="B172" s="8"/>
    </row>
    <row r="173" spans="1:2" x14ac:dyDescent="0.25">
      <c r="A173" s="1"/>
      <c r="B173" s="8"/>
    </row>
    <row r="174" spans="1:2" x14ac:dyDescent="0.25">
      <c r="A174" s="1"/>
      <c r="B174" s="8"/>
    </row>
    <row r="175" spans="1:2" x14ac:dyDescent="0.25">
      <c r="A175" s="1"/>
      <c r="B175" s="8"/>
    </row>
    <row r="176" spans="1:2" x14ac:dyDescent="0.25">
      <c r="A176" s="1"/>
      <c r="B176" s="8"/>
    </row>
    <row r="177" spans="1:2" x14ac:dyDescent="0.25">
      <c r="A177" s="1"/>
      <c r="B177" s="8"/>
    </row>
    <row r="178" spans="1:2" x14ac:dyDescent="0.25">
      <c r="A178" s="1"/>
      <c r="B178" s="8"/>
    </row>
    <row r="179" spans="1:2" x14ac:dyDescent="0.25">
      <c r="A179" s="1"/>
      <c r="B179" s="8"/>
    </row>
    <row r="180" spans="1:2" x14ac:dyDescent="0.25">
      <c r="A180" s="1"/>
      <c r="B180" s="8"/>
    </row>
    <row r="181" spans="1:2" x14ac:dyDescent="0.25">
      <c r="A181" s="1"/>
      <c r="B181" s="8"/>
    </row>
    <row r="182" spans="1:2" x14ac:dyDescent="0.25">
      <c r="A182" s="1"/>
      <c r="B182" s="8"/>
    </row>
    <row r="183" spans="1:2" x14ac:dyDescent="0.25">
      <c r="A183" s="1"/>
      <c r="B183" s="8"/>
    </row>
    <row r="184" spans="1:2" x14ac:dyDescent="0.25">
      <c r="A184" s="1"/>
      <c r="B184" s="8"/>
    </row>
    <row r="185" spans="1:2" x14ac:dyDescent="0.25">
      <c r="A185" s="1"/>
      <c r="B185" s="8"/>
    </row>
    <row r="186" spans="1:2" x14ac:dyDescent="0.25">
      <c r="A186" s="1"/>
      <c r="B186" s="8"/>
    </row>
    <row r="187" spans="1:2" x14ac:dyDescent="0.25">
      <c r="A187" s="1"/>
      <c r="B187" s="8"/>
    </row>
    <row r="188" spans="1:2" x14ac:dyDescent="0.25">
      <c r="A188" s="1"/>
      <c r="B188" s="8"/>
    </row>
    <row r="189" spans="1:2" x14ac:dyDescent="0.25">
      <c r="A189" s="1"/>
      <c r="B189" s="8"/>
    </row>
    <row r="190" spans="1:2" x14ac:dyDescent="0.25">
      <c r="A190" s="1"/>
      <c r="B190" s="8"/>
    </row>
    <row r="191" spans="1:2" x14ac:dyDescent="0.25">
      <c r="A191" s="1"/>
      <c r="B191" s="8"/>
    </row>
    <row r="192" spans="1:2" x14ac:dyDescent="0.25">
      <c r="A192" s="1"/>
      <c r="B192" s="8"/>
    </row>
    <row r="193" spans="1:2" x14ac:dyDescent="0.25">
      <c r="A193" s="1"/>
      <c r="B193" s="8"/>
    </row>
    <row r="194" spans="1:2" x14ac:dyDescent="0.25">
      <c r="A194" s="1"/>
      <c r="B194" s="8"/>
    </row>
    <row r="195" spans="1:2" x14ac:dyDescent="0.25">
      <c r="A195" s="1"/>
      <c r="B195" s="8"/>
    </row>
    <row r="196" spans="1:2" x14ac:dyDescent="0.25">
      <c r="A196" s="1"/>
      <c r="B196" s="8"/>
    </row>
    <row r="197" spans="1:2" x14ac:dyDescent="0.25">
      <c r="A197" s="1"/>
      <c r="B197" s="8"/>
    </row>
    <row r="198" spans="1:2" x14ac:dyDescent="0.25">
      <c r="A198" s="1"/>
      <c r="B198" s="8"/>
    </row>
    <row r="199" spans="1:2" x14ac:dyDescent="0.25">
      <c r="A199" s="1"/>
      <c r="B199" s="8"/>
    </row>
    <row r="200" spans="1:2" x14ac:dyDescent="0.25">
      <c r="A200" s="1"/>
      <c r="B200" s="8"/>
    </row>
    <row r="201" spans="1:2" x14ac:dyDescent="0.25">
      <c r="A201" s="1"/>
      <c r="B201" s="8"/>
    </row>
    <row r="202" spans="1:2" x14ac:dyDescent="0.25">
      <c r="A202" s="1"/>
      <c r="B202" s="8"/>
    </row>
    <row r="203" spans="1:2" x14ac:dyDescent="0.25">
      <c r="A203" s="1"/>
      <c r="B203" s="8"/>
    </row>
    <row r="204" spans="1:2" x14ac:dyDescent="0.25">
      <c r="A204" s="1"/>
      <c r="B204" s="8"/>
    </row>
    <row r="205" spans="1:2" x14ac:dyDescent="0.25">
      <c r="A205" s="1"/>
      <c r="B205" s="8"/>
    </row>
    <row r="206" spans="1:2" x14ac:dyDescent="0.25">
      <c r="A206" s="1"/>
      <c r="B206" s="8"/>
    </row>
    <row r="207" spans="1:2" x14ac:dyDescent="0.25">
      <c r="A207" s="1"/>
      <c r="B207" s="8"/>
    </row>
    <row r="208" spans="1:2" x14ac:dyDescent="0.25">
      <c r="A208" s="1"/>
      <c r="B208" s="8"/>
    </row>
    <row r="209" spans="1:2" x14ac:dyDescent="0.25">
      <c r="A209" s="1"/>
      <c r="B209" s="8"/>
    </row>
    <row r="210" spans="1:2" x14ac:dyDescent="0.25">
      <c r="A210" s="1"/>
      <c r="B210" s="8"/>
    </row>
    <row r="211" spans="1:2" x14ac:dyDescent="0.25">
      <c r="A211" s="1"/>
      <c r="B211" s="8"/>
    </row>
    <row r="212" spans="1:2" x14ac:dyDescent="0.25">
      <c r="A212" s="1"/>
      <c r="B212" s="8"/>
    </row>
    <row r="213" spans="1:2" x14ac:dyDescent="0.25">
      <c r="A213" s="1"/>
      <c r="B213" s="8"/>
    </row>
    <row r="214" spans="1:2" x14ac:dyDescent="0.25">
      <c r="A214" s="1"/>
      <c r="B214" s="8"/>
    </row>
    <row r="215" spans="1:2" x14ac:dyDescent="0.25">
      <c r="A215" s="1"/>
      <c r="B215" s="8"/>
    </row>
    <row r="216" spans="1:2" x14ac:dyDescent="0.25">
      <c r="A216" s="1"/>
      <c r="B216" s="8"/>
    </row>
    <row r="217" spans="1:2" x14ac:dyDescent="0.25">
      <c r="A217" s="1"/>
      <c r="B217" s="8"/>
    </row>
    <row r="218" spans="1:2" x14ac:dyDescent="0.25">
      <c r="A218" s="1"/>
      <c r="B218" s="8"/>
    </row>
    <row r="219" spans="1:2" x14ac:dyDescent="0.25">
      <c r="A219" s="1"/>
      <c r="B219" s="8"/>
    </row>
    <row r="220" spans="1:2" x14ac:dyDescent="0.25">
      <c r="A220" s="1"/>
      <c r="B220" s="8"/>
    </row>
    <row r="221" spans="1:2" x14ac:dyDescent="0.25">
      <c r="A221" s="1"/>
      <c r="B221" s="8"/>
    </row>
    <row r="222" spans="1:2" x14ac:dyDescent="0.25">
      <c r="A222" s="1"/>
      <c r="B222" s="8"/>
    </row>
    <row r="223" spans="1:2" x14ac:dyDescent="0.25">
      <c r="A223" s="1"/>
      <c r="B223" s="8"/>
    </row>
    <row r="224" spans="1:2" x14ac:dyDescent="0.25">
      <c r="A224" s="1"/>
      <c r="B224" s="8"/>
    </row>
    <row r="225" spans="1:2" x14ac:dyDescent="0.25">
      <c r="A225" s="1"/>
      <c r="B225" s="8"/>
    </row>
    <row r="226" spans="1:2" x14ac:dyDescent="0.25">
      <c r="A226" s="1"/>
      <c r="B226" s="8"/>
    </row>
    <row r="227" spans="1:2" x14ac:dyDescent="0.25">
      <c r="A227" s="1"/>
      <c r="B227" s="8"/>
    </row>
    <row r="228" spans="1:2" x14ac:dyDescent="0.25">
      <c r="A228" s="1"/>
      <c r="B228" s="8"/>
    </row>
    <row r="229" spans="1:2" x14ac:dyDescent="0.25">
      <c r="A229" s="1"/>
      <c r="B229" s="8"/>
    </row>
    <row r="230" spans="1:2" x14ac:dyDescent="0.25">
      <c r="A230" s="1"/>
      <c r="B230" s="8"/>
    </row>
    <row r="231" spans="1:2" x14ac:dyDescent="0.25">
      <c r="A231" s="1"/>
      <c r="B231" s="8"/>
    </row>
    <row r="232" spans="1:2" x14ac:dyDescent="0.25">
      <c r="A232" s="1"/>
      <c r="B232" s="8"/>
    </row>
    <row r="233" spans="1:2" x14ac:dyDescent="0.25">
      <c r="A233" s="1"/>
      <c r="B233" s="8"/>
    </row>
    <row r="234" spans="1:2" x14ac:dyDescent="0.25">
      <c r="A234" s="1"/>
      <c r="B234" s="8"/>
    </row>
    <row r="235" spans="1:2" x14ac:dyDescent="0.25">
      <c r="A235" s="1"/>
      <c r="B235" s="8"/>
    </row>
    <row r="236" spans="1:2" x14ac:dyDescent="0.25">
      <c r="A236" s="1"/>
      <c r="B236" s="8"/>
    </row>
    <row r="237" spans="1:2" x14ac:dyDescent="0.25">
      <c r="A237" s="1"/>
      <c r="B237" s="8"/>
    </row>
    <row r="238" spans="1:2" x14ac:dyDescent="0.25">
      <c r="A238" s="1"/>
      <c r="B238" s="8"/>
    </row>
    <row r="239" spans="1:2" x14ac:dyDescent="0.25">
      <c r="A239" s="1"/>
      <c r="B239" s="8"/>
    </row>
    <row r="240" spans="1:2" x14ac:dyDescent="0.25">
      <c r="A240" s="1"/>
      <c r="B240" s="8"/>
    </row>
    <row r="241" spans="1:2" x14ac:dyDescent="0.25">
      <c r="A241" s="1"/>
      <c r="B241" s="8"/>
    </row>
    <row r="242" spans="1:2" x14ac:dyDescent="0.25">
      <c r="A242" s="1"/>
      <c r="B242" s="8"/>
    </row>
    <row r="243" spans="1:2" x14ac:dyDescent="0.25">
      <c r="A243" s="1"/>
      <c r="B243" s="8"/>
    </row>
    <row r="244" spans="1:2" x14ac:dyDescent="0.25">
      <c r="A244" s="1"/>
      <c r="B244" s="8"/>
    </row>
    <row r="245" spans="1:2" x14ac:dyDescent="0.25">
      <c r="A245" s="1"/>
      <c r="B245" s="8"/>
    </row>
    <row r="246" spans="1:2" x14ac:dyDescent="0.25">
      <c r="A246" s="1"/>
      <c r="B246" s="8"/>
    </row>
    <row r="247" spans="1:2" x14ac:dyDescent="0.25">
      <c r="A247" s="1"/>
      <c r="B247" s="8"/>
    </row>
    <row r="248" spans="1:2" x14ac:dyDescent="0.25">
      <c r="A248" s="1"/>
      <c r="B248" s="8"/>
    </row>
    <row r="249" spans="1:2" x14ac:dyDescent="0.25">
      <c r="A249" s="1"/>
      <c r="B249" s="8"/>
    </row>
    <row r="250" spans="1:2" x14ac:dyDescent="0.25">
      <c r="A250" s="1"/>
      <c r="B250" s="8"/>
    </row>
    <row r="251" spans="1:2" x14ac:dyDescent="0.25">
      <c r="A251" s="1"/>
      <c r="B251" s="8"/>
    </row>
    <row r="252" spans="1:2" x14ac:dyDescent="0.25">
      <c r="A252" s="1"/>
      <c r="B252" s="8"/>
    </row>
    <row r="253" spans="1:2" x14ac:dyDescent="0.25">
      <c r="A253" s="1"/>
      <c r="B253" s="8"/>
    </row>
    <row r="254" spans="1:2" x14ac:dyDescent="0.25">
      <c r="A254" s="1"/>
      <c r="B254" s="8"/>
    </row>
    <row r="255" spans="1:2" x14ac:dyDescent="0.25">
      <c r="A255" s="1"/>
      <c r="B255" s="8"/>
    </row>
    <row r="256" spans="1:2" x14ac:dyDescent="0.25">
      <c r="A256" s="1"/>
      <c r="B256" s="8"/>
    </row>
    <row r="257" spans="1:2" x14ac:dyDescent="0.25">
      <c r="A257" s="1"/>
      <c r="B257" s="8"/>
    </row>
    <row r="258" spans="1:2" x14ac:dyDescent="0.25">
      <c r="A258" s="1"/>
      <c r="B258" s="8"/>
    </row>
    <row r="259" spans="1:2" x14ac:dyDescent="0.25">
      <c r="A259" s="1"/>
      <c r="B259" s="8"/>
    </row>
    <row r="260" spans="1:2" x14ac:dyDescent="0.25">
      <c r="A260" s="1"/>
      <c r="B260" s="8"/>
    </row>
    <row r="261" spans="1:2" x14ac:dyDescent="0.25">
      <c r="A261" s="1"/>
      <c r="B261" s="8"/>
    </row>
    <row r="262" spans="1:2" x14ac:dyDescent="0.25">
      <c r="A262" s="1"/>
      <c r="B262" s="8"/>
    </row>
    <row r="263" spans="1:2" x14ac:dyDescent="0.25">
      <c r="A263" s="1"/>
      <c r="B263" s="8"/>
    </row>
    <row r="264" spans="1:2" x14ac:dyDescent="0.25">
      <c r="A264" s="1"/>
      <c r="B264" s="8"/>
    </row>
    <row r="265" spans="1:2" x14ac:dyDescent="0.25">
      <c r="A265" s="1"/>
      <c r="B265" s="8"/>
    </row>
    <row r="266" spans="1:2" x14ac:dyDescent="0.25">
      <c r="A266" s="1"/>
      <c r="B266" s="8"/>
    </row>
    <row r="267" spans="1:2" x14ac:dyDescent="0.25">
      <c r="A267" s="1"/>
      <c r="B267" s="8"/>
    </row>
    <row r="268" spans="1:2" x14ac:dyDescent="0.25">
      <c r="A268" s="1"/>
      <c r="B268" s="8"/>
    </row>
    <row r="269" spans="1:2" x14ac:dyDescent="0.25">
      <c r="A269" s="1"/>
      <c r="B269" s="8"/>
    </row>
    <row r="270" spans="1:2" x14ac:dyDescent="0.25">
      <c r="A270" s="1"/>
      <c r="B270" s="8"/>
    </row>
    <row r="271" spans="1:2" x14ac:dyDescent="0.25">
      <c r="A271" s="1"/>
      <c r="B271" s="8"/>
    </row>
    <row r="272" spans="1:2" x14ac:dyDescent="0.25">
      <c r="A272" s="1"/>
      <c r="B272" s="8"/>
    </row>
    <row r="273" spans="1:2" x14ac:dyDescent="0.25">
      <c r="A273" s="1"/>
      <c r="B273" s="8"/>
    </row>
    <row r="274" spans="1:2" x14ac:dyDescent="0.25">
      <c r="A274" s="1"/>
      <c r="B274" s="8"/>
    </row>
    <row r="275" spans="1:2" x14ac:dyDescent="0.25">
      <c r="A275" s="1"/>
      <c r="B275" s="8"/>
    </row>
    <row r="276" spans="1:2" x14ac:dyDescent="0.25">
      <c r="A276" s="1"/>
      <c r="B276" s="8"/>
    </row>
    <row r="277" spans="1:2" x14ac:dyDescent="0.25">
      <c r="A277" s="1"/>
      <c r="B277" s="8"/>
    </row>
    <row r="278" spans="1:2" x14ac:dyDescent="0.25">
      <c r="A278" s="1"/>
      <c r="B278" s="8"/>
    </row>
    <row r="279" spans="1:2" x14ac:dyDescent="0.25">
      <c r="A279" s="1"/>
      <c r="B279" s="8"/>
    </row>
    <row r="280" spans="1:2" x14ac:dyDescent="0.25">
      <c r="A280" s="1"/>
      <c r="B280" s="8"/>
    </row>
    <row r="281" spans="1:2" x14ac:dyDescent="0.25">
      <c r="A281" s="1"/>
      <c r="B281" s="8"/>
    </row>
    <row r="282" spans="1:2" x14ac:dyDescent="0.25">
      <c r="A282" s="1"/>
      <c r="B282" s="8"/>
    </row>
    <row r="283" spans="1:2" x14ac:dyDescent="0.25">
      <c r="A283" s="1"/>
      <c r="B283" s="8"/>
    </row>
    <row r="284" spans="1:2" x14ac:dyDescent="0.25">
      <c r="A284" s="1"/>
      <c r="B284" s="8"/>
    </row>
    <row r="285" spans="1:2" x14ac:dyDescent="0.25">
      <c r="A285" s="1"/>
      <c r="B285" s="8"/>
    </row>
    <row r="286" spans="1:2" x14ac:dyDescent="0.25">
      <c r="A286" s="1"/>
      <c r="B286" s="8"/>
    </row>
    <row r="287" spans="1:2" x14ac:dyDescent="0.25">
      <c r="A287" s="1"/>
      <c r="B287" s="8"/>
    </row>
    <row r="288" spans="1:2" x14ac:dyDescent="0.25">
      <c r="A288" s="1"/>
      <c r="B288" s="8"/>
    </row>
    <row r="289" spans="1:2" x14ac:dyDescent="0.25">
      <c r="A289" s="1"/>
      <c r="B289" s="8"/>
    </row>
    <row r="290" spans="1:2" x14ac:dyDescent="0.25">
      <c r="A290" s="1"/>
      <c r="B290" s="8"/>
    </row>
    <row r="291" spans="1:2" x14ac:dyDescent="0.25">
      <c r="A291" s="1"/>
      <c r="B291" s="8"/>
    </row>
    <row r="292" spans="1:2" x14ac:dyDescent="0.25">
      <c r="A292" s="1"/>
      <c r="B292" s="8"/>
    </row>
    <row r="293" spans="1:2" x14ac:dyDescent="0.25">
      <c r="A293" s="1"/>
      <c r="B293" s="8"/>
    </row>
    <row r="294" spans="1:2" x14ac:dyDescent="0.25">
      <c r="A294" s="1"/>
      <c r="B294" s="8"/>
    </row>
    <row r="295" spans="1:2" x14ac:dyDescent="0.25">
      <c r="A295" s="1"/>
      <c r="B295" s="8"/>
    </row>
    <row r="296" spans="1:2" x14ac:dyDescent="0.25">
      <c r="A296" s="1"/>
      <c r="B296" s="8"/>
    </row>
    <row r="297" spans="1:2" x14ac:dyDescent="0.25">
      <c r="A297" s="1"/>
      <c r="B297" s="8"/>
    </row>
    <row r="298" spans="1:2" x14ac:dyDescent="0.25">
      <c r="A298" s="1"/>
      <c r="B298" s="8"/>
    </row>
    <row r="299" spans="1:2" x14ac:dyDescent="0.25">
      <c r="A299" s="1"/>
      <c r="B299" s="8"/>
    </row>
    <row r="300" spans="1:2" x14ac:dyDescent="0.25">
      <c r="A300" s="1"/>
      <c r="B300" s="8"/>
    </row>
    <row r="301" spans="1:2" x14ac:dyDescent="0.25">
      <c r="A301" s="1"/>
      <c r="B301" s="8"/>
    </row>
    <row r="302" spans="1:2" x14ac:dyDescent="0.25">
      <c r="A302" s="1"/>
      <c r="B302" s="8"/>
    </row>
    <row r="303" spans="1:2" x14ac:dyDescent="0.25">
      <c r="A303" s="1"/>
      <c r="B303" s="8"/>
    </row>
    <row r="304" spans="1:2" x14ac:dyDescent="0.25">
      <c r="A304" s="1"/>
      <c r="B304" s="8"/>
    </row>
    <row r="305" spans="1:2" x14ac:dyDescent="0.25">
      <c r="A305" s="1"/>
      <c r="B305" s="8"/>
    </row>
    <row r="306" spans="1:2" x14ac:dyDescent="0.25">
      <c r="A306" s="1"/>
      <c r="B306" s="8"/>
    </row>
    <row r="307" spans="1:2" x14ac:dyDescent="0.25">
      <c r="A307" s="1"/>
      <c r="B307" s="8"/>
    </row>
    <row r="308" spans="1:2" x14ac:dyDescent="0.25">
      <c r="A308" s="1"/>
      <c r="B308" s="8"/>
    </row>
    <row r="309" spans="1:2" x14ac:dyDescent="0.25">
      <c r="A309" s="1"/>
      <c r="B309" s="8"/>
    </row>
    <row r="310" spans="1:2" x14ac:dyDescent="0.25">
      <c r="A310" s="1"/>
      <c r="B310" s="8"/>
    </row>
    <row r="311" spans="1:2" x14ac:dyDescent="0.25">
      <c r="A311" s="1"/>
      <c r="B311" s="8"/>
    </row>
    <row r="312" spans="1:2" x14ac:dyDescent="0.25">
      <c r="A312" s="1"/>
      <c r="B312" s="8"/>
    </row>
    <row r="313" spans="1:2" x14ac:dyDescent="0.25">
      <c r="A313" s="1"/>
      <c r="B313" s="8"/>
    </row>
    <row r="314" spans="1:2" x14ac:dyDescent="0.25">
      <c r="A314" s="1"/>
      <c r="B314" s="8"/>
    </row>
    <row r="315" spans="1:2" x14ac:dyDescent="0.25">
      <c r="A315" s="1"/>
      <c r="B315" s="8"/>
    </row>
    <row r="316" spans="1:2" x14ac:dyDescent="0.25">
      <c r="A316" s="1"/>
      <c r="B316" s="8"/>
    </row>
    <row r="317" spans="1:2" x14ac:dyDescent="0.25">
      <c r="A317" s="1"/>
      <c r="B317" s="8"/>
    </row>
    <row r="318" spans="1:2" x14ac:dyDescent="0.25">
      <c r="A318" s="1"/>
      <c r="B318" s="8"/>
    </row>
    <row r="319" spans="1:2" x14ac:dyDescent="0.25">
      <c r="A319" s="1"/>
      <c r="B319" s="8"/>
    </row>
    <row r="320" spans="1:2" x14ac:dyDescent="0.25">
      <c r="A320" s="1"/>
      <c r="B320" s="8"/>
    </row>
    <row r="321" spans="1:2" x14ac:dyDescent="0.25">
      <c r="A321" s="1"/>
      <c r="B321" s="8"/>
    </row>
    <row r="322" spans="1:2" x14ac:dyDescent="0.25">
      <c r="A322" s="1"/>
      <c r="B322" s="8"/>
    </row>
    <row r="323" spans="1:2" x14ac:dyDescent="0.25">
      <c r="A323" s="1"/>
      <c r="B323" s="8"/>
    </row>
    <row r="324" spans="1:2" x14ac:dyDescent="0.25">
      <c r="A324" s="1"/>
      <c r="B324" s="8"/>
    </row>
    <row r="325" spans="1:2" x14ac:dyDescent="0.25">
      <c r="A325" s="1"/>
      <c r="B325" s="8"/>
    </row>
    <row r="326" spans="1:2" x14ac:dyDescent="0.25">
      <c r="A326" s="1"/>
      <c r="B326" s="8"/>
    </row>
    <row r="327" spans="1:2" x14ac:dyDescent="0.25">
      <c r="A327" s="1"/>
      <c r="B327" s="8"/>
    </row>
    <row r="328" spans="1:2" x14ac:dyDescent="0.25">
      <c r="A328" s="1"/>
      <c r="B328" s="8"/>
    </row>
    <row r="329" spans="1:2" x14ac:dyDescent="0.25">
      <c r="A329" s="1"/>
      <c r="B329" s="8"/>
    </row>
    <row r="330" spans="1:2" x14ac:dyDescent="0.25">
      <c r="A330" s="1"/>
      <c r="B330" s="8"/>
    </row>
    <row r="331" spans="1:2" x14ac:dyDescent="0.25">
      <c r="A331" s="1"/>
      <c r="B331" s="8"/>
    </row>
    <row r="332" spans="1:2" x14ac:dyDescent="0.25">
      <c r="A332" s="1"/>
      <c r="B332" s="8"/>
    </row>
    <row r="333" spans="1:2" x14ac:dyDescent="0.25">
      <c r="A333" s="1"/>
      <c r="B333" s="8"/>
    </row>
    <row r="334" spans="1:2" x14ac:dyDescent="0.25">
      <c r="A334" s="1"/>
      <c r="B334" s="8"/>
    </row>
    <row r="335" spans="1:2" x14ac:dyDescent="0.25">
      <c r="A335" s="1"/>
      <c r="B335" s="8"/>
    </row>
    <row r="336" spans="1:2" x14ac:dyDescent="0.25">
      <c r="A336" s="1"/>
      <c r="B336" s="8"/>
    </row>
    <row r="337" spans="1:2" x14ac:dyDescent="0.25">
      <c r="A337" s="1"/>
      <c r="B337" s="8"/>
    </row>
    <row r="338" spans="1:2" x14ac:dyDescent="0.25">
      <c r="A338" s="1"/>
      <c r="B338" s="8"/>
    </row>
    <row r="339" spans="1:2" x14ac:dyDescent="0.25">
      <c r="A339" s="1"/>
      <c r="B339" s="8"/>
    </row>
    <row r="340" spans="1:2" x14ac:dyDescent="0.25">
      <c r="A340" s="1"/>
      <c r="B340" s="8"/>
    </row>
    <row r="341" spans="1:2" x14ac:dyDescent="0.25">
      <c r="A341" s="1"/>
      <c r="B341" s="8"/>
    </row>
    <row r="342" spans="1:2" x14ac:dyDescent="0.25">
      <c r="A342" s="1"/>
      <c r="B342" s="8"/>
    </row>
    <row r="343" spans="1:2" x14ac:dyDescent="0.25">
      <c r="A343" s="1"/>
      <c r="B343" s="8"/>
    </row>
    <row r="344" spans="1:2" x14ac:dyDescent="0.25">
      <c r="A344" s="1"/>
      <c r="B344" s="8"/>
    </row>
    <row r="345" spans="1:2" x14ac:dyDescent="0.25">
      <c r="A345" s="1"/>
      <c r="B345" s="8"/>
    </row>
    <row r="346" spans="1:2" x14ac:dyDescent="0.25">
      <c r="A346" s="1"/>
      <c r="B346" s="8"/>
    </row>
    <row r="347" spans="1:2" x14ac:dyDescent="0.25">
      <c r="A347" s="1"/>
      <c r="B347" s="8"/>
    </row>
    <row r="348" spans="1:2" x14ac:dyDescent="0.25">
      <c r="A348" s="1"/>
      <c r="B348" s="8"/>
    </row>
    <row r="349" spans="1:2" x14ac:dyDescent="0.25">
      <c r="A349" s="1"/>
      <c r="B349" s="8"/>
    </row>
    <row r="350" spans="1:2" x14ac:dyDescent="0.25">
      <c r="A350" s="1"/>
      <c r="B350" s="8"/>
    </row>
    <row r="351" spans="1:2" x14ac:dyDescent="0.25">
      <c r="A351" s="1"/>
      <c r="B351" s="8"/>
    </row>
    <row r="352" spans="1:2" x14ac:dyDescent="0.25">
      <c r="A352" s="1"/>
      <c r="B352" s="8"/>
    </row>
    <row r="353" spans="1:2" x14ac:dyDescent="0.25">
      <c r="A353" s="1"/>
      <c r="B353" s="8"/>
    </row>
    <row r="354" spans="1:2" x14ac:dyDescent="0.25">
      <c r="A354" s="1"/>
      <c r="B354" s="8"/>
    </row>
    <row r="355" spans="1:2" x14ac:dyDescent="0.25">
      <c r="A355" s="1"/>
      <c r="B355" s="8"/>
    </row>
    <row r="356" spans="1:2" x14ac:dyDescent="0.25">
      <c r="A356" s="1"/>
      <c r="B356" s="8"/>
    </row>
    <row r="357" spans="1:2" x14ac:dyDescent="0.25">
      <c r="A357" s="1"/>
      <c r="B357" s="8"/>
    </row>
    <row r="358" spans="1:2" x14ac:dyDescent="0.25">
      <c r="A358" s="1"/>
      <c r="B358" s="8"/>
    </row>
    <row r="359" spans="1:2" x14ac:dyDescent="0.25">
      <c r="A359" s="1"/>
      <c r="B359" s="8"/>
    </row>
    <row r="360" spans="1:2" x14ac:dyDescent="0.25">
      <c r="A360" s="1"/>
      <c r="B360" s="8"/>
    </row>
    <row r="361" spans="1:2" x14ac:dyDescent="0.25">
      <c r="A361" s="1"/>
      <c r="B361" s="8"/>
    </row>
    <row r="362" spans="1:2" x14ac:dyDescent="0.25">
      <c r="A362" s="1"/>
      <c r="B362" s="8"/>
    </row>
    <row r="363" spans="1:2" x14ac:dyDescent="0.25">
      <c r="A363" s="1"/>
      <c r="B363" s="8"/>
    </row>
    <row r="364" spans="1:2" x14ac:dyDescent="0.25">
      <c r="A364" s="1"/>
      <c r="B364" s="8"/>
    </row>
    <row r="365" spans="1:2" x14ac:dyDescent="0.25">
      <c r="A365" s="1"/>
      <c r="B365" s="8"/>
    </row>
    <row r="366" spans="1:2" x14ac:dyDescent="0.25">
      <c r="A366" s="1"/>
      <c r="B366" s="8"/>
    </row>
    <row r="367" spans="1:2" x14ac:dyDescent="0.25">
      <c r="A367" s="1"/>
      <c r="B367" s="8"/>
    </row>
    <row r="368" spans="1:2" x14ac:dyDescent="0.25">
      <c r="A368" s="1"/>
      <c r="B368" s="8"/>
    </row>
    <row r="369" spans="1:2" x14ac:dyDescent="0.25">
      <c r="A369" s="1"/>
      <c r="B369" s="8"/>
    </row>
    <row r="370" spans="1:2" x14ac:dyDescent="0.25">
      <c r="A370" s="1"/>
      <c r="B370" s="8"/>
    </row>
    <row r="371" spans="1:2" x14ac:dyDescent="0.25">
      <c r="A371" s="1"/>
      <c r="B371" s="8"/>
    </row>
    <row r="372" spans="1:2" x14ac:dyDescent="0.25">
      <c r="A372" s="1"/>
      <c r="B372" s="8"/>
    </row>
    <row r="373" spans="1:2" x14ac:dyDescent="0.25">
      <c r="A373" s="1"/>
      <c r="B373" s="8"/>
    </row>
    <row r="374" spans="1:2" x14ac:dyDescent="0.25">
      <c r="A374" s="1"/>
      <c r="B374" s="8"/>
    </row>
    <row r="375" spans="1:2" x14ac:dyDescent="0.25">
      <c r="A375" s="1"/>
      <c r="B375" s="8"/>
    </row>
    <row r="376" spans="1:2" x14ac:dyDescent="0.25">
      <c r="A376" s="1"/>
      <c r="B376" s="8"/>
    </row>
    <row r="377" spans="1:2" x14ac:dyDescent="0.25">
      <c r="A377" s="1"/>
      <c r="B377" s="8"/>
    </row>
    <row r="378" spans="1:2" x14ac:dyDescent="0.25">
      <c r="A378" s="1"/>
      <c r="B378" s="8"/>
    </row>
    <row r="379" spans="1:2" x14ac:dyDescent="0.25">
      <c r="A379" s="1"/>
      <c r="B379" s="8"/>
    </row>
    <row r="380" spans="1:2" x14ac:dyDescent="0.25">
      <c r="A380" s="1"/>
      <c r="B380" s="8"/>
    </row>
    <row r="381" spans="1:2" x14ac:dyDescent="0.25">
      <c r="A381" s="1"/>
      <c r="B381" s="8"/>
    </row>
    <row r="382" spans="1:2" x14ac:dyDescent="0.25">
      <c r="A382" s="1"/>
      <c r="B382" s="8"/>
    </row>
    <row r="383" spans="1:2" x14ac:dyDescent="0.25">
      <c r="A383" s="1"/>
      <c r="B383" s="8"/>
    </row>
    <row r="384" spans="1:2" x14ac:dyDescent="0.25">
      <c r="A384" s="1"/>
      <c r="B384" s="8"/>
    </row>
    <row r="385" spans="1:2" x14ac:dyDescent="0.25">
      <c r="A385" s="1"/>
      <c r="B385" s="8"/>
    </row>
    <row r="386" spans="1:2" x14ac:dyDescent="0.25">
      <c r="A386" s="1"/>
      <c r="B386" s="8"/>
    </row>
    <row r="387" spans="1:2" x14ac:dyDescent="0.25">
      <c r="A387" s="1"/>
      <c r="B387" s="8"/>
    </row>
    <row r="388" spans="1:2" x14ac:dyDescent="0.25">
      <c r="A388" s="1"/>
      <c r="B388" s="8"/>
    </row>
    <row r="389" spans="1:2" x14ac:dyDescent="0.25">
      <c r="A389" s="1"/>
      <c r="B389" s="8"/>
    </row>
    <row r="390" spans="1:2" x14ac:dyDescent="0.25">
      <c r="A390" s="1"/>
      <c r="B390" s="8"/>
    </row>
    <row r="391" spans="1:2" x14ac:dyDescent="0.25">
      <c r="A391" s="1"/>
      <c r="B391" s="8"/>
    </row>
    <row r="1048576" spans="3:4" x14ac:dyDescent="0.25">
      <c r="C1048576" s="14"/>
      <c r="D1048576" s="14"/>
    </row>
  </sheetData>
  <dataConsolidate/>
  <mergeCells count="1">
    <mergeCell ref="I1:N2"/>
  </mergeCells>
  <dataValidations disablePrompts="1" count="2">
    <dataValidation type="list" allowBlank="1" showInputMessage="1" showErrorMessage="1" sqref="C3" xr:uid="{00000000-0002-0000-0000-000000000000}">
      <formula1>$AA$4:$AA$5</formula1>
    </dataValidation>
    <dataValidation type="list" allowBlank="1" showInputMessage="1" showErrorMessage="1" sqref="B3" xr:uid="{00000000-0002-0000-0000-000001000000}">
      <formula1>$X$4:$X$18</formula1>
    </dataValidation>
  </dataValidations>
  <hyperlinks>
    <hyperlink ref="Q30" r:id="rId1" xr:uid="{00000000-0004-0000-0000-000000000000}"/>
    <hyperlink ref="Q32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F67"/>
  <sheetViews>
    <sheetView workbookViewId="0">
      <selection activeCell="A67" sqref="A67"/>
    </sheetView>
  </sheetViews>
  <sheetFormatPr defaultRowHeight="15" x14ac:dyDescent="0.25"/>
  <cols>
    <col min="1" max="1" width="10.7109375" bestFit="1" customWidth="1"/>
    <col min="18" max="18" width="8.140625" bestFit="1" customWidth="1"/>
  </cols>
  <sheetData>
    <row r="1" spans="1:32" x14ac:dyDescent="0.25">
      <c r="B1" t="s">
        <v>55</v>
      </c>
      <c r="C1">
        <f>lati</f>
        <v>51.883000000000003</v>
      </c>
      <c r="E1" t="s">
        <v>56</v>
      </c>
      <c r="F1">
        <f>longi</f>
        <v>-1.3080000000000001</v>
      </c>
      <c r="R1">
        <f>planetno</f>
        <v>5</v>
      </c>
    </row>
    <row r="3" spans="1:32" x14ac:dyDescent="0.25">
      <c r="B3">
        <v>-9</v>
      </c>
      <c r="C3">
        <f>B3+1</f>
        <v>-8</v>
      </c>
      <c r="D3">
        <f t="shared" ref="D3:N3" si="0">C3+1</f>
        <v>-7</v>
      </c>
      <c r="E3">
        <f t="shared" si="0"/>
        <v>-6</v>
      </c>
      <c r="F3">
        <f t="shared" si="0"/>
        <v>-5</v>
      </c>
      <c r="G3">
        <f t="shared" si="0"/>
        <v>-4</v>
      </c>
      <c r="H3">
        <f t="shared" si="0"/>
        <v>-3</v>
      </c>
      <c r="I3">
        <f t="shared" si="0"/>
        <v>-2</v>
      </c>
      <c r="J3">
        <f>I3+1</f>
        <v>-1</v>
      </c>
      <c r="K3">
        <f t="shared" si="0"/>
        <v>0</v>
      </c>
      <c r="L3">
        <f t="shared" si="0"/>
        <v>1</v>
      </c>
      <c r="M3">
        <f t="shared" si="0"/>
        <v>2</v>
      </c>
      <c r="N3">
        <f t="shared" si="0"/>
        <v>3</v>
      </c>
      <c r="P3">
        <f>F1</f>
        <v>-1.3080000000000001</v>
      </c>
      <c r="R3">
        <v>60</v>
      </c>
      <c r="S3">
        <f t="shared" ref="S3:AD3" si="1">R3-1</f>
        <v>59</v>
      </c>
      <c r="T3">
        <f t="shared" si="1"/>
        <v>58</v>
      </c>
      <c r="U3">
        <f t="shared" si="1"/>
        <v>57</v>
      </c>
      <c r="V3">
        <f t="shared" si="1"/>
        <v>56</v>
      </c>
      <c r="W3">
        <f t="shared" si="1"/>
        <v>55</v>
      </c>
      <c r="X3">
        <f t="shared" si="1"/>
        <v>54</v>
      </c>
      <c r="Y3">
        <f t="shared" si="1"/>
        <v>53</v>
      </c>
      <c r="Z3">
        <f t="shared" si="1"/>
        <v>52</v>
      </c>
      <c r="AA3">
        <f t="shared" si="1"/>
        <v>51</v>
      </c>
      <c r="AB3">
        <f t="shared" si="1"/>
        <v>50</v>
      </c>
      <c r="AC3">
        <f t="shared" si="1"/>
        <v>49</v>
      </c>
      <c r="AD3">
        <f t="shared" si="1"/>
        <v>48</v>
      </c>
      <c r="AF3">
        <f>lati</f>
        <v>51.883000000000003</v>
      </c>
    </row>
    <row r="4" spans="1:32" x14ac:dyDescent="0.25">
      <c r="A4" s="10">
        <v>43101</v>
      </c>
      <c r="B4" t="e">
        <f t="shared" ref="B4:N13" si="2">TimeofTransit(planetno, $A4,$C$1,B$3)-$P4</f>
        <v>#VALUE!</v>
      </c>
      <c r="C4" t="e">
        <f t="shared" si="2"/>
        <v>#VALUE!</v>
      </c>
      <c r="D4" t="e">
        <f t="shared" si="2"/>
        <v>#VALUE!</v>
      </c>
      <c r="E4" t="e">
        <f t="shared" si="2"/>
        <v>#VALUE!</v>
      </c>
      <c r="F4" t="e">
        <f t="shared" si="2"/>
        <v>#VALUE!</v>
      </c>
      <c r="G4" t="e">
        <f t="shared" si="2"/>
        <v>#VALUE!</v>
      </c>
      <c r="H4" t="e">
        <f t="shared" si="2"/>
        <v>#VALUE!</v>
      </c>
      <c r="I4" t="e">
        <f t="shared" si="2"/>
        <v>#VALUE!</v>
      </c>
      <c r="J4" t="e">
        <f t="shared" si="2"/>
        <v>#VALUE!</v>
      </c>
      <c r="K4" t="e">
        <f t="shared" si="2"/>
        <v>#VALUE!</v>
      </c>
      <c r="L4" t="e">
        <f t="shared" si="2"/>
        <v>#VALUE!</v>
      </c>
      <c r="M4" t="e">
        <f t="shared" si="2"/>
        <v>#VALUE!</v>
      </c>
      <c r="N4" t="e">
        <f t="shared" si="2"/>
        <v>#VALUE!</v>
      </c>
      <c r="P4" t="e">
        <f t="shared" ref="P4:P67" si="3">TimeofTransit(planetno,$A4,$C$1,P$3)</f>
        <v>#VALUE!</v>
      </c>
      <c r="R4" s="27" t="e">
        <f t="shared" ref="R4:AD13" si="4">(riseset(planetno, $A4,R$3, longi, 1,-0.8333,pres,temp)-$AF4)*60</f>
        <v>#VALUE!</v>
      </c>
      <c r="S4" s="27" t="e">
        <f t="shared" si="4"/>
        <v>#VALUE!</v>
      </c>
      <c r="T4" s="27" t="e">
        <f t="shared" si="4"/>
        <v>#VALUE!</v>
      </c>
      <c r="U4" s="27" t="e">
        <f t="shared" si="4"/>
        <v>#VALUE!</v>
      </c>
      <c r="V4" s="27" t="e">
        <f t="shared" si="4"/>
        <v>#VALUE!</v>
      </c>
      <c r="W4" s="27" t="e">
        <f t="shared" si="4"/>
        <v>#VALUE!</v>
      </c>
      <c r="X4" s="27" t="e">
        <f t="shared" si="4"/>
        <v>#VALUE!</v>
      </c>
      <c r="Y4" s="27" t="e">
        <f t="shared" si="4"/>
        <v>#VALUE!</v>
      </c>
      <c r="Z4" s="27" t="e">
        <f t="shared" si="4"/>
        <v>#VALUE!</v>
      </c>
      <c r="AA4" s="27" t="e">
        <f t="shared" si="4"/>
        <v>#VALUE!</v>
      </c>
      <c r="AB4" s="27" t="e">
        <f t="shared" si="4"/>
        <v>#VALUE!</v>
      </c>
      <c r="AC4" s="27" t="e">
        <f t="shared" si="4"/>
        <v>#VALUE!</v>
      </c>
      <c r="AD4" s="27" t="e">
        <f t="shared" si="4"/>
        <v>#VALUE!</v>
      </c>
      <c r="AF4" t="e">
        <f t="shared" ref="AF4:AF35" si="5">riseset(planetno, ($A4),AF$3, longi, 1,-0.8333,pres,temp)</f>
        <v>#VALUE!</v>
      </c>
    </row>
    <row r="5" spans="1:32" x14ac:dyDescent="0.25">
      <c r="A5" s="10">
        <f>DATE(YEAR(A4), MONTH(A4)+1, 1)</f>
        <v>43132</v>
      </c>
      <c r="B5" t="e">
        <f t="shared" si="2"/>
        <v>#VALUE!</v>
      </c>
      <c r="C5" t="e">
        <f t="shared" si="2"/>
        <v>#VALUE!</v>
      </c>
      <c r="D5" t="e">
        <f t="shared" si="2"/>
        <v>#VALUE!</v>
      </c>
      <c r="E5" t="e">
        <f t="shared" si="2"/>
        <v>#VALUE!</v>
      </c>
      <c r="F5" t="e">
        <f t="shared" si="2"/>
        <v>#VALUE!</v>
      </c>
      <c r="G5" t="e">
        <f t="shared" si="2"/>
        <v>#VALUE!</v>
      </c>
      <c r="H5" t="e">
        <f t="shared" si="2"/>
        <v>#VALUE!</v>
      </c>
      <c r="I5" t="e">
        <f t="shared" si="2"/>
        <v>#VALUE!</v>
      </c>
      <c r="J5" t="e">
        <f t="shared" si="2"/>
        <v>#VALUE!</v>
      </c>
      <c r="K5" t="e">
        <f t="shared" si="2"/>
        <v>#VALUE!</v>
      </c>
      <c r="L5" t="e">
        <f t="shared" si="2"/>
        <v>#VALUE!</v>
      </c>
      <c r="M5" t="e">
        <f t="shared" si="2"/>
        <v>#VALUE!</v>
      </c>
      <c r="N5" t="e">
        <f t="shared" si="2"/>
        <v>#VALUE!</v>
      </c>
      <c r="P5" t="e">
        <f t="shared" si="3"/>
        <v>#VALUE!</v>
      </c>
      <c r="R5" s="27" t="e">
        <f t="shared" si="4"/>
        <v>#VALUE!</v>
      </c>
      <c r="S5" s="27" t="e">
        <f t="shared" si="4"/>
        <v>#VALUE!</v>
      </c>
      <c r="T5" s="27" t="e">
        <f t="shared" si="4"/>
        <v>#VALUE!</v>
      </c>
      <c r="U5" s="27" t="e">
        <f t="shared" si="4"/>
        <v>#VALUE!</v>
      </c>
      <c r="V5" s="27" t="e">
        <f t="shared" si="4"/>
        <v>#VALUE!</v>
      </c>
      <c r="W5" s="27" t="e">
        <f t="shared" si="4"/>
        <v>#VALUE!</v>
      </c>
      <c r="X5" s="27" t="e">
        <f t="shared" si="4"/>
        <v>#VALUE!</v>
      </c>
      <c r="Y5" s="27" t="e">
        <f t="shared" si="4"/>
        <v>#VALUE!</v>
      </c>
      <c r="Z5" s="27" t="e">
        <f t="shared" si="4"/>
        <v>#VALUE!</v>
      </c>
      <c r="AA5" s="27" t="e">
        <f t="shared" si="4"/>
        <v>#VALUE!</v>
      </c>
      <c r="AB5" s="27" t="e">
        <f t="shared" si="4"/>
        <v>#VALUE!</v>
      </c>
      <c r="AC5" s="27" t="e">
        <f t="shared" si="4"/>
        <v>#VALUE!</v>
      </c>
      <c r="AD5" s="27" t="e">
        <f t="shared" si="4"/>
        <v>#VALUE!</v>
      </c>
      <c r="AF5" t="e">
        <f t="shared" si="5"/>
        <v>#VALUE!</v>
      </c>
    </row>
    <row r="6" spans="1:32" x14ac:dyDescent="0.25">
      <c r="A6" s="10">
        <f t="shared" ref="A6:A67" si="6">DATE(YEAR(A5), MONTH(A5)+1, 1)</f>
        <v>43160</v>
      </c>
      <c r="B6" t="e">
        <f t="shared" si="2"/>
        <v>#VALUE!</v>
      </c>
      <c r="C6" t="e">
        <f t="shared" si="2"/>
        <v>#VALUE!</v>
      </c>
      <c r="D6" t="e">
        <f t="shared" si="2"/>
        <v>#VALUE!</v>
      </c>
      <c r="E6" t="e">
        <f t="shared" si="2"/>
        <v>#VALUE!</v>
      </c>
      <c r="F6" t="e">
        <f t="shared" si="2"/>
        <v>#VALUE!</v>
      </c>
      <c r="G6" t="e">
        <f t="shared" si="2"/>
        <v>#VALUE!</v>
      </c>
      <c r="H6" t="e">
        <f t="shared" si="2"/>
        <v>#VALUE!</v>
      </c>
      <c r="I6" t="e">
        <f t="shared" si="2"/>
        <v>#VALUE!</v>
      </c>
      <c r="J6" t="e">
        <f t="shared" si="2"/>
        <v>#VALUE!</v>
      </c>
      <c r="K6" t="e">
        <f t="shared" si="2"/>
        <v>#VALUE!</v>
      </c>
      <c r="L6" t="e">
        <f t="shared" si="2"/>
        <v>#VALUE!</v>
      </c>
      <c r="M6" t="e">
        <f t="shared" si="2"/>
        <v>#VALUE!</v>
      </c>
      <c r="N6" t="e">
        <f t="shared" si="2"/>
        <v>#VALUE!</v>
      </c>
      <c r="P6" t="e">
        <f t="shared" si="3"/>
        <v>#VALUE!</v>
      </c>
      <c r="R6" s="27" t="e">
        <f t="shared" si="4"/>
        <v>#VALUE!</v>
      </c>
      <c r="S6" s="27" t="e">
        <f t="shared" si="4"/>
        <v>#VALUE!</v>
      </c>
      <c r="T6" s="27" t="e">
        <f t="shared" si="4"/>
        <v>#VALUE!</v>
      </c>
      <c r="U6" s="27" t="e">
        <f t="shared" si="4"/>
        <v>#VALUE!</v>
      </c>
      <c r="V6" s="27" t="e">
        <f t="shared" si="4"/>
        <v>#VALUE!</v>
      </c>
      <c r="W6" s="27" t="e">
        <f t="shared" si="4"/>
        <v>#VALUE!</v>
      </c>
      <c r="X6" s="27" t="e">
        <f t="shared" si="4"/>
        <v>#VALUE!</v>
      </c>
      <c r="Y6" s="27" t="e">
        <f t="shared" si="4"/>
        <v>#VALUE!</v>
      </c>
      <c r="Z6" s="27" t="e">
        <f t="shared" si="4"/>
        <v>#VALUE!</v>
      </c>
      <c r="AA6" s="27" t="e">
        <f t="shared" si="4"/>
        <v>#VALUE!</v>
      </c>
      <c r="AB6" s="27" t="e">
        <f t="shared" si="4"/>
        <v>#VALUE!</v>
      </c>
      <c r="AC6" s="27" t="e">
        <f t="shared" si="4"/>
        <v>#VALUE!</v>
      </c>
      <c r="AD6" s="27" t="e">
        <f t="shared" si="4"/>
        <v>#VALUE!</v>
      </c>
      <c r="AF6" t="e">
        <f t="shared" si="5"/>
        <v>#VALUE!</v>
      </c>
    </row>
    <row r="7" spans="1:32" x14ac:dyDescent="0.25">
      <c r="A7" s="10">
        <f t="shared" si="6"/>
        <v>43191</v>
      </c>
      <c r="B7" t="e">
        <f t="shared" si="2"/>
        <v>#VALUE!</v>
      </c>
      <c r="C7" t="e">
        <f t="shared" si="2"/>
        <v>#VALUE!</v>
      </c>
      <c r="D7" t="e">
        <f t="shared" si="2"/>
        <v>#VALUE!</v>
      </c>
      <c r="E7" t="e">
        <f t="shared" si="2"/>
        <v>#VALUE!</v>
      </c>
      <c r="F7" t="e">
        <f t="shared" si="2"/>
        <v>#VALUE!</v>
      </c>
      <c r="G7" t="e">
        <f t="shared" si="2"/>
        <v>#VALUE!</v>
      </c>
      <c r="H7" t="e">
        <f t="shared" si="2"/>
        <v>#VALUE!</v>
      </c>
      <c r="I7" t="e">
        <f t="shared" si="2"/>
        <v>#VALUE!</v>
      </c>
      <c r="J7" t="e">
        <f t="shared" si="2"/>
        <v>#VALUE!</v>
      </c>
      <c r="K7" t="e">
        <f t="shared" si="2"/>
        <v>#VALUE!</v>
      </c>
      <c r="L7" t="e">
        <f t="shared" si="2"/>
        <v>#VALUE!</v>
      </c>
      <c r="M7" t="e">
        <f t="shared" si="2"/>
        <v>#VALUE!</v>
      </c>
      <c r="N7" t="e">
        <f t="shared" si="2"/>
        <v>#VALUE!</v>
      </c>
      <c r="P7" t="e">
        <f t="shared" si="3"/>
        <v>#VALUE!</v>
      </c>
      <c r="R7" s="27" t="e">
        <f t="shared" si="4"/>
        <v>#VALUE!</v>
      </c>
      <c r="S7" s="27" t="e">
        <f t="shared" si="4"/>
        <v>#VALUE!</v>
      </c>
      <c r="T7" s="27" t="e">
        <f t="shared" si="4"/>
        <v>#VALUE!</v>
      </c>
      <c r="U7" s="27" t="e">
        <f t="shared" si="4"/>
        <v>#VALUE!</v>
      </c>
      <c r="V7" s="27" t="e">
        <f t="shared" si="4"/>
        <v>#VALUE!</v>
      </c>
      <c r="W7" s="27" t="e">
        <f t="shared" si="4"/>
        <v>#VALUE!</v>
      </c>
      <c r="X7" s="27" t="e">
        <f t="shared" si="4"/>
        <v>#VALUE!</v>
      </c>
      <c r="Y7" s="27" t="e">
        <f t="shared" si="4"/>
        <v>#VALUE!</v>
      </c>
      <c r="Z7" s="27" t="e">
        <f t="shared" si="4"/>
        <v>#VALUE!</v>
      </c>
      <c r="AA7" s="27" t="e">
        <f t="shared" si="4"/>
        <v>#VALUE!</v>
      </c>
      <c r="AB7" s="27" t="e">
        <f t="shared" si="4"/>
        <v>#VALUE!</v>
      </c>
      <c r="AC7" s="27" t="e">
        <f t="shared" si="4"/>
        <v>#VALUE!</v>
      </c>
      <c r="AD7" s="27" t="e">
        <f t="shared" si="4"/>
        <v>#VALUE!</v>
      </c>
      <c r="AF7" t="e">
        <f t="shared" si="5"/>
        <v>#VALUE!</v>
      </c>
    </row>
    <row r="8" spans="1:32" x14ac:dyDescent="0.25">
      <c r="A8" s="10">
        <f t="shared" si="6"/>
        <v>43221</v>
      </c>
      <c r="B8" t="e">
        <f t="shared" si="2"/>
        <v>#VALUE!</v>
      </c>
      <c r="C8" t="e">
        <f t="shared" si="2"/>
        <v>#VALUE!</v>
      </c>
      <c r="D8" t="e">
        <f t="shared" si="2"/>
        <v>#VALUE!</v>
      </c>
      <c r="E8" t="e">
        <f t="shared" si="2"/>
        <v>#VALUE!</v>
      </c>
      <c r="F8" t="e">
        <f t="shared" si="2"/>
        <v>#VALUE!</v>
      </c>
      <c r="G8" t="e">
        <f t="shared" si="2"/>
        <v>#VALUE!</v>
      </c>
      <c r="H8" t="e">
        <f t="shared" si="2"/>
        <v>#VALUE!</v>
      </c>
      <c r="I8" t="e">
        <f t="shared" si="2"/>
        <v>#VALUE!</v>
      </c>
      <c r="J8" t="e">
        <f t="shared" si="2"/>
        <v>#VALUE!</v>
      </c>
      <c r="K8" t="e">
        <f t="shared" si="2"/>
        <v>#VALUE!</v>
      </c>
      <c r="L8" t="e">
        <f t="shared" si="2"/>
        <v>#VALUE!</v>
      </c>
      <c r="M8" t="e">
        <f t="shared" si="2"/>
        <v>#VALUE!</v>
      </c>
      <c r="N8" t="e">
        <f t="shared" si="2"/>
        <v>#VALUE!</v>
      </c>
      <c r="P8" t="e">
        <f t="shared" si="3"/>
        <v>#VALUE!</v>
      </c>
      <c r="R8" s="27" t="e">
        <f t="shared" si="4"/>
        <v>#VALUE!</v>
      </c>
      <c r="S8" s="27" t="e">
        <f t="shared" si="4"/>
        <v>#VALUE!</v>
      </c>
      <c r="T8" s="27" t="e">
        <f t="shared" si="4"/>
        <v>#VALUE!</v>
      </c>
      <c r="U8" s="27" t="e">
        <f t="shared" si="4"/>
        <v>#VALUE!</v>
      </c>
      <c r="V8" s="27" t="e">
        <f t="shared" si="4"/>
        <v>#VALUE!</v>
      </c>
      <c r="W8" s="27" t="e">
        <f t="shared" si="4"/>
        <v>#VALUE!</v>
      </c>
      <c r="X8" s="27" t="e">
        <f t="shared" si="4"/>
        <v>#VALUE!</v>
      </c>
      <c r="Y8" s="27" t="e">
        <f t="shared" si="4"/>
        <v>#VALUE!</v>
      </c>
      <c r="Z8" s="27" t="e">
        <f t="shared" si="4"/>
        <v>#VALUE!</v>
      </c>
      <c r="AA8" s="27" t="e">
        <f t="shared" si="4"/>
        <v>#VALUE!</v>
      </c>
      <c r="AB8" s="27" t="e">
        <f t="shared" si="4"/>
        <v>#VALUE!</v>
      </c>
      <c r="AC8" s="27" t="e">
        <f t="shared" si="4"/>
        <v>#VALUE!</v>
      </c>
      <c r="AD8" s="27" t="e">
        <f t="shared" si="4"/>
        <v>#VALUE!</v>
      </c>
      <c r="AF8" t="e">
        <f t="shared" si="5"/>
        <v>#VALUE!</v>
      </c>
    </row>
    <row r="9" spans="1:32" x14ac:dyDescent="0.25">
      <c r="A9" s="10">
        <f t="shared" si="6"/>
        <v>43252</v>
      </c>
      <c r="B9" t="e">
        <f t="shared" si="2"/>
        <v>#VALUE!</v>
      </c>
      <c r="C9" t="e">
        <f t="shared" si="2"/>
        <v>#VALUE!</v>
      </c>
      <c r="D9" t="e">
        <f t="shared" si="2"/>
        <v>#VALUE!</v>
      </c>
      <c r="E9" t="e">
        <f t="shared" si="2"/>
        <v>#VALUE!</v>
      </c>
      <c r="F9" t="e">
        <f t="shared" si="2"/>
        <v>#VALUE!</v>
      </c>
      <c r="G9" t="e">
        <f t="shared" si="2"/>
        <v>#VALUE!</v>
      </c>
      <c r="H9" t="e">
        <f t="shared" si="2"/>
        <v>#VALUE!</v>
      </c>
      <c r="I9" t="e">
        <f t="shared" si="2"/>
        <v>#VALUE!</v>
      </c>
      <c r="J9" t="e">
        <f t="shared" si="2"/>
        <v>#VALUE!</v>
      </c>
      <c r="K9" t="e">
        <f t="shared" si="2"/>
        <v>#VALUE!</v>
      </c>
      <c r="L9" t="e">
        <f t="shared" si="2"/>
        <v>#VALUE!</v>
      </c>
      <c r="M9" t="e">
        <f t="shared" si="2"/>
        <v>#VALUE!</v>
      </c>
      <c r="N9" t="e">
        <f t="shared" si="2"/>
        <v>#VALUE!</v>
      </c>
      <c r="P9" t="e">
        <f t="shared" si="3"/>
        <v>#VALUE!</v>
      </c>
      <c r="R9" s="27" t="e">
        <f t="shared" si="4"/>
        <v>#VALUE!</v>
      </c>
      <c r="S9" s="27" t="e">
        <f t="shared" si="4"/>
        <v>#VALUE!</v>
      </c>
      <c r="T9" s="27" t="e">
        <f t="shared" si="4"/>
        <v>#VALUE!</v>
      </c>
      <c r="U9" s="27" t="e">
        <f t="shared" si="4"/>
        <v>#VALUE!</v>
      </c>
      <c r="V9" s="27" t="e">
        <f t="shared" si="4"/>
        <v>#VALUE!</v>
      </c>
      <c r="W9" s="27" t="e">
        <f t="shared" si="4"/>
        <v>#VALUE!</v>
      </c>
      <c r="X9" s="27" t="e">
        <f t="shared" si="4"/>
        <v>#VALUE!</v>
      </c>
      <c r="Y9" s="27" t="e">
        <f t="shared" si="4"/>
        <v>#VALUE!</v>
      </c>
      <c r="Z9" s="27" t="e">
        <f t="shared" si="4"/>
        <v>#VALUE!</v>
      </c>
      <c r="AA9" s="27" t="e">
        <f t="shared" si="4"/>
        <v>#VALUE!</v>
      </c>
      <c r="AB9" s="27" t="e">
        <f t="shared" si="4"/>
        <v>#VALUE!</v>
      </c>
      <c r="AC9" s="27" t="e">
        <f t="shared" si="4"/>
        <v>#VALUE!</v>
      </c>
      <c r="AD9" s="27" t="e">
        <f t="shared" si="4"/>
        <v>#VALUE!</v>
      </c>
      <c r="AF9" t="e">
        <f t="shared" si="5"/>
        <v>#VALUE!</v>
      </c>
    </row>
    <row r="10" spans="1:32" x14ac:dyDescent="0.25">
      <c r="A10" s="10">
        <f t="shared" si="6"/>
        <v>43282</v>
      </c>
      <c r="B10" t="e">
        <f t="shared" si="2"/>
        <v>#VALUE!</v>
      </c>
      <c r="C10" t="e">
        <f t="shared" si="2"/>
        <v>#VALUE!</v>
      </c>
      <c r="D10" t="e">
        <f t="shared" si="2"/>
        <v>#VALUE!</v>
      </c>
      <c r="E10" t="e">
        <f t="shared" si="2"/>
        <v>#VALUE!</v>
      </c>
      <c r="F10" t="e">
        <f t="shared" si="2"/>
        <v>#VALUE!</v>
      </c>
      <c r="G10" t="e">
        <f t="shared" si="2"/>
        <v>#VALUE!</v>
      </c>
      <c r="H10" t="e">
        <f t="shared" si="2"/>
        <v>#VALUE!</v>
      </c>
      <c r="I10" t="e">
        <f t="shared" si="2"/>
        <v>#VALUE!</v>
      </c>
      <c r="J10" t="e">
        <f t="shared" si="2"/>
        <v>#VALUE!</v>
      </c>
      <c r="K10" t="e">
        <f t="shared" si="2"/>
        <v>#VALUE!</v>
      </c>
      <c r="L10" t="e">
        <f t="shared" si="2"/>
        <v>#VALUE!</v>
      </c>
      <c r="M10" t="e">
        <f t="shared" si="2"/>
        <v>#VALUE!</v>
      </c>
      <c r="N10" t="e">
        <f t="shared" si="2"/>
        <v>#VALUE!</v>
      </c>
      <c r="P10" t="e">
        <f t="shared" si="3"/>
        <v>#VALUE!</v>
      </c>
      <c r="R10" s="27" t="e">
        <f t="shared" si="4"/>
        <v>#VALUE!</v>
      </c>
      <c r="S10" s="27" t="e">
        <f t="shared" si="4"/>
        <v>#VALUE!</v>
      </c>
      <c r="T10" s="27" t="e">
        <f t="shared" si="4"/>
        <v>#VALUE!</v>
      </c>
      <c r="U10" s="27" t="e">
        <f t="shared" si="4"/>
        <v>#VALUE!</v>
      </c>
      <c r="V10" s="27" t="e">
        <f t="shared" si="4"/>
        <v>#VALUE!</v>
      </c>
      <c r="W10" s="27" t="e">
        <f t="shared" si="4"/>
        <v>#VALUE!</v>
      </c>
      <c r="X10" s="27" t="e">
        <f t="shared" si="4"/>
        <v>#VALUE!</v>
      </c>
      <c r="Y10" s="27" t="e">
        <f t="shared" si="4"/>
        <v>#VALUE!</v>
      </c>
      <c r="Z10" s="27" t="e">
        <f t="shared" si="4"/>
        <v>#VALUE!</v>
      </c>
      <c r="AA10" s="27" t="e">
        <f t="shared" si="4"/>
        <v>#VALUE!</v>
      </c>
      <c r="AB10" s="27" t="e">
        <f t="shared" si="4"/>
        <v>#VALUE!</v>
      </c>
      <c r="AC10" s="27" t="e">
        <f t="shared" si="4"/>
        <v>#VALUE!</v>
      </c>
      <c r="AD10" s="27" t="e">
        <f t="shared" si="4"/>
        <v>#VALUE!</v>
      </c>
      <c r="AF10" t="e">
        <f t="shared" si="5"/>
        <v>#VALUE!</v>
      </c>
    </row>
    <row r="11" spans="1:32" x14ac:dyDescent="0.25">
      <c r="A11" s="10">
        <f t="shared" si="6"/>
        <v>43313</v>
      </c>
      <c r="B11" t="e">
        <f t="shared" si="2"/>
        <v>#VALUE!</v>
      </c>
      <c r="C11" t="e">
        <f t="shared" si="2"/>
        <v>#VALUE!</v>
      </c>
      <c r="D11" t="e">
        <f t="shared" si="2"/>
        <v>#VALUE!</v>
      </c>
      <c r="E11" t="e">
        <f t="shared" si="2"/>
        <v>#VALUE!</v>
      </c>
      <c r="F11" t="e">
        <f t="shared" si="2"/>
        <v>#VALUE!</v>
      </c>
      <c r="G11" t="e">
        <f t="shared" si="2"/>
        <v>#VALUE!</v>
      </c>
      <c r="H11" t="e">
        <f t="shared" si="2"/>
        <v>#VALUE!</v>
      </c>
      <c r="I11" t="e">
        <f t="shared" si="2"/>
        <v>#VALUE!</v>
      </c>
      <c r="J11" t="e">
        <f t="shared" si="2"/>
        <v>#VALUE!</v>
      </c>
      <c r="K11" t="e">
        <f t="shared" si="2"/>
        <v>#VALUE!</v>
      </c>
      <c r="L11" t="e">
        <f t="shared" si="2"/>
        <v>#VALUE!</v>
      </c>
      <c r="M11" t="e">
        <f t="shared" si="2"/>
        <v>#VALUE!</v>
      </c>
      <c r="N11" t="e">
        <f t="shared" si="2"/>
        <v>#VALUE!</v>
      </c>
      <c r="P11" t="e">
        <f t="shared" si="3"/>
        <v>#VALUE!</v>
      </c>
      <c r="R11" s="27" t="e">
        <f t="shared" si="4"/>
        <v>#VALUE!</v>
      </c>
      <c r="S11" s="27" t="e">
        <f t="shared" si="4"/>
        <v>#VALUE!</v>
      </c>
      <c r="T11" s="27" t="e">
        <f t="shared" si="4"/>
        <v>#VALUE!</v>
      </c>
      <c r="U11" s="27" t="e">
        <f t="shared" si="4"/>
        <v>#VALUE!</v>
      </c>
      <c r="V11" s="27" t="e">
        <f t="shared" si="4"/>
        <v>#VALUE!</v>
      </c>
      <c r="W11" s="27" t="e">
        <f t="shared" si="4"/>
        <v>#VALUE!</v>
      </c>
      <c r="X11" s="27" t="e">
        <f t="shared" si="4"/>
        <v>#VALUE!</v>
      </c>
      <c r="Y11" s="27" t="e">
        <f t="shared" si="4"/>
        <v>#VALUE!</v>
      </c>
      <c r="Z11" s="27" t="e">
        <f t="shared" si="4"/>
        <v>#VALUE!</v>
      </c>
      <c r="AA11" s="27" t="e">
        <f t="shared" si="4"/>
        <v>#VALUE!</v>
      </c>
      <c r="AB11" s="27" t="e">
        <f t="shared" si="4"/>
        <v>#VALUE!</v>
      </c>
      <c r="AC11" s="27" t="e">
        <f t="shared" si="4"/>
        <v>#VALUE!</v>
      </c>
      <c r="AD11" s="27" t="e">
        <f t="shared" si="4"/>
        <v>#VALUE!</v>
      </c>
      <c r="AF11" t="e">
        <f t="shared" si="5"/>
        <v>#VALUE!</v>
      </c>
    </row>
    <row r="12" spans="1:32" x14ac:dyDescent="0.25">
      <c r="A12" s="10">
        <f t="shared" si="6"/>
        <v>43344</v>
      </c>
      <c r="B12" t="e">
        <f t="shared" si="2"/>
        <v>#VALUE!</v>
      </c>
      <c r="C12" t="e">
        <f t="shared" si="2"/>
        <v>#VALUE!</v>
      </c>
      <c r="D12" t="e">
        <f t="shared" si="2"/>
        <v>#VALUE!</v>
      </c>
      <c r="E12" t="e">
        <f t="shared" si="2"/>
        <v>#VALUE!</v>
      </c>
      <c r="F12" t="e">
        <f t="shared" si="2"/>
        <v>#VALUE!</v>
      </c>
      <c r="G12" t="e">
        <f t="shared" si="2"/>
        <v>#VALUE!</v>
      </c>
      <c r="H12" t="e">
        <f t="shared" si="2"/>
        <v>#VALUE!</v>
      </c>
      <c r="I12" t="e">
        <f t="shared" si="2"/>
        <v>#VALUE!</v>
      </c>
      <c r="J12" t="e">
        <f t="shared" si="2"/>
        <v>#VALUE!</v>
      </c>
      <c r="K12" t="e">
        <f t="shared" si="2"/>
        <v>#VALUE!</v>
      </c>
      <c r="L12" t="e">
        <f t="shared" si="2"/>
        <v>#VALUE!</v>
      </c>
      <c r="M12" t="e">
        <f t="shared" si="2"/>
        <v>#VALUE!</v>
      </c>
      <c r="N12" t="e">
        <f t="shared" si="2"/>
        <v>#VALUE!</v>
      </c>
      <c r="P12" t="e">
        <f t="shared" si="3"/>
        <v>#VALUE!</v>
      </c>
      <c r="R12" s="27" t="e">
        <f t="shared" si="4"/>
        <v>#VALUE!</v>
      </c>
      <c r="S12" s="27" t="e">
        <f t="shared" si="4"/>
        <v>#VALUE!</v>
      </c>
      <c r="T12" s="27" t="e">
        <f t="shared" si="4"/>
        <v>#VALUE!</v>
      </c>
      <c r="U12" s="27" t="e">
        <f t="shared" si="4"/>
        <v>#VALUE!</v>
      </c>
      <c r="V12" s="27" t="e">
        <f t="shared" si="4"/>
        <v>#VALUE!</v>
      </c>
      <c r="W12" s="27" t="e">
        <f t="shared" si="4"/>
        <v>#VALUE!</v>
      </c>
      <c r="X12" s="27" t="e">
        <f t="shared" si="4"/>
        <v>#VALUE!</v>
      </c>
      <c r="Y12" s="27" t="e">
        <f t="shared" si="4"/>
        <v>#VALUE!</v>
      </c>
      <c r="Z12" s="27" t="e">
        <f t="shared" si="4"/>
        <v>#VALUE!</v>
      </c>
      <c r="AA12" s="27" t="e">
        <f t="shared" si="4"/>
        <v>#VALUE!</v>
      </c>
      <c r="AB12" s="27" t="e">
        <f t="shared" si="4"/>
        <v>#VALUE!</v>
      </c>
      <c r="AC12" s="27" t="e">
        <f t="shared" si="4"/>
        <v>#VALUE!</v>
      </c>
      <c r="AD12" s="27" t="e">
        <f t="shared" si="4"/>
        <v>#VALUE!</v>
      </c>
      <c r="AF12" t="e">
        <f t="shared" si="5"/>
        <v>#VALUE!</v>
      </c>
    </row>
    <row r="13" spans="1:32" x14ac:dyDescent="0.25">
      <c r="A13" s="10">
        <f t="shared" si="6"/>
        <v>43374</v>
      </c>
      <c r="B13" t="e">
        <f t="shared" si="2"/>
        <v>#VALUE!</v>
      </c>
      <c r="C13" t="e">
        <f t="shared" si="2"/>
        <v>#VALUE!</v>
      </c>
      <c r="D13" t="e">
        <f t="shared" si="2"/>
        <v>#VALUE!</v>
      </c>
      <c r="E13" t="e">
        <f t="shared" si="2"/>
        <v>#VALUE!</v>
      </c>
      <c r="F13" t="e">
        <f t="shared" si="2"/>
        <v>#VALUE!</v>
      </c>
      <c r="G13" t="e">
        <f t="shared" si="2"/>
        <v>#VALUE!</v>
      </c>
      <c r="H13" t="e">
        <f t="shared" si="2"/>
        <v>#VALUE!</v>
      </c>
      <c r="I13" t="e">
        <f t="shared" si="2"/>
        <v>#VALUE!</v>
      </c>
      <c r="J13" t="e">
        <f t="shared" si="2"/>
        <v>#VALUE!</v>
      </c>
      <c r="K13" t="e">
        <f t="shared" si="2"/>
        <v>#VALUE!</v>
      </c>
      <c r="L13" t="e">
        <f t="shared" si="2"/>
        <v>#VALUE!</v>
      </c>
      <c r="M13" t="e">
        <f t="shared" si="2"/>
        <v>#VALUE!</v>
      </c>
      <c r="N13" t="e">
        <f t="shared" si="2"/>
        <v>#VALUE!</v>
      </c>
      <c r="P13" t="e">
        <f t="shared" si="3"/>
        <v>#VALUE!</v>
      </c>
      <c r="R13" s="27" t="e">
        <f t="shared" si="4"/>
        <v>#VALUE!</v>
      </c>
      <c r="S13" s="27" t="e">
        <f t="shared" si="4"/>
        <v>#VALUE!</v>
      </c>
      <c r="T13" s="27" t="e">
        <f t="shared" si="4"/>
        <v>#VALUE!</v>
      </c>
      <c r="U13" s="27" t="e">
        <f t="shared" si="4"/>
        <v>#VALUE!</v>
      </c>
      <c r="V13" s="27" t="e">
        <f t="shared" si="4"/>
        <v>#VALUE!</v>
      </c>
      <c r="W13" s="27" t="e">
        <f t="shared" si="4"/>
        <v>#VALUE!</v>
      </c>
      <c r="X13" s="27" t="e">
        <f t="shared" si="4"/>
        <v>#VALUE!</v>
      </c>
      <c r="Y13" s="27" t="e">
        <f t="shared" si="4"/>
        <v>#VALUE!</v>
      </c>
      <c r="Z13" s="27" t="e">
        <f t="shared" si="4"/>
        <v>#VALUE!</v>
      </c>
      <c r="AA13" s="27" t="e">
        <f t="shared" si="4"/>
        <v>#VALUE!</v>
      </c>
      <c r="AB13" s="27" t="e">
        <f t="shared" si="4"/>
        <v>#VALUE!</v>
      </c>
      <c r="AC13" s="27" t="e">
        <f t="shared" si="4"/>
        <v>#VALUE!</v>
      </c>
      <c r="AD13" s="27" t="e">
        <f t="shared" si="4"/>
        <v>#VALUE!</v>
      </c>
      <c r="AF13" t="e">
        <f t="shared" si="5"/>
        <v>#VALUE!</v>
      </c>
    </row>
    <row r="14" spans="1:32" x14ac:dyDescent="0.25">
      <c r="A14" s="10">
        <f t="shared" si="6"/>
        <v>43405</v>
      </c>
      <c r="B14" t="e">
        <f t="shared" ref="B14:N29" si="7">TimeofTransit(planetno, $A14,$C$1,B$3)-$P14</f>
        <v>#VALUE!</v>
      </c>
      <c r="C14" t="e">
        <f t="shared" si="7"/>
        <v>#VALUE!</v>
      </c>
      <c r="D14" t="e">
        <f t="shared" si="7"/>
        <v>#VALUE!</v>
      </c>
      <c r="E14" t="e">
        <f t="shared" si="7"/>
        <v>#VALUE!</v>
      </c>
      <c r="F14" t="e">
        <f t="shared" si="7"/>
        <v>#VALUE!</v>
      </c>
      <c r="G14" t="e">
        <f t="shared" si="7"/>
        <v>#VALUE!</v>
      </c>
      <c r="H14" t="e">
        <f t="shared" si="7"/>
        <v>#VALUE!</v>
      </c>
      <c r="I14" t="e">
        <f t="shared" si="7"/>
        <v>#VALUE!</v>
      </c>
      <c r="J14" t="e">
        <f t="shared" si="7"/>
        <v>#VALUE!</v>
      </c>
      <c r="K14" t="e">
        <f t="shared" si="7"/>
        <v>#VALUE!</v>
      </c>
      <c r="L14" t="e">
        <f t="shared" si="7"/>
        <v>#VALUE!</v>
      </c>
      <c r="M14" t="e">
        <f t="shared" si="7"/>
        <v>#VALUE!</v>
      </c>
      <c r="N14" t="e">
        <f t="shared" si="7"/>
        <v>#VALUE!</v>
      </c>
      <c r="P14" t="e">
        <f t="shared" si="3"/>
        <v>#VALUE!</v>
      </c>
      <c r="R14" s="27" t="e">
        <f t="shared" ref="R14:AD23" si="8">(riseset(planetno, $A14,R$3, longi, 1,-0.8333,pres,temp)-$AF14)*60</f>
        <v>#VALUE!</v>
      </c>
      <c r="S14" s="27" t="e">
        <f t="shared" si="8"/>
        <v>#VALUE!</v>
      </c>
      <c r="T14" s="27" t="e">
        <f t="shared" si="8"/>
        <v>#VALUE!</v>
      </c>
      <c r="U14" s="27" t="e">
        <f t="shared" si="8"/>
        <v>#VALUE!</v>
      </c>
      <c r="V14" s="27" t="e">
        <f t="shared" si="8"/>
        <v>#VALUE!</v>
      </c>
      <c r="W14" s="27" t="e">
        <f t="shared" si="8"/>
        <v>#VALUE!</v>
      </c>
      <c r="X14" s="27" t="e">
        <f t="shared" si="8"/>
        <v>#VALUE!</v>
      </c>
      <c r="Y14" s="27" t="e">
        <f t="shared" si="8"/>
        <v>#VALUE!</v>
      </c>
      <c r="Z14" s="27" t="e">
        <f t="shared" si="8"/>
        <v>#VALUE!</v>
      </c>
      <c r="AA14" s="27" t="e">
        <f t="shared" si="8"/>
        <v>#VALUE!</v>
      </c>
      <c r="AB14" s="27" t="e">
        <f t="shared" si="8"/>
        <v>#VALUE!</v>
      </c>
      <c r="AC14" s="27" t="e">
        <f t="shared" si="8"/>
        <v>#VALUE!</v>
      </c>
      <c r="AD14" s="27" t="e">
        <f t="shared" si="8"/>
        <v>#VALUE!</v>
      </c>
      <c r="AF14" t="e">
        <f t="shared" si="5"/>
        <v>#VALUE!</v>
      </c>
    </row>
    <row r="15" spans="1:32" x14ac:dyDescent="0.25">
      <c r="A15" s="10">
        <f t="shared" si="6"/>
        <v>43435</v>
      </c>
      <c r="B15" t="e">
        <f t="shared" si="7"/>
        <v>#VALUE!</v>
      </c>
      <c r="C15" t="e">
        <f t="shared" si="7"/>
        <v>#VALUE!</v>
      </c>
      <c r="D15" t="e">
        <f t="shared" si="7"/>
        <v>#VALUE!</v>
      </c>
      <c r="E15" t="e">
        <f t="shared" si="7"/>
        <v>#VALUE!</v>
      </c>
      <c r="F15" t="e">
        <f t="shared" si="7"/>
        <v>#VALUE!</v>
      </c>
      <c r="G15" t="e">
        <f t="shared" si="7"/>
        <v>#VALUE!</v>
      </c>
      <c r="H15" t="e">
        <f t="shared" si="7"/>
        <v>#VALUE!</v>
      </c>
      <c r="I15" t="e">
        <f t="shared" si="7"/>
        <v>#VALUE!</v>
      </c>
      <c r="J15" t="e">
        <f t="shared" si="7"/>
        <v>#VALUE!</v>
      </c>
      <c r="K15" t="e">
        <f t="shared" si="7"/>
        <v>#VALUE!</v>
      </c>
      <c r="L15" t="e">
        <f t="shared" si="7"/>
        <v>#VALUE!</v>
      </c>
      <c r="M15" t="e">
        <f t="shared" si="7"/>
        <v>#VALUE!</v>
      </c>
      <c r="N15" t="e">
        <f t="shared" si="7"/>
        <v>#VALUE!</v>
      </c>
      <c r="P15" t="e">
        <f t="shared" si="3"/>
        <v>#VALUE!</v>
      </c>
      <c r="R15" s="27" t="e">
        <f t="shared" si="8"/>
        <v>#VALUE!</v>
      </c>
      <c r="S15" s="27" t="e">
        <f t="shared" si="8"/>
        <v>#VALUE!</v>
      </c>
      <c r="T15" s="27" t="e">
        <f t="shared" si="8"/>
        <v>#VALUE!</v>
      </c>
      <c r="U15" s="27" t="e">
        <f t="shared" si="8"/>
        <v>#VALUE!</v>
      </c>
      <c r="V15" s="27" t="e">
        <f t="shared" si="8"/>
        <v>#VALUE!</v>
      </c>
      <c r="W15" s="27" t="e">
        <f t="shared" si="8"/>
        <v>#VALUE!</v>
      </c>
      <c r="X15" s="27" t="e">
        <f t="shared" si="8"/>
        <v>#VALUE!</v>
      </c>
      <c r="Y15" s="27" t="e">
        <f t="shared" si="8"/>
        <v>#VALUE!</v>
      </c>
      <c r="Z15" s="27" t="e">
        <f t="shared" si="8"/>
        <v>#VALUE!</v>
      </c>
      <c r="AA15" s="27" t="e">
        <f t="shared" si="8"/>
        <v>#VALUE!</v>
      </c>
      <c r="AB15" s="27" t="e">
        <f t="shared" si="8"/>
        <v>#VALUE!</v>
      </c>
      <c r="AC15" s="27" t="e">
        <f t="shared" si="8"/>
        <v>#VALUE!</v>
      </c>
      <c r="AD15" s="27" t="e">
        <f t="shared" si="8"/>
        <v>#VALUE!</v>
      </c>
      <c r="AF15" t="e">
        <f t="shared" si="5"/>
        <v>#VALUE!</v>
      </c>
    </row>
    <row r="16" spans="1:32" x14ac:dyDescent="0.25">
      <c r="A16" s="10">
        <f t="shared" si="6"/>
        <v>43466</v>
      </c>
      <c r="B16" t="e">
        <f t="shared" si="7"/>
        <v>#VALUE!</v>
      </c>
      <c r="C16" t="e">
        <f t="shared" si="7"/>
        <v>#VALUE!</v>
      </c>
      <c r="D16" t="e">
        <f t="shared" si="7"/>
        <v>#VALUE!</v>
      </c>
      <c r="E16" t="e">
        <f t="shared" si="7"/>
        <v>#VALUE!</v>
      </c>
      <c r="F16" t="e">
        <f t="shared" si="7"/>
        <v>#VALUE!</v>
      </c>
      <c r="G16" t="e">
        <f t="shared" si="7"/>
        <v>#VALUE!</v>
      </c>
      <c r="H16" t="e">
        <f t="shared" si="7"/>
        <v>#VALUE!</v>
      </c>
      <c r="I16" t="e">
        <f t="shared" si="7"/>
        <v>#VALUE!</v>
      </c>
      <c r="J16" t="e">
        <f t="shared" si="7"/>
        <v>#VALUE!</v>
      </c>
      <c r="K16" t="e">
        <f t="shared" si="7"/>
        <v>#VALUE!</v>
      </c>
      <c r="L16" t="e">
        <f t="shared" si="7"/>
        <v>#VALUE!</v>
      </c>
      <c r="M16" t="e">
        <f t="shared" si="7"/>
        <v>#VALUE!</v>
      </c>
      <c r="N16" t="e">
        <f t="shared" si="7"/>
        <v>#VALUE!</v>
      </c>
      <c r="P16" t="e">
        <f t="shared" si="3"/>
        <v>#VALUE!</v>
      </c>
      <c r="R16" s="27" t="e">
        <f t="shared" si="8"/>
        <v>#VALUE!</v>
      </c>
      <c r="S16" s="27" t="e">
        <f t="shared" si="8"/>
        <v>#VALUE!</v>
      </c>
      <c r="T16" s="27" t="e">
        <f t="shared" si="8"/>
        <v>#VALUE!</v>
      </c>
      <c r="U16" s="27" t="e">
        <f t="shared" si="8"/>
        <v>#VALUE!</v>
      </c>
      <c r="V16" s="27" t="e">
        <f t="shared" si="8"/>
        <v>#VALUE!</v>
      </c>
      <c r="W16" s="27" t="e">
        <f t="shared" si="8"/>
        <v>#VALUE!</v>
      </c>
      <c r="X16" s="27" t="e">
        <f t="shared" si="8"/>
        <v>#VALUE!</v>
      </c>
      <c r="Y16" s="27" t="e">
        <f t="shared" si="8"/>
        <v>#VALUE!</v>
      </c>
      <c r="Z16" s="27" t="e">
        <f t="shared" si="8"/>
        <v>#VALUE!</v>
      </c>
      <c r="AA16" s="27" t="e">
        <f t="shared" si="8"/>
        <v>#VALUE!</v>
      </c>
      <c r="AB16" s="27" t="e">
        <f t="shared" si="8"/>
        <v>#VALUE!</v>
      </c>
      <c r="AC16" s="27" t="e">
        <f t="shared" si="8"/>
        <v>#VALUE!</v>
      </c>
      <c r="AD16" s="27" t="e">
        <f t="shared" si="8"/>
        <v>#VALUE!</v>
      </c>
      <c r="AF16" t="e">
        <f t="shared" si="5"/>
        <v>#VALUE!</v>
      </c>
    </row>
    <row r="17" spans="1:32" x14ac:dyDescent="0.25">
      <c r="A17" s="10">
        <f t="shared" si="6"/>
        <v>43497</v>
      </c>
      <c r="B17" t="e">
        <f t="shared" si="7"/>
        <v>#VALUE!</v>
      </c>
      <c r="C17" t="e">
        <f t="shared" si="7"/>
        <v>#VALUE!</v>
      </c>
      <c r="D17" t="e">
        <f t="shared" si="7"/>
        <v>#VALUE!</v>
      </c>
      <c r="E17" t="e">
        <f t="shared" si="7"/>
        <v>#VALUE!</v>
      </c>
      <c r="F17" t="e">
        <f t="shared" si="7"/>
        <v>#VALUE!</v>
      </c>
      <c r="G17" t="e">
        <f t="shared" si="7"/>
        <v>#VALUE!</v>
      </c>
      <c r="H17" t="e">
        <f t="shared" si="7"/>
        <v>#VALUE!</v>
      </c>
      <c r="I17" t="e">
        <f t="shared" si="7"/>
        <v>#VALUE!</v>
      </c>
      <c r="J17" t="e">
        <f t="shared" si="7"/>
        <v>#VALUE!</v>
      </c>
      <c r="K17" t="e">
        <f t="shared" si="7"/>
        <v>#VALUE!</v>
      </c>
      <c r="L17" t="e">
        <f t="shared" si="7"/>
        <v>#VALUE!</v>
      </c>
      <c r="M17" t="e">
        <f t="shared" si="7"/>
        <v>#VALUE!</v>
      </c>
      <c r="N17" t="e">
        <f t="shared" si="7"/>
        <v>#VALUE!</v>
      </c>
      <c r="P17" t="e">
        <f t="shared" si="3"/>
        <v>#VALUE!</v>
      </c>
      <c r="R17" s="27" t="e">
        <f t="shared" si="8"/>
        <v>#VALUE!</v>
      </c>
      <c r="S17" s="27" t="e">
        <f t="shared" si="8"/>
        <v>#VALUE!</v>
      </c>
      <c r="T17" s="27" t="e">
        <f t="shared" si="8"/>
        <v>#VALUE!</v>
      </c>
      <c r="U17" s="27" t="e">
        <f t="shared" si="8"/>
        <v>#VALUE!</v>
      </c>
      <c r="V17" s="27" t="e">
        <f t="shared" si="8"/>
        <v>#VALUE!</v>
      </c>
      <c r="W17" s="27" t="e">
        <f t="shared" si="8"/>
        <v>#VALUE!</v>
      </c>
      <c r="X17" s="27" t="e">
        <f t="shared" si="8"/>
        <v>#VALUE!</v>
      </c>
      <c r="Y17" s="27" t="e">
        <f t="shared" si="8"/>
        <v>#VALUE!</v>
      </c>
      <c r="Z17" s="27" t="e">
        <f t="shared" si="8"/>
        <v>#VALUE!</v>
      </c>
      <c r="AA17" s="27" t="e">
        <f t="shared" si="8"/>
        <v>#VALUE!</v>
      </c>
      <c r="AB17" s="27" t="e">
        <f t="shared" si="8"/>
        <v>#VALUE!</v>
      </c>
      <c r="AC17" s="27" t="e">
        <f t="shared" si="8"/>
        <v>#VALUE!</v>
      </c>
      <c r="AD17" s="27" t="e">
        <f t="shared" si="8"/>
        <v>#VALUE!</v>
      </c>
      <c r="AF17" t="e">
        <f t="shared" si="5"/>
        <v>#VALUE!</v>
      </c>
    </row>
    <row r="18" spans="1:32" x14ac:dyDescent="0.25">
      <c r="A18" s="10">
        <f t="shared" si="6"/>
        <v>43525</v>
      </c>
      <c r="B18" t="e">
        <f t="shared" si="7"/>
        <v>#VALUE!</v>
      </c>
      <c r="C18" t="e">
        <f t="shared" si="7"/>
        <v>#VALUE!</v>
      </c>
      <c r="D18" t="e">
        <f t="shared" si="7"/>
        <v>#VALUE!</v>
      </c>
      <c r="E18" t="e">
        <f t="shared" si="7"/>
        <v>#VALUE!</v>
      </c>
      <c r="F18" t="e">
        <f t="shared" si="7"/>
        <v>#VALUE!</v>
      </c>
      <c r="G18" t="e">
        <f t="shared" si="7"/>
        <v>#VALUE!</v>
      </c>
      <c r="H18" t="e">
        <f t="shared" si="7"/>
        <v>#VALUE!</v>
      </c>
      <c r="I18" t="e">
        <f t="shared" si="7"/>
        <v>#VALUE!</v>
      </c>
      <c r="J18" t="e">
        <f t="shared" si="7"/>
        <v>#VALUE!</v>
      </c>
      <c r="K18" t="e">
        <f t="shared" si="7"/>
        <v>#VALUE!</v>
      </c>
      <c r="L18" t="e">
        <f t="shared" si="7"/>
        <v>#VALUE!</v>
      </c>
      <c r="M18" t="e">
        <f t="shared" si="7"/>
        <v>#VALUE!</v>
      </c>
      <c r="N18" t="e">
        <f t="shared" si="7"/>
        <v>#VALUE!</v>
      </c>
      <c r="P18" t="e">
        <f t="shared" si="3"/>
        <v>#VALUE!</v>
      </c>
      <c r="R18" s="27" t="e">
        <f t="shared" si="8"/>
        <v>#VALUE!</v>
      </c>
      <c r="S18" s="27" t="e">
        <f t="shared" si="8"/>
        <v>#VALUE!</v>
      </c>
      <c r="T18" s="27" t="e">
        <f t="shared" si="8"/>
        <v>#VALUE!</v>
      </c>
      <c r="U18" s="27" t="e">
        <f t="shared" si="8"/>
        <v>#VALUE!</v>
      </c>
      <c r="V18" s="27" t="e">
        <f t="shared" si="8"/>
        <v>#VALUE!</v>
      </c>
      <c r="W18" s="27" t="e">
        <f t="shared" si="8"/>
        <v>#VALUE!</v>
      </c>
      <c r="X18" s="27" t="e">
        <f t="shared" si="8"/>
        <v>#VALUE!</v>
      </c>
      <c r="Y18" s="27" t="e">
        <f t="shared" si="8"/>
        <v>#VALUE!</v>
      </c>
      <c r="Z18" s="27" t="e">
        <f t="shared" si="8"/>
        <v>#VALUE!</v>
      </c>
      <c r="AA18" s="27" t="e">
        <f t="shared" si="8"/>
        <v>#VALUE!</v>
      </c>
      <c r="AB18" s="27" t="e">
        <f t="shared" si="8"/>
        <v>#VALUE!</v>
      </c>
      <c r="AC18" s="27" t="e">
        <f t="shared" si="8"/>
        <v>#VALUE!</v>
      </c>
      <c r="AD18" s="27" t="e">
        <f t="shared" si="8"/>
        <v>#VALUE!</v>
      </c>
      <c r="AF18" t="e">
        <f t="shared" si="5"/>
        <v>#VALUE!</v>
      </c>
    </row>
    <row r="19" spans="1:32" x14ac:dyDescent="0.25">
      <c r="A19" s="10">
        <f t="shared" si="6"/>
        <v>43556</v>
      </c>
      <c r="B19" t="e">
        <f t="shared" si="7"/>
        <v>#VALUE!</v>
      </c>
      <c r="C19" t="e">
        <f t="shared" si="7"/>
        <v>#VALUE!</v>
      </c>
      <c r="D19" t="e">
        <f t="shared" si="7"/>
        <v>#VALUE!</v>
      </c>
      <c r="E19" t="e">
        <f t="shared" si="7"/>
        <v>#VALUE!</v>
      </c>
      <c r="F19" t="e">
        <f t="shared" si="7"/>
        <v>#VALUE!</v>
      </c>
      <c r="G19" t="e">
        <f t="shared" si="7"/>
        <v>#VALUE!</v>
      </c>
      <c r="H19" t="e">
        <f t="shared" si="7"/>
        <v>#VALUE!</v>
      </c>
      <c r="I19" t="e">
        <f t="shared" si="7"/>
        <v>#VALUE!</v>
      </c>
      <c r="J19" t="e">
        <f t="shared" si="7"/>
        <v>#VALUE!</v>
      </c>
      <c r="K19" t="e">
        <f t="shared" si="7"/>
        <v>#VALUE!</v>
      </c>
      <c r="L19" t="e">
        <f t="shared" si="7"/>
        <v>#VALUE!</v>
      </c>
      <c r="M19" t="e">
        <f t="shared" si="7"/>
        <v>#VALUE!</v>
      </c>
      <c r="N19" t="e">
        <f t="shared" si="7"/>
        <v>#VALUE!</v>
      </c>
      <c r="P19" t="e">
        <f t="shared" si="3"/>
        <v>#VALUE!</v>
      </c>
      <c r="R19" s="27" t="e">
        <f t="shared" si="8"/>
        <v>#VALUE!</v>
      </c>
      <c r="S19" s="27" t="e">
        <f t="shared" si="8"/>
        <v>#VALUE!</v>
      </c>
      <c r="T19" s="27" t="e">
        <f t="shared" si="8"/>
        <v>#VALUE!</v>
      </c>
      <c r="U19" s="27" t="e">
        <f t="shared" si="8"/>
        <v>#VALUE!</v>
      </c>
      <c r="V19" s="27" t="e">
        <f t="shared" si="8"/>
        <v>#VALUE!</v>
      </c>
      <c r="W19" s="27" t="e">
        <f t="shared" si="8"/>
        <v>#VALUE!</v>
      </c>
      <c r="X19" s="27" t="e">
        <f t="shared" si="8"/>
        <v>#VALUE!</v>
      </c>
      <c r="Y19" s="27" t="e">
        <f t="shared" si="8"/>
        <v>#VALUE!</v>
      </c>
      <c r="Z19" s="27" t="e">
        <f t="shared" si="8"/>
        <v>#VALUE!</v>
      </c>
      <c r="AA19" s="27" t="e">
        <f t="shared" si="8"/>
        <v>#VALUE!</v>
      </c>
      <c r="AB19" s="27" t="e">
        <f t="shared" si="8"/>
        <v>#VALUE!</v>
      </c>
      <c r="AC19" s="27" t="e">
        <f t="shared" si="8"/>
        <v>#VALUE!</v>
      </c>
      <c r="AD19" s="27" t="e">
        <f t="shared" si="8"/>
        <v>#VALUE!</v>
      </c>
      <c r="AF19" t="e">
        <f t="shared" si="5"/>
        <v>#VALUE!</v>
      </c>
    </row>
    <row r="20" spans="1:32" x14ac:dyDescent="0.25">
      <c r="A20" s="10">
        <f t="shared" si="6"/>
        <v>43586</v>
      </c>
      <c r="B20" t="e">
        <f t="shared" si="7"/>
        <v>#VALUE!</v>
      </c>
      <c r="C20" t="e">
        <f t="shared" si="7"/>
        <v>#VALUE!</v>
      </c>
      <c r="D20" t="e">
        <f t="shared" si="7"/>
        <v>#VALUE!</v>
      </c>
      <c r="E20" t="e">
        <f t="shared" si="7"/>
        <v>#VALUE!</v>
      </c>
      <c r="F20" t="e">
        <f t="shared" si="7"/>
        <v>#VALUE!</v>
      </c>
      <c r="G20" t="e">
        <f t="shared" si="7"/>
        <v>#VALUE!</v>
      </c>
      <c r="H20" t="e">
        <f t="shared" si="7"/>
        <v>#VALUE!</v>
      </c>
      <c r="I20" t="e">
        <f t="shared" si="7"/>
        <v>#VALUE!</v>
      </c>
      <c r="J20" t="e">
        <f t="shared" si="7"/>
        <v>#VALUE!</v>
      </c>
      <c r="K20" t="e">
        <f t="shared" si="7"/>
        <v>#VALUE!</v>
      </c>
      <c r="L20" t="e">
        <f t="shared" si="7"/>
        <v>#VALUE!</v>
      </c>
      <c r="M20" t="e">
        <f t="shared" si="7"/>
        <v>#VALUE!</v>
      </c>
      <c r="N20" t="e">
        <f t="shared" si="7"/>
        <v>#VALUE!</v>
      </c>
      <c r="P20" t="e">
        <f t="shared" si="3"/>
        <v>#VALUE!</v>
      </c>
      <c r="R20" s="27" t="e">
        <f t="shared" si="8"/>
        <v>#VALUE!</v>
      </c>
      <c r="S20" s="27" t="e">
        <f t="shared" si="8"/>
        <v>#VALUE!</v>
      </c>
      <c r="T20" s="27" t="e">
        <f t="shared" si="8"/>
        <v>#VALUE!</v>
      </c>
      <c r="U20" s="27" t="e">
        <f t="shared" si="8"/>
        <v>#VALUE!</v>
      </c>
      <c r="V20" s="27" t="e">
        <f t="shared" si="8"/>
        <v>#VALUE!</v>
      </c>
      <c r="W20" s="27" t="e">
        <f t="shared" si="8"/>
        <v>#VALUE!</v>
      </c>
      <c r="X20" s="27" t="e">
        <f t="shared" si="8"/>
        <v>#VALUE!</v>
      </c>
      <c r="Y20" s="27" t="e">
        <f t="shared" si="8"/>
        <v>#VALUE!</v>
      </c>
      <c r="Z20" s="27" t="e">
        <f t="shared" si="8"/>
        <v>#VALUE!</v>
      </c>
      <c r="AA20" s="27" t="e">
        <f t="shared" si="8"/>
        <v>#VALUE!</v>
      </c>
      <c r="AB20" s="27" t="e">
        <f t="shared" si="8"/>
        <v>#VALUE!</v>
      </c>
      <c r="AC20" s="27" t="e">
        <f t="shared" si="8"/>
        <v>#VALUE!</v>
      </c>
      <c r="AD20" s="27" t="e">
        <f t="shared" si="8"/>
        <v>#VALUE!</v>
      </c>
      <c r="AF20" t="e">
        <f t="shared" si="5"/>
        <v>#VALUE!</v>
      </c>
    </row>
    <row r="21" spans="1:32" x14ac:dyDescent="0.25">
      <c r="A21" s="10">
        <f t="shared" si="6"/>
        <v>43617</v>
      </c>
      <c r="B21" t="e">
        <f t="shared" si="7"/>
        <v>#VALUE!</v>
      </c>
      <c r="C21" t="e">
        <f t="shared" si="7"/>
        <v>#VALUE!</v>
      </c>
      <c r="D21" t="e">
        <f t="shared" si="7"/>
        <v>#VALUE!</v>
      </c>
      <c r="E21" t="e">
        <f t="shared" si="7"/>
        <v>#VALUE!</v>
      </c>
      <c r="F21" t="e">
        <f t="shared" si="7"/>
        <v>#VALUE!</v>
      </c>
      <c r="G21" t="e">
        <f t="shared" si="7"/>
        <v>#VALUE!</v>
      </c>
      <c r="H21" t="e">
        <f t="shared" si="7"/>
        <v>#VALUE!</v>
      </c>
      <c r="I21" t="e">
        <f t="shared" si="7"/>
        <v>#VALUE!</v>
      </c>
      <c r="J21" t="e">
        <f t="shared" si="7"/>
        <v>#VALUE!</v>
      </c>
      <c r="K21" t="e">
        <f t="shared" si="7"/>
        <v>#VALUE!</v>
      </c>
      <c r="L21" t="e">
        <f t="shared" si="7"/>
        <v>#VALUE!</v>
      </c>
      <c r="M21" t="e">
        <f t="shared" si="7"/>
        <v>#VALUE!</v>
      </c>
      <c r="N21" t="e">
        <f t="shared" si="7"/>
        <v>#VALUE!</v>
      </c>
      <c r="P21" t="e">
        <f t="shared" si="3"/>
        <v>#VALUE!</v>
      </c>
      <c r="R21" s="27" t="e">
        <f t="shared" si="8"/>
        <v>#VALUE!</v>
      </c>
      <c r="S21" s="27" t="e">
        <f t="shared" si="8"/>
        <v>#VALUE!</v>
      </c>
      <c r="T21" s="27" t="e">
        <f t="shared" si="8"/>
        <v>#VALUE!</v>
      </c>
      <c r="U21" s="27" t="e">
        <f t="shared" si="8"/>
        <v>#VALUE!</v>
      </c>
      <c r="V21" s="27" t="e">
        <f t="shared" si="8"/>
        <v>#VALUE!</v>
      </c>
      <c r="W21" s="27" t="e">
        <f t="shared" si="8"/>
        <v>#VALUE!</v>
      </c>
      <c r="X21" s="27" t="e">
        <f t="shared" si="8"/>
        <v>#VALUE!</v>
      </c>
      <c r="Y21" s="27" t="e">
        <f t="shared" si="8"/>
        <v>#VALUE!</v>
      </c>
      <c r="Z21" s="27" t="e">
        <f t="shared" si="8"/>
        <v>#VALUE!</v>
      </c>
      <c r="AA21" s="27" t="e">
        <f t="shared" si="8"/>
        <v>#VALUE!</v>
      </c>
      <c r="AB21" s="27" t="e">
        <f t="shared" si="8"/>
        <v>#VALUE!</v>
      </c>
      <c r="AC21" s="27" t="e">
        <f t="shared" si="8"/>
        <v>#VALUE!</v>
      </c>
      <c r="AD21" s="27" t="e">
        <f t="shared" si="8"/>
        <v>#VALUE!</v>
      </c>
      <c r="AF21" t="e">
        <f t="shared" si="5"/>
        <v>#VALUE!</v>
      </c>
    </row>
    <row r="22" spans="1:32" x14ac:dyDescent="0.25">
      <c r="A22" s="10">
        <f t="shared" si="6"/>
        <v>43647</v>
      </c>
      <c r="B22" t="e">
        <f t="shared" si="7"/>
        <v>#VALUE!</v>
      </c>
      <c r="C22" t="e">
        <f t="shared" si="7"/>
        <v>#VALUE!</v>
      </c>
      <c r="D22" t="e">
        <f t="shared" si="7"/>
        <v>#VALUE!</v>
      </c>
      <c r="E22" t="e">
        <f t="shared" si="7"/>
        <v>#VALUE!</v>
      </c>
      <c r="F22" t="e">
        <f t="shared" si="7"/>
        <v>#VALUE!</v>
      </c>
      <c r="G22" t="e">
        <f t="shared" si="7"/>
        <v>#VALUE!</v>
      </c>
      <c r="H22" t="e">
        <f t="shared" si="7"/>
        <v>#VALUE!</v>
      </c>
      <c r="I22" t="e">
        <f t="shared" si="7"/>
        <v>#VALUE!</v>
      </c>
      <c r="J22" t="e">
        <f t="shared" si="7"/>
        <v>#VALUE!</v>
      </c>
      <c r="K22" t="e">
        <f t="shared" si="7"/>
        <v>#VALUE!</v>
      </c>
      <c r="L22" t="e">
        <f t="shared" si="7"/>
        <v>#VALUE!</v>
      </c>
      <c r="M22" t="e">
        <f t="shared" si="7"/>
        <v>#VALUE!</v>
      </c>
      <c r="N22" t="e">
        <f t="shared" si="7"/>
        <v>#VALUE!</v>
      </c>
      <c r="P22" t="e">
        <f t="shared" si="3"/>
        <v>#VALUE!</v>
      </c>
      <c r="R22" s="27" t="e">
        <f t="shared" si="8"/>
        <v>#VALUE!</v>
      </c>
      <c r="S22" s="27" t="e">
        <f t="shared" si="8"/>
        <v>#VALUE!</v>
      </c>
      <c r="T22" s="27" t="e">
        <f t="shared" si="8"/>
        <v>#VALUE!</v>
      </c>
      <c r="U22" s="27" t="e">
        <f t="shared" si="8"/>
        <v>#VALUE!</v>
      </c>
      <c r="V22" s="27" t="e">
        <f t="shared" si="8"/>
        <v>#VALUE!</v>
      </c>
      <c r="W22" s="27" t="e">
        <f t="shared" si="8"/>
        <v>#VALUE!</v>
      </c>
      <c r="X22" s="27" t="e">
        <f t="shared" si="8"/>
        <v>#VALUE!</v>
      </c>
      <c r="Y22" s="27" t="e">
        <f t="shared" si="8"/>
        <v>#VALUE!</v>
      </c>
      <c r="Z22" s="27" t="e">
        <f t="shared" si="8"/>
        <v>#VALUE!</v>
      </c>
      <c r="AA22" s="27" t="e">
        <f t="shared" si="8"/>
        <v>#VALUE!</v>
      </c>
      <c r="AB22" s="27" t="e">
        <f t="shared" si="8"/>
        <v>#VALUE!</v>
      </c>
      <c r="AC22" s="27" t="e">
        <f t="shared" si="8"/>
        <v>#VALUE!</v>
      </c>
      <c r="AD22" s="27" t="e">
        <f t="shared" si="8"/>
        <v>#VALUE!</v>
      </c>
      <c r="AF22" t="e">
        <f t="shared" si="5"/>
        <v>#VALUE!</v>
      </c>
    </row>
    <row r="23" spans="1:32" x14ac:dyDescent="0.25">
      <c r="A23" s="10">
        <f t="shared" si="6"/>
        <v>43678</v>
      </c>
      <c r="B23" t="e">
        <f t="shared" si="7"/>
        <v>#VALUE!</v>
      </c>
      <c r="C23" t="e">
        <f t="shared" si="7"/>
        <v>#VALUE!</v>
      </c>
      <c r="D23" t="e">
        <f t="shared" si="7"/>
        <v>#VALUE!</v>
      </c>
      <c r="E23" t="e">
        <f t="shared" si="7"/>
        <v>#VALUE!</v>
      </c>
      <c r="F23" t="e">
        <f t="shared" si="7"/>
        <v>#VALUE!</v>
      </c>
      <c r="G23" t="e">
        <f t="shared" si="7"/>
        <v>#VALUE!</v>
      </c>
      <c r="H23" t="e">
        <f t="shared" si="7"/>
        <v>#VALUE!</v>
      </c>
      <c r="I23" t="e">
        <f t="shared" si="7"/>
        <v>#VALUE!</v>
      </c>
      <c r="J23" t="e">
        <f t="shared" si="7"/>
        <v>#VALUE!</v>
      </c>
      <c r="K23" t="e">
        <f t="shared" si="7"/>
        <v>#VALUE!</v>
      </c>
      <c r="L23" t="e">
        <f t="shared" si="7"/>
        <v>#VALUE!</v>
      </c>
      <c r="M23" t="e">
        <f t="shared" si="7"/>
        <v>#VALUE!</v>
      </c>
      <c r="N23" t="e">
        <f t="shared" si="7"/>
        <v>#VALUE!</v>
      </c>
      <c r="P23" t="e">
        <f t="shared" si="3"/>
        <v>#VALUE!</v>
      </c>
      <c r="R23" s="27" t="e">
        <f t="shared" si="8"/>
        <v>#VALUE!</v>
      </c>
      <c r="S23" s="27" t="e">
        <f t="shared" si="8"/>
        <v>#VALUE!</v>
      </c>
      <c r="T23" s="27" t="e">
        <f t="shared" si="8"/>
        <v>#VALUE!</v>
      </c>
      <c r="U23" s="27" t="e">
        <f t="shared" si="8"/>
        <v>#VALUE!</v>
      </c>
      <c r="V23" s="27" t="e">
        <f t="shared" si="8"/>
        <v>#VALUE!</v>
      </c>
      <c r="W23" s="27" t="e">
        <f t="shared" si="8"/>
        <v>#VALUE!</v>
      </c>
      <c r="X23" s="27" t="e">
        <f t="shared" si="8"/>
        <v>#VALUE!</v>
      </c>
      <c r="Y23" s="27" t="e">
        <f t="shared" si="8"/>
        <v>#VALUE!</v>
      </c>
      <c r="Z23" s="27" t="e">
        <f t="shared" si="8"/>
        <v>#VALUE!</v>
      </c>
      <c r="AA23" s="27" t="e">
        <f t="shared" si="8"/>
        <v>#VALUE!</v>
      </c>
      <c r="AB23" s="27" t="e">
        <f t="shared" si="8"/>
        <v>#VALUE!</v>
      </c>
      <c r="AC23" s="27" t="e">
        <f t="shared" si="8"/>
        <v>#VALUE!</v>
      </c>
      <c r="AD23" s="27" t="e">
        <f t="shared" si="8"/>
        <v>#VALUE!</v>
      </c>
      <c r="AF23" t="e">
        <f t="shared" si="5"/>
        <v>#VALUE!</v>
      </c>
    </row>
    <row r="24" spans="1:32" x14ac:dyDescent="0.25">
      <c r="A24" s="10">
        <f t="shared" si="6"/>
        <v>43709</v>
      </c>
      <c r="B24" t="e">
        <f t="shared" si="7"/>
        <v>#VALUE!</v>
      </c>
      <c r="C24" t="e">
        <f t="shared" si="7"/>
        <v>#VALUE!</v>
      </c>
      <c r="D24" t="e">
        <f t="shared" si="7"/>
        <v>#VALUE!</v>
      </c>
      <c r="E24" t="e">
        <f t="shared" si="7"/>
        <v>#VALUE!</v>
      </c>
      <c r="F24" t="e">
        <f t="shared" si="7"/>
        <v>#VALUE!</v>
      </c>
      <c r="G24" t="e">
        <f t="shared" si="7"/>
        <v>#VALUE!</v>
      </c>
      <c r="H24" t="e">
        <f t="shared" si="7"/>
        <v>#VALUE!</v>
      </c>
      <c r="I24" t="e">
        <f t="shared" si="7"/>
        <v>#VALUE!</v>
      </c>
      <c r="J24" t="e">
        <f t="shared" si="7"/>
        <v>#VALUE!</v>
      </c>
      <c r="K24" t="e">
        <f t="shared" si="7"/>
        <v>#VALUE!</v>
      </c>
      <c r="L24" t="e">
        <f t="shared" si="7"/>
        <v>#VALUE!</v>
      </c>
      <c r="M24" t="e">
        <f t="shared" si="7"/>
        <v>#VALUE!</v>
      </c>
      <c r="N24" t="e">
        <f t="shared" si="7"/>
        <v>#VALUE!</v>
      </c>
      <c r="P24" t="e">
        <f t="shared" si="3"/>
        <v>#VALUE!</v>
      </c>
      <c r="R24" s="27" t="e">
        <f t="shared" ref="R24:AD33" si="9">(riseset(planetno, $A24,R$3, longi, 1,-0.8333,pres,temp)-$AF24)*60</f>
        <v>#VALUE!</v>
      </c>
      <c r="S24" s="27" t="e">
        <f t="shared" si="9"/>
        <v>#VALUE!</v>
      </c>
      <c r="T24" s="27" t="e">
        <f t="shared" si="9"/>
        <v>#VALUE!</v>
      </c>
      <c r="U24" s="27" t="e">
        <f t="shared" si="9"/>
        <v>#VALUE!</v>
      </c>
      <c r="V24" s="27" t="e">
        <f t="shared" si="9"/>
        <v>#VALUE!</v>
      </c>
      <c r="W24" s="27" t="e">
        <f t="shared" si="9"/>
        <v>#VALUE!</v>
      </c>
      <c r="X24" s="27" t="e">
        <f t="shared" si="9"/>
        <v>#VALUE!</v>
      </c>
      <c r="Y24" s="27" t="e">
        <f t="shared" si="9"/>
        <v>#VALUE!</v>
      </c>
      <c r="Z24" s="27" t="e">
        <f t="shared" si="9"/>
        <v>#VALUE!</v>
      </c>
      <c r="AA24" s="27" t="e">
        <f t="shared" si="9"/>
        <v>#VALUE!</v>
      </c>
      <c r="AB24" s="27" t="e">
        <f t="shared" si="9"/>
        <v>#VALUE!</v>
      </c>
      <c r="AC24" s="27" t="e">
        <f t="shared" si="9"/>
        <v>#VALUE!</v>
      </c>
      <c r="AD24" s="27" t="e">
        <f t="shared" si="9"/>
        <v>#VALUE!</v>
      </c>
      <c r="AF24" t="e">
        <f t="shared" si="5"/>
        <v>#VALUE!</v>
      </c>
    </row>
    <row r="25" spans="1:32" x14ac:dyDescent="0.25">
      <c r="A25" s="10">
        <f t="shared" si="6"/>
        <v>43739</v>
      </c>
      <c r="B25" t="e">
        <f t="shared" si="7"/>
        <v>#VALUE!</v>
      </c>
      <c r="C25" t="e">
        <f t="shared" si="7"/>
        <v>#VALUE!</v>
      </c>
      <c r="D25" t="e">
        <f t="shared" si="7"/>
        <v>#VALUE!</v>
      </c>
      <c r="E25" t="e">
        <f t="shared" si="7"/>
        <v>#VALUE!</v>
      </c>
      <c r="F25" t="e">
        <f t="shared" si="7"/>
        <v>#VALUE!</v>
      </c>
      <c r="G25" t="e">
        <f t="shared" si="7"/>
        <v>#VALUE!</v>
      </c>
      <c r="H25" t="e">
        <f t="shared" si="7"/>
        <v>#VALUE!</v>
      </c>
      <c r="I25" t="e">
        <f t="shared" si="7"/>
        <v>#VALUE!</v>
      </c>
      <c r="J25" t="e">
        <f t="shared" si="7"/>
        <v>#VALUE!</v>
      </c>
      <c r="K25" t="e">
        <f t="shared" si="7"/>
        <v>#VALUE!</v>
      </c>
      <c r="L25" t="e">
        <f t="shared" si="7"/>
        <v>#VALUE!</v>
      </c>
      <c r="M25" t="e">
        <f t="shared" si="7"/>
        <v>#VALUE!</v>
      </c>
      <c r="N25" t="e">
        <f t="shared" si="7"/>
        <v>#VALUE!</v>
      </c>
      <c r="P25" t="e">
        <f t="shared" si="3"/>
        <v>#VALUE!</v>
      </c>
      <c r="R25" s="27" t="e">
        <f t="shared" si="9"/>
        <v>#VALUE!</v>
      </c>
      <c r="S25" s="27" t="e">
        <f t="shared" si="9"/>
        <v>#VALUE!</v>
      </c>
      <c r="T25" s="27" t="e">
        <f t="shared" si="9"/>
        <v>#VALUE!</v>
      </c>
      <c r="U25" s="27" t="e">
        <f t="shared" si="9"/>
        <v>#VALUE!</v>
      </c>
      <c r="V25" s="27" t="e">
        <f t="shared" si="9"/>
        <v>#VALUE!</v>
      </c>
      <c r="W25" s="27" t="e">
        <f t="shared" si="9"/>
        <v>#VALUE!</v>
      </c>
      <c r="X25" s="27" t="e">
        <f t="shared" si="9"/>
        <v>#VALUE!</v>
      </c>
      <c r="Y25" s="27" t="e">
        <f t="shared" si="9"/>
        <v>#VALUE!</v>
      </c>
      <c r="Z25" s="27" t="e">
        <f t="shared" si="9"/>
        <v>#VALUE!</v>
      </c>
      <c r="AA25" s="27" t="e">
        <f t="shared" si="9"/>
        <v>#VALUE!</v>
      </c>
      <c r="AB25" s="27" t="e">
        <f t="shared" si="9"/>
        <v>#VALUE!</v>
      </c>
      <c r="AC25" s="27" t="e">
        <f t="shared" si="9"/>
        <v>#VALUE!</v>
      </c>
      <c r="AD25" s="27" t="e">
        <f t="shared" si="9"/>
        <v>#VALUE!</v>
      </c>
      <c r="AF25" t="e">
        <f t="shared" si="5"/>
        <v>#VALUE!</v>
      </c>
    </row>
    <row r="26" spans="1:32" x14ac:dyDescent="0.25">
      <c r="A26" s="10">
        <f t="shared" si="6"/>
        <v>43770</v>
      </c>
      <c r="B26" t="e">
        <f t="shared" si="7"/>
        <v>#VALUE!</v>
      </c>
      <c r="C26" t="e">
        <f t="shared" si="7"/>
        <v>#VALUE!</v>
      </c>
      <c r="D26" t="e">
        <f t="shared" si="7"/>
        <v>#VALUE!</v>
      </c>
      <c r="E26" t="e">
        <f t="shared" si="7"/>
        <v>#VALUE!</v>
      </c>
      <c r="F26" t="e">
        <f t="shared" si="7"/>
        <v>#VALUE!</v>
      </c>
      <c r="G26" t="e">
        <f t="shared" si="7"/>
        <v>#VALUE!</v>
      </c>
      <c r="H26" t="e">
        <f t="shared" si="7"/>
        <v>#VALUE!</v>
      </c>
      <c r="I26" t="e">
        <f t="shared" si="7"/>
        <v>#VALUE!</v>
      </c>
      <c r="J26" t="e">
        <f t="shared" si="7"/>
        <v>#VALUE!</v>
      </c>
      <c r="K26" t="e">
        <f t="shared" si="7"/>
        <v>#VALUE!</v>
      </c>
      <c r="L26" t="e">
        <f t="shared" si="7"/>
        <v>#VALUE!</v>
      </c>
      <c r="M26" t="e">
        <f t="shared" si="7"/>
        <v>#VALUE!</v>
      </c>
      <c r="N26" t="e">
        <f t="shared" si="7"/>
        <v>#VALUE!</v>
      </c>
      <c r="P26" t="e">
        <f t="shared" si="3"/>
        <v>#VALUE!</v>
      </c>
      <c r="R26" s="27" t="e">
        <f t="shared" si="9"/>
        <v>#VALUE!</v>
      </c>
      <c r="S26" s="27" t="e">
        <f t="shared" si="9"/>
        <v>#VALUE!</v>
      </c>
      <c r="T26" s="27" t="e">
        <f t="shared" si="9"/>
        <v>#VALUE!</v>
      </c>
      <c r="U26" s="27" t="e">
        <f t="shared" si="9"/>
        <v>#VALUE!</v>
      </c>
      <c r="V26" s="27" t="e">
        <f t="shared" si="9"/>
        <v>#VALUE!</v>
      </c>
      <c r="W26" s="27" t="e">
        <f t="shared" si="9"/>
        <v>#VALUE!</v>
      </c>
      <c r="X26" s="27" t="e">
        <f t="shared" si="9"/>
        <v>#VALUE!</v>
      </c>
      <c r="Y26" s="27" t="e">
        <f t="shared" si="9"/>
        <v>#VALUE!</v>
      </c>
      <c r="Z26" s="27" t="e">
        <f t="shared" si="9"/>
        <v>#VALUE!</v>
      </c>
      <c r="AA26" s="27" t="e">
        <f t="shared" si="9"/>
        <v>#VALUE!</v>
      </c>
      <c r="AB26" s="27" t="e">
        <f t="shared" si="9"/>
        <v>#VALUE!</v>
      </c>
      <c r="AC26" s="27" t="e">
        <f t="shared" si="9"/>
        <v>#VALUE!</v>
      </c>
      <c r="AD26" s="27" t="e">
        <f t="shared" si="9"/>
        <v>#VALUE!</v>
      </c>
      <c r="AF26" t="e">
        <f t="shared" si="5"/>
        <v>#VALUE!</v>
      </c>
    </row>
    <row r="27" spans="1:32" x14ac:dyDescent="0.25">
      <c r="A27" s="10">
        <f t="shared" si="6"/>
        <v>43800</v>
      </c>
      <c r="B27" t="e">
        <f t="shared" si="7"/>
        <v>#VALUE!</v>
      </c>
      <c r="C27" t="e">
        <f t="shared" si="7"/>
        <v>#VALUE!</v>
      </c>
      <c r="D27" t="e">
        <f t="shared" si="7"/>
        <v>#VALUE!</v>
      </c>
      <c r="E27" t="e">
        <f t="shared" si="7"/>
        <v>#VALUE!</v>
      </c>
      <c r="F27" t="e">
        <f t="shared" si="7"/>
        <v>#VALUE!</v>
      </c>
      <c r="G27" t="e">
        <f t="shared" si="7"/>
        <v>#VALUE!</v>
      </c>
      <c r="H27" t="e">
        <f t="shared" si="7"/>
        <v>#VALUE!</v>
      </c>
      <c r="I27" t="e">
        <f t="shared" si="7"/>
        <v>#VALUE!</v>
      </c>
      <c r="J27" t="e">
        <f t="shared" si="7"/>
        <v>#VALUE!</v>
      </c>
      <c r="K27" t="e">
        <f t="shared" si="7"/>
        <v>#VALUE!</v>
      </c>
      <c r="L27" t="e">
        <f t="shared" si="7"/>
        <v>#VALUE!</v>
      </c>
      <c r="M27" t="e">
        <f t="shared" si="7"/>
        <v>#VALUE!</v>
      </c>
      <c r="N27" t="e">
        <f t="shared" si="7"/>
        <v>#VALUE!</v>
      </c>
      <c r="P27" t="e">
        <f t="shared" si="3"/>
        <v>#VALUE!</v>
      </c>
      <c r="R27" s="27" t="e">
        <f t="shared" si="9"/>
        <v>#VALUE!</v>
      </c>
      <c r="S27" s="27" t="e">
        <f t="shared" si="9"/>
        <v>#VALUE!</v>
      </c>
      <c r="T27" s="27" t="e">
        <f t="shared" si="9"/>
        <v>#VALUE!</v>
      </c>
      <c r="U27" s="27" t="e">
        <f t="shared" si="9"/>
        <v>#VALUE!</v>
      </c>
      <c r="V27" s="27" t="e">
        <f t="shared" si="9"/>
        <v>#VALUE!</v>
      </c>
      <c r="W27" s="27" t="e">
        <f t="shared" si="9"/>
        <v>#VALUE!</v>
      </c>
      <c r="X27" s="27" t="e">
        <f t="shared" si="9"/>
        <v>#VALUE!</v>
      </c>
      <c r="Y27" s="27" t="e">
        <f t="shared" si="9"/>
        <v>#VALUE!</v>
      </c>
      <c r="Z27" s="27" t="e">
        <f t="shared" si="9"/>
        <v>#VALUE!</v>
      </c>
      <c r="AA27" s="27" t="e">
        <f t="shared" si="9"/>
        <v>#VALUE!</v>
      </c>
      <c r="AB27" s="27" t="e">
        <f t="shared" si="9"/>
        <v>#VALUE!</v>
      </c>
      <c r="AC27" s="27" t="e">
        <f t="shared" si="9"/>
        <v>#VALUE!</v>
      </c>
      <c r="AD27" s="27" t="e">
        <f t="shared" si="9"/>
        <v>#VALUE!</v>
      </c>
      <c r="AF27" t="e">
        <f t="shared" si="5"/>
        <v>#VALUE!</v>
      </c>
    </row>
    <row r="28" spans="1:32" x14ac:dyDescent="0.25">
      <c r="A28" s="10">
        <f t="shared" si="6"/>
        <v>43831</v>
      </c>
      <c r="B28" t="e">
        <f t="shared" si="7"/>
        <v>#VALUE!</v>
      </c>
      <c r="C28" t="e">
        <f t="shared" si="7"/>
        <v>#VALUE!</v>
      </c>
      <c r="D28" t="e">
        <f t="shared" si="7"/>
        <v>#VALUE!</v>
      </c>
      <c r="E28" t="e">
        <f t="shared" si="7"/>
        <v>#VALUE!</v>
      </c>
      <c r="F28" t="e">
        <f t="shared" si="7"/>
        <v>#VALUE!</v>
      </c>
      <c r="G28" t="e">
        <f t="shared" si="7"/>
        <v>#VALUE!</v>
      </c>
      <c r="H28" t="e">
        <f t="shared" si="7"/>
        <v>#VALUE!</v>
      </c>
      <c r="I28" t="e">
        <f t="shared" si="7"/>
        <v>#VALUE!</v>
      </c>
      <c r="J28" t="e">
        <f t="shared" si="7"/>
        <v>#VALUE!</v>
      </c>
      <c r="K28" t="e">
        <f t="shared" si="7"/>
        <v>#VALUE!</v>
      </c>
      <c r="L28" t="e">
        <f t="shared" si="7"/>
        <v>#VALUE!</v>
      </c>
      <c r="M28" t="e">
        <f t="shared" si="7"/>
        <v>#VALUE!</v>
      </c>
      <c r="N28" t="e">
        <f t="shared" si="7"/>
        <v>#VALUE!</v>
      </c>
      <c r="P28" t="e">
        <f t="shared" si="3"/>
        <v>#VALUE!</v>
      </c>
      <c r="R28" s="27" t="e">
        <f t="shared" si="9"/>
        <v>#VALUE!</v>
      </c>
      <c r="S28" s="27" t="e">
        <f t="shared" si="9"/>
        <v>#VALUE!</v>
      </c>
      <c r="T28" s="27" t="e">
        <f t="shared" si="9"/>
        <v>#VALUE!</v>
      </c>
      <c r="U28" s="27" t="e">
        <f t="shared" si="9"/>
        <v>#VALUE!</v>
      </c>
      <c r="V28" s="27" t="e">
        <f t="shared" si="9"/>
        <v>#VALUE!</v>
      </c>
      <c r="W28" s="27" t="e">
        <f t="shared" si="9"/>
        <v>#VALUE!</v>
      </c>
      <c r="X28" s="27" t="e">
        <f t="shared" si="9"/>
        <v>#VALUE!</v>
      </c>
      <c r="Y28" s="27" t="e">
        <f t="shared" si="9"/>
        <v>#VALUE!</v>
      </c>
      <c r="Z28" s="27" t="e">
        <f t="shared" si="9"/>
        <v>#VALUE!</v>
      </c>
      <c r="AA28" s="27" t="e">
        <f t="shared" si="9"/>
        <v>#VALUE!</v>
      </c>
      <c r="AB28" s="27" t="e">
        <f t="shared" si="9"/>
        <v>#VALUE!</v>
      </c>
      <c r="AC28" s="27" t="e">
        <f t="shared" si="9"/>
        <v>#VALUE!</v>
      </c>
      <c r="AD28" s="27" t="e">
        <f t="shared" si="9"/>
        <v>#VALUE!</v>
      </c>
      <c r="AF28" t="e">
        <f t="shared" si="5"/>
        <v>#VALUE!</v>
      </c>
    </row>
    <row r="29" spans="1:32" x14ac:dyDescent="0.25">
      <c r="A29" s="10">
        <f t="shared" si="6"/>
        <v>43862</v>
      </c>
      <c r="B29" t="e">
        <f t="shared" si="7"/>
        <v>#VALUE!</v>
      </c>
      <c r="C29" t="e">
        <f t="shared" si="7"/>
        <v>#VALUE!</v>
      </c>
      <c r="D29" t="e">
        <f t="shared" si="7"/>
        <v>#VALUE!</v>
      </c>
      <c r="E29" t="e">
        <f t="shared" si="7"/>
        <v>#VALUE!</v>
      </c>
      <c r="F29" t="e">
        <f t="shared" si="7"/>
        <v>#VALUE!</v>
      </c>
      <c r="G29" t="e">
        <f t="shared" si="7"/>
        <v>#VALUE!</v>
      </c>
      <c r="H29" t="e">
        <f t="shared" si="7"/>
        <v>#VALUE!</v>
      </c>
      <c r="I29" t="e">
        <f t="shared" si="7"/>
        <v>#VALUE!</v>
      </c>
      <c r="J29" t="e">
        <f t="shared" si="7"/>
        <v>#VALUE!</v>
      </c>
      <c r="K29" t="e">
        <f t="shared" si="7"/>
        <v>#VALUE!</v>
      </c>
      <c r="L29" t="e">
        <f t="shared" si="7"/>
        <v>#VALUE!</v>
      </c>
      <c r="M29" t="e">
        <f t="shared" si="7"/>
        <v>#VALUE!</v>
      </c>
      <c r="N29" t="e">
        <f t="shared" si="7"/>
        <v>#VALUE!</v>
      </c>
      <c r="P29" t="e">
        <f t="shared" si="3"/>
        <v>#VALUE!</v>
      </c>
      <c r="R29" s="27" t="e">
        <f t="shared" si="9"/>
        <v>#VALUE!</v>
      </c>
      <c r="S29" s="27" t="e">
        <f t="shared" si="9"/>
        <v>#VALUE!</v>
      </c>
      <c r="T29" s="27" t="e">
        <f t="shared" si="9"/>
        <v>#VALUE!</v>
      </c>
      <c r="U29" s="27" t="e">
        <f t="shared" si="9"/>
        <v>#VALUE!</v>
      </c>
      <c r="V29" s="27" t="e">
        <f t="shared" si="9"/>
        <v>#VALUE!</v>
      </c>
      <c r="W29" s="27" t="e">
        <f t="shared" si="9"/>
        <v>#VALUE!</v>
      </c>
      <c r="X29" s="27" t="e">
        <f t="shared" si="9"/>
        <v>#VALUE!</v>
      </c>
      <c r="Y29" s="27" t="e">
        <f t="shared" si="9"/>
        <v>#VALUE!</v>
      </c>
      <c r="Z29" s="27" t="e">
        <f t="shared" si="9"/>
        <v>#VALUE!</v>
      </c>
      <c r="AA29" s="27" t="e">
        <f t="shared" si="9"/>
        <v>#VALUE!</v>
      </c>
      <c r="AB29" s="27" t="e">
        <f t="shared" si="9"/>
        <v>#VALUE!</v>
      </c>
      <c r="AC29" s="27" t="e">
        <f t="shared" si="9"/>
        <v>#VALUE!</v>
      </c>
      <c r="AD29" s="27" t="e">
        <f t="shared" si="9"/>
        <v>#VALUE!</v>
      </c>
      <c r="AF29" t="e">
        <f t="shared" si="5"/>
        <v>#VALUE!</v>
      </c>
    </row>
    <row r="30" spans="1:32" x14ac:dyDescent="0.25">
      <c r="A30" s="10">
        <f t="shared" si="6"/>
        <v>43891</v>
      </c>
      <c r="B30" t="e">
        <f t="shared" ref="B30:N49" si="10">TimeofTransit(planetno, $A30,$C$1,B$3)-$P30</f>
        <v>#VALUE!</v>
      </c>
      <c r="C30" t="e">
        <f t="shared" si="10"/>
        <v>#VALUE!</v>
      </c>
      <c r="D30" t="e">
        <f t="shared" si="10"/>
        <v>#VALUE!</v>
      </c>
      <c r="E30" t="e">
        <f t="shared" si="10"/>
        <v>#VALUE!</v>
      </c>
      <c r="F30" t="e">
        <f t="shared" si="10"/>
        <v>#VALUE!</v>
      </c>
      <c r="G30" t="e">
        <f t="shared" si="10"/>
        <v>#VALUE!</v>
      </c>
      <c r="H30" t="e">
        <f t="shared" si="10"/>
        <v>#VALUE!</v>
      </c>
      <c r="I30" t="e">
        <f t="shared" si="10"/>
        <v>#VALUE!</v>
      </c>
      <c r="J30" t="e">
        <f t="shared" si="10"/>
        <v>#VALUE!</v>
      </c>
      <c r="K30" t="e">
        <f t="shared" si="10"/>
        <v>#VALUE!</v>
      </c>
      <c r="L30" t="e">
        <f t="shared" si="10"/>
        <v>#VALUE!</v>
      </c>
      <c r="M30" t="e">
        <f t="shared" si="10"/>
        <v>#VALUE!</v>
      </c>
      <c r="N30" t="e">
        <f t="shared" si="10"/>
        <v>#VALUE!</v>
      </c>
      <c r="P30" t="e">
        <f t="shared" si="3"/>
        <v>#VALUE!</v>
      </c>
      <c r="R30" s="27" t="e">
        <f t="shared" si="9"/>
        <v>#VALUE!</v>
      </c>
      <c r="S30" s="27" t="e">
        <f t="shared" si="9"/>
        <v>#VALUE!</v>
      </c>
      <c r="T30" s="27" t="e">
        <f t="shared" si="9"/>
        <v>#VALUE!</v>
      </c>
      <c r="U30" s="27" t="e">
        <f t="shared" si="9"/>
        <v>#VALUE!</v>
      </c>
      <c r="V30" s="27" t="e">
        <f t="shared" si="9"/>
        <v>#VALUE!</v>
      </c>
      <c r="W30" s="27" t="e">
        <f t="shared" si="9"/>
        <v>#VALUE!</v>
      </c>
      <c r="X30" s="27" t="e">
        <f t="shared" si="9"/>
        <v>#VALUE!</v>
      </c>
      <c r="Y30" s="27" t="e">
        <f t="shared" si="9"/>
        <v>#VALUE!</v>
      </c>
      <c r="Z30" s="27" t="e">
        <f t="shared" si="9"/>
        <v>#VALUE!</v>
      </c>
      <c r="AA30" s="27" t="e">
        <f t="shared" si="9"/>
        <v>#VALUE!</v>
      </c>
      <c r="AB30" s="27" t="e">
        <f t="shared" si="9"/>
        <v>#VALUE!</v>
      </c>
      <c r="AC30" s="27" t="e">
        <f t="shared" si="9"/>
        <v>#VALUE!</v>
      </c>
      <c r="AD30" s="27" t="e">
        <f t="shared" si="9"/>
        <v>#VALUE!</v>
      </c>
      <c r="AF30" t="e">
        <f t="shared" si="5"/>
        <v>#VALUE!</v>
      </c>
    </row>
    <row r="31" spans="1:32" x14ac:dyDescent="0.25">
      <c r="A31" s="10">
        <f t="shared" si="6"/>
        <v>43922</v>
      </c>
      <c r="B31" t="e">
        <f t="shared" si="10"/>
        <v>#VALUE!</v>
      </c>
      <c r="C31" t="e">
        <f t="shared" si="10"/>
        <v>#VALUE!</v>
      </c>
      <c r="D31" t="e">
        <f t="shared" si="10"/>
        <v>#VALUE!</v>
      </c>
      <c r="E31" t="e">
        <f t="shared" si="10"/>
        <v>#VALUE!</v>
      </c>
      <c r="F31" t="e">
        <f t="shared" si="10"/>
        <v>#VALUE!</v>
      </c>
      <c r="G31" t="e">
        <f t="shared" si="10"/>
        <v>#VALUE!</v>
      </c>
      <c r="H31" t="e">
        <f t="shared" si="10"/>
        <v>#VALUE!</v>
      </c>
      <c r="I31" t="e">
        <f t="shared" si="10"/>
        <v>#VALUE!</v>
      </c>
      <c r="J31" t="e">
        <f t="shared" si="10"/>
        <v>#VALUE!</v>
      </c>
      <c r="K31" t="e">
        <f t="shared" si="10"/>
        <v>#VALUE!</v>
      </c>
      <c r="L31" t="e">
        <f t="shared" si="10"/>
        <v>#VALUE!</v>
      </c>
      <c r="M31" t="e">
        <f t="shared" si="10"/>
        <v>#VALUE!</v>
      </c>
      <c r="N31" t="e">
        <f t="shared" si="10"/>
        <v>#VALUE!</v>
      </c>
      <c r="P31" t="e">
        <f t="shared" si="3"/>
        <v>#VALUE!</v>
      </c>
      <c r="R31" s="27" t="e">
        <f t="shared" si="9"/>
        <v>#VALUE!</v>
      </c>
      <c r="S31" s="27" t="e">
        <f t="shared" si="9"/>
        <v>#VALUE!</v>
      </c>
      <c r="T31" s="27" t="e">
        <f t="shared" si="9"/>
        <v>#VALUE!</v>
      </c>
      <c r="U31" s="27" t="e">
        <f t="shared" si="9"/>
        <v>#VALUE!</v>
      </c>
      <c r="V31" s="27" t="e">
        <f t="shared" si="9"/>
        <v>#VALUE!</v>
      </c>
      <c r="W31" s="27" t="e">
        <f t="shared" si="9"/>
        <v>#VALUE!</v>
      </c>
      <c r="X31" s="27" t="e">
        <f t="shared" si="9"/>
        <v>#VALUE!</v>
      </c>
      <c r="Y31" s="27" t="e">
        <f t="shared" si="9"/>
        <v>#VALUE!</v>
      </c>
      <c r="Z31" s="27" t="e">
        <f t="shared" si="9"/>
        <v>#VALUE!</v>
      </c>
      <c r="AA31" s="27" t="e">
        <f t="shared" si="9"/>
        <v>#VALUE!</v>
      </c>
      <c r="AB31" s="27" t="e">
        <f t="shared" si="9"/>
        <v>#VALUE!</v>
      </c>
      <c r="AC31" s="27" t="e">
        <f t="shared" si="9"/>
        <v>#VALUE!</v>
      </c>
      <c r="AD31" s="27" t="e">
        <f t="shared" si="9"/>
        <v>#VALUE!</v>
      </c>
      <c r="AF31" t="e">
        <f t="shared" si="5"/>
        <v>#VALUE!</v>
      </c>
    </row>
    <row r="32" spans="1:32" x14ac:dyDescent="0.25">
      <c r="A32" s="10">
        <f t="shared" si="6"/>
        <v>43952</v>
      </c>
      <c r="B32" t="e">
        <f t="shared" si="10"/>
        <v>#VALUE!</v>
      </c>
      <c r="C32" t="e">
        <f t="shared" si="10"/>
        <v>#VALUE!</v>
      </c>
      <c r="D32" t="e">
        <f t="shared" si="10"/>
        <v>#VALUE!</v>
      </c>
      <c r="E32" t="e">
        <f t="shared" si="10"/>
        <v>#VALUE!</v>
      </c>
      <c r="F32" t="e">
        <f t="shared" si="10"/>
        <v>#VALUE!</v>
      </c>
      <c r="G32" t="e">
        <f t="shared" si="10"/>
        <v>#VALUE!</v>
      </c>
      <c r="H32" t="e">
        <f t="shared" si="10"/>
        <v>#VALUE!</v>
      </c>
      <c r="I32" t="e">
        <f t="shared" si="10"/>
        <v>#VALUE!</v>
      </c>
      <c r="J32" t="e">
        <f t="shared" si="10"/>
        <v>#VALUE!</v>
      </c>
      <c r="K32" t="e">
        <f t="shared" si="10"/>
        <v>#VALUE!</v>
      </c>
      <c r="L32" t="e">
        <f t="shared" si="10"/>
        <v>#VALUE!</v>
      </c>
      <c r="M32" t="e">
        <f t="shared" si="10"/>
        <v>#VALUE!</v>
      </c>
      <c r="N32" t="e">
        <f t="shared" si="10"/>
        <v>#VALUE!</v>
      </c>
      <c r="P32" t="e">
        <f t="shared" si="3"/>
        <v>#VALUE!</v>
      </c>
      <c r="R32" s="27" t="e">
        <f t="shared" si="9"/>
        <v>#VALUE!</v>
      </c>
      <c r="S32" s="27" t="e">
        <f t="shared" si="9"/>
        <v>#VALUE!</v>
      </c>
      <c r="T32" s="27" t="e">
        <f t="shared" si="9"/>
        <v>#VALUE!</v>
      </c>
      <c r="U32" s="27" t="e">
        <f t="shared" si="9"/>
        <v>#VALUE!</v>
      </c>
      <c r="V32" s="27" t="e">
        <f t="shared" si="9"/>
        <v>#VALUE!</v>
      </c>
      <c r="W32" s="27" t="e">
        <f t="shared" si="9"/>
        <v>#VALUE!</v>
      </c>
      <c r="X32" s="27" t="e">
        <f t="shared" si="9"/>
        <v>#VALUE!</v>
      </c>
      <c r="Y32" s="27" t="e">
        <f t="shared" si="9"/>
        <v>#VALUE!</v>
      </c>
      <c r="Z32" s="27" t="e">
        <f t="shared" si="9"/>
        <v>#VALUE!</v>
      </c>
      <c r="AA32" s="27" t="e">
        <f t="shared" si="9"/>
        <v>#VALUE!</v>
      </c>
      <c r="AB32" s="27" t="e">
        <f t="shared" si="9"/>
        <v>#VALUE!</v>
      </c>
      <c r="AC32" s="27" t="e">
        <f t="shared" si="9"/>
        <v>#VALUE!</v>
      </c>
      <c r="AD32" s="27" t="e">
        <f t="shared" si="9"/>
        <v>#VALUE!</v>
      </c>
      <c r="AF32" t="e">
        <f t="shared" si="5"/>
        <v>#VALUE!</v>
      </c>
    </row>
    <row r="33" spans="1:32" x14ac:dyDescent="0.25">
      <c r="A33" s="10">
        <f t="shared" si="6"/>
        <v>43983</v>
      </c>
      <c r="B33" t="e">
        <f t="shared" si="10"/>
        <v>#VALUE!</v>
      </c>
      <c r="C33" t="e">
        <f t="shared" si="10"/>
        <v>#VALUE!</v>
      </c>
      <c r="D33" t="e">
        <f t="shared" si="10"/>
        <v>#VALUE!</v>
      </c>
      <c r="E33" t="e">
        <f t="shared" si="10"/>
        <v>#VALUE!</v>
      </c>
      <c r="F33" t="e">
        <f t="shared" si="10"/>
        <v>#VALUE!</v>
      </c>
      <c r="G33" t="e">
        <f t="shared" si="10"/>
        <v>#VALUE!</v>
      </c>
      <c r="H33" t="e">
        <f t="shared" si="10"/>
        <v>#VALUE!</v>
      </c>
      <c r="I33" t="e">
        <f t="shared" si="10"/>
        <v>#VALUE!</v>
      </c>
      <c r="J33" t="e">
        <f t="shared" si="10"/>
        <v>#VALUE!</v>
      </c>
      <c r="K33" t="e">
        <f t="shared" si="10"/>
        <v>#VALUE!</v>
      </c>
      <c r="L33" t="e">
        <f t="shared" si="10"/>
        <v>#VALUE!</v>
      </c>
      <c r="M33" t="e">
        <f t="shared" si="10"/>
        <v>#VALUE!</v>
      </c>
      <c r="N33" t="e">
        <f t="shared" si="10"/>
        <v>#VALUE!</v>
      </c>
      <c r="P33" t="e">
        <f t="shared" si="3"/>
        <v>#VALUE!</v>
      </c>
      <c r="R33" s="27" t="e">
        <f t="shared" si="9"/>
        <v>#VALUE!</v>
      </c>
      <c r="S33" s="27" t="e">
        <f t="shared" si="9"/>
        <v>#VALUE!</v>
      </c>
      <c r="T33" s="27" t="e">
        <f t="shared" si="9"/>
        <v>#VALUE!</v>
      </c>
      <c r="U33" s="27" t="e">
        <f t="shared" si="9"/>
        <v>#VALUE!</v>
      </c>
      <c r="V33" s="27" t="e">
        <f t="shared" si="9"/>
        <v>#VALUE!</v>
      </c>
      <c r="W33" s="27" t="e">
        <f t="shared" si="9"/>
        <v>#VALUE!</v>
      </c>
      <c r="X33" s="27" t="e">
        <f t="shared" si="9"/>
        <v>#VALUE!</v>
      </c>
      <c r="Y33" s="27" t="e">
        <f t="shared" si="9"/>
        <v>#VALUE!</v>
      </c>
      <c r="Z33" s="27" t="e">
        <f t="shared" si="9"/>
        <v>#VALUE!</v>
      </c>
      <c r="AA33" s="27" t="e">
        <f t="shared" si="9"/>
        <v>#VALUE!</v>
      </c>
      <c r="AB33" s="27" t="e">
        <f t="shared" si="9"/>
        <v>#VALUE!</v>
      </c>
      <c r="AC33" s="27" t="e">
        <f t="shared" si="9"/>
        <v>#VALUE!</v>
      </c>
      <c r="AD33" s="27" t="e">
        <f t="shared" si="9"/>
        <v>#VALUE!</v>
      </c>
      <c r="AF33" t="e">
        <f t="shared" si="5"/>
        <v>#VALUE!</v>
      </c>
    </row>
    <row r="34" spans="1:32" x14ac:dyDescent="0.25">
      <c r="A34" s="10">
        <f t="shared" si="6"/>
        <v>44013</v>
      </c>
      <c r="B34" t="e">
        <f t="shared" si="10"/>
        <v>#VALUE!</v>
      </c>
      <c r="C34" t="e">
        <f t="shared" si="10"/>
        <v>#VALUE!</v>
      </c>
      <c r="D34" t="e">
        <f t="shared" si="10"/>
        <v>#VALUE!</v>
      </c>
      <c r="E34" t="e">
        <f t="shared" si="10"/>
        <v>#VALUE!</v>
      </c>
      <c r="F34" t="e">
        <f t="shared" si="10"/>
        <v>#VALUE!</v>
      </c>
      <c r="G34" t="e">
        <f t="shared" si="10"/>
        <v>#VALUE!</v>
      </c>
      <c r="H34" t="e">
        <f t="shared" si="10"/>
        <v>#VALUE!</v>
      </c>
      <c r="I34" t="e">
        <f t="shared" si="10"/>
        <v>#VALUE!</v>
      </c>
      <c r="J34" t="e">
        <f t="shared" si="10"/>
        <v>#VALUE!</v>
      </c>
      <c r="K34" t="e">
        <f t="shared" si="10"/>
        <v>#VALUE!</v>
      </c>
      <c r="L34" t="e">
        <f t="shared" si="10"/>
        <v>#VALUE!</v>
      </c>
      <c r="M34" t="e">
        <f t="shared" si="10"/>
        <v>#VALUE!</v>
      </c>
      <c r="N34" t="e">
        <f t="shared" si="10"/>
        <v>#VALUE!</v>
      </c>
      <c r="P34" t="e">
        <f t="shared" si="3"/>
        <v>#VALUE!</v>
      </c>
      <c r="R34" s="27" t="e">
        <f t="shared" ref="R34:AD43" si="11">(riseset(planetno, $A34,R$3, longi, 1,-0.8333,pres,temp)-$AF34)*60</f>
        <v>#VALUE!</v>
      </c>
      <c r="S34" s="27" t="e">
        <f t="shared" si="11"/>
        <v>#VALUE!</v>
      </c>
      <c r="T34" s="27" t="e">
        <f t="shared" si="11"/>
        <v>#VALUE!</v>
      </c>
      <c r="U34" s="27" t="e">
        <f t="shared" si="11"/>
        <v>#VALUE!</v>
      </c>
      <c r="V34" s="27" t="e">
        <f t="shared" si="11"/>
        <v>#VALUE!</v>
      </c>
      <c r="W34" s="27" t="e">
        <f t="shared" si="11"/>
        <v>#VALUE!</v>
      </c>
      <c r="X34" s="27" t="e">
        <f t="shared" si="11"/>
        <v>#VALUE!</v>
      </c>
      <c r="Y34" s="27" t="e">
        <f t="shared" si="11"/>
        <v>#VALUE!</v>
      </c>
      <c r="Z34" s="27" t="e">
        <f t="shared" si="11"/>
        <v>#VALUE!</v>
      </c>
      <c r="AA34" s="27" t="e">
        <f t="shared" si="11"/>
        <v>#VALUE!</v>
      </c>
      <c r="AB34" s="27" t="e">
        <f t="shared" si="11"/>
        <v>#VALUE!</v>
      </c>
      <c r="AC34" s="27" t="e">
        <f t="shared" si="11"/>
        <v>#VALUE!</v>
      </c>
      <c r="AD34" s="27" t="e">
        <f t="shared" si="11"/>
        <v>#VALUE!</v>
      </c>
      <c r="AF34" t="e">
        <f t="shared" si="5"/>
        <v>#VALUE!</v>
      </c>
    </row>
    <row r="35" spans="1:32" x14ac:dyDescent="0.25">
      <c r="A35" s="10">
        <f t="shared" si="6"/>
        <v>44044</v>
      </c>
      <c r="B35" t="e">
        <f t="shared" si="10"/>
        <v>#VALUE!</v>
      </c>
      <c r="C35" t="e">
        <f t="shared" si="10"/>
        <v>#VALUE!</v>
      </c>
      <c r="D35" t="e">
        <f t="shared" si="10"/>
        <v>#VALUE!</v>
      </c>
      <c r="E35" t="e">
        <f t="shared" si="10"/>
        <v>#VALUE!</v>
      </c>
      <c r="F35" t="e">
        <f t="shared" si="10"/>
        <v>#VALUE!</v>
      </c>
      <c r="G35" t="e">
        <f t="shared" si="10"/>
        <v>#VALUE!</v>
      </c>
      <c r="H35" t="e">
        <f t="shared" si="10"/>
        <v>#VALUE!</v>
      </c>
      <c r="I35" t="e">
        <f t="shared" si="10"/>
        <v>#VALUE!</v>
      </c>
      <c r="J35" t="e">
        <f t="shared" si="10"/>
        <v>#VALUE!</v>
      </c>
      <c r="K35" t="e">
        <f t="shared" si="10"/>
        <v>#VALUE!</v>
      </c>
      <c r="L35" t="e">
        <f t="shared" si="10"/>
        <v>#VALUE!</v>
      </c>
      <c r="M35" t="e">
        <f t="shared" si="10"/>
        <v>#VALUE!</v>
      </c>
      <c r="N35" t="e">
        <f t="shared" si="10"/>
        <v>#VALUE!</v>
      </c>
      <c r="P35" t="e">
        <f t="shared" si="3"/>
        <v>#VALUE!</v>
      </c>
      <c r="R35" s="27" t="e">
        <f t="shared" si="11"/>
        <v>#VALUE!</v>
      </c>
      <c r="S35" s="27" t="e">
        <f t="shared" si="11"/>
        <v>#VALUE!</v>
      </c>
      <c r="T35" s="27" t="e">
        <f t="shared" si="11"/>
        <v>#VALUE!</v>
      </c>
      <c r="U35" s="27" t="e">
        <f t="shared" si="11"/>
        <v>#VALUE!</v>
      </c>
      <c r="V35" s="27" t="e">
        <f t="shared" si="11"/>
        <v>#VALUE!</v>
      </c>
      <c r="W35" s="27" t="e">
        <f t="shared" si="11"/>
        <v>#VALUE!</v>
      </c>
      <c r="X35" s="27" t="e">
        <f t="shared" si="11"/>
        <v>#VALUE!</v>
      </c>
      <c r="Y35" s="27" t="e">
        <f t="shared" si="11"/>
        <v>#VALUE!</v>
      </c>
      <c r="Z35" s="27" t="e">
        <f t="shared" si="11"/>
        <v>#VALUE!</v>
      </c>
      <c r="AA35" s="27" t="e">
        <f t="shared" si="11"/>
        <v>#VALUE!</v>
      </c>
      <c r="AB35" s="27" t="e">
        <f t="shared" si="11"/>
        <v>#VALUE!</v>
      </c>
      <c r="AC35" s="27" t="e">
        <f t="shared" si="11"/>
        <v>#VALUE!</v>
      </c>
      <c r="AD35" s="27" t="e">
        <f t="shared" si="11"/>
        <v>#VALUE!</v>
      </c>
      <c r="AF35" t="e">
        <f t="shared" si="5"/>
        <v>#VALUE!</v>
      </c>
    </row>
    <row r="36" spans="1:32" x14ac:dyDescent="0.25">
      <c r="A36" s="10">
        <f t="shared" si="6"/>
        <v>44075</v>
      </c>
      <c r="B36" t="e">
        <f t="shared" si="10"/>
        <v>#VALUE!</v>
      </c>
      <c r="C36" t="e">
        <f t="shared" si="10"/>
        <v>#VALUE!</v>
      </c>
      <c r="D36" t="e">
        <f t="shared" si="10"/>
        <v>#VALUE!</v>
      </c>
      <c r="E36" t="e">
        <f t="shared" si="10"/>
        <v>#VALUE!</v>
      </c>
      <c r="F36" t="e">
        <f t="shared" si="10"/>
        <v>#VALUE!</v>
      </c>
      <c r="G36" t="e">
        <f t="shared" si="10"/>
        <v>#VALUE!</v>
      </c>
      <c r="H36" t="e">
        <f t="shared" si="10"/>
        <v>#VALUE!</v>
      </c>
      <c r="I36" t="e">
        <f t="shared" si="10"/>
        <v>#VALUE!</v>
      </c>
      <c r="J36" t="e">
        <f t="shared" si="10"/>
        <v>#VALUE!</v>
      </c>
      <c r="K36" t="e">
        <f t="shared" si="10"/>
        <v>#VALUE!</v>
      </c>
      <c r="L36" t="e">
        <f t="shared" si="10"/>
        <v>#VALUE!</v>
      </c>
      <c r="M36" t="e">
        <f t="shared" si="10"/>
        <v>#VALUE!</v>
      </c>
      <c r="N36" t="e">
        <f t="shared" si="10"/>
        <v>#VALUE!</v>
      </c>
      <c r="P36" t="e">
        <f t="shared" si="3"/>
        <v>#VALUE!</v>
      </c>
      <c r="R36" s="27" t="e">
        <f t="shared" si="11"/>
        <v>#VALUE!</v>
      </c>
      <c r="S36" s="27" t="e">
        <f t="shared" si="11"/>
        <v>#VALUE!</v>
      </c>
      <c r="T36" s="27" t="e">
        <f t="shared" si="11"/>
        <v>#VALUE!</v>
      </c>
      <c r="U36" s="27" t="e">
        <f t="shared" si="11"/>
        <v>#VALUE!</v>
      </c>
      <c r="V36" s="27" t="e">
        <f t="shared" si="11"/>
        <v>#VALUE!</v>
      </c>
      <c r="W36" s="27" t="e">
        <f t="shared" si="11"/>
        <v>#VALUE!</v>
      </c>
      <c r="X36" s="27" t="e">
        <f t="shared" si="11"/>
        <v>#VALUE!</v>
      </c>
      <c r="Y36" s="27" t="e">
        <f t="shared" si="11"/>
        <v>#VALUE!</v>
      </c>
      <c r="Z36" s="27" t="e">
        <f t="shared" si="11"/>
        <v>#VALUE!</v>
      </c>
      <c r="AA36" s="27" t="e">
        <f t="shared" si="11"/>
        <v>#VALUE!</v>
      </c>
      <c r="AB36" s="27" t="e">
        <f t="shared" si="11"/>
        <v>#VALUE!</v>
      </c>
      <c r="AC36" s="27" t="e">
        <f t="shared" si="11"/>
        <v>#VALUE!</v>
      </c>
      <c r="AD36" s="27" t="e">
        <f t="shared" si="11"/>
        <v>#VALUE!</v>
      </c>
      <c r="AF36" t="e">
        <f t="shared" ref="AF36:AF67" si="12">riseset(planetno, ($A36),AF$3, longi, 1,-0.8333,pres,temp)</f>
        <v>#VALUE!</v>
      </c>
    </row>
    <row r="37" spans="1:32" x14ac:dyDescent="0.25">
      <c r="A37" s="10">
        <f t="shared" si="6"/>
        <v>44105</v>
      </c>
      <c r="B37" t="e">
        <f t="shared" si="10"/>
        <v>#VALUE!</v>
      </c>
      <c r="C37" t="e">
        <f t="shared" si="10"/>
        <v>#VALUE!</v>
      </c>
      <c r="D37" t="e">
        <f t="shared" si="10"/>
        <v>#VALUE!</v>
      </c>
      <c r="E37" t="e">
        <f t="shared" si="10"/>
        <v>#VALUE!</v>
      </c>
      <c r="F37" t="e">
        <f t="shared" si="10"/>
        <v>#VALUE!</v>
      </c>
      <c r="G37" t="e">
        <f t="shared" si="10"/>
        <v>#VALUE!</v>
      </c>
      <c r="H37" t="e">
        <f t="shared" si="10"/>
        <v>#VALUE!</v>
      </c>
      <c r="I37" t="e">
        <f t="shared" si="10"/>
        <v>#VALUE!</v>
      </c>
      <c r="J37" t="e">
        <f t="shared" si="10"/>
        <v>#VALUE!</v>
      </c>
      <c r="K37" t="e">
        <f t="shared" si="10"/>
        <v>#VALUE!</v>
      </c>
      <c r="L37" t="e">
        <f t="shared" si="10"/>
        <v>#VALUE!</v>
      </c>
      <c r="M37" t="e">
        <f t="shared" si="10"/>
        <v>#VALUE!</v>
      </c>
      <c r="N37" t="e">
        <f t="shared" si="10"/>
        <v>#VALUE!</v>
      </c>
      <c r="P37" t="e">
        <f t="shared" si="3"/>
        <v>#VALUE!</v>
      </c>
      <c r="R37" s="27" t="e">
        <f t="shared" si="11"/>
        <v>#VALUE!</v>
      </c>
      <c r="S37" s="27" t="e">
        <f t="shared" si="11"/>
        <v>#VALUE!</v>
      </c>
      <c r="T37" s="27" t="e">
        <f t="shared" si="11"/>
        <v>#VALUE!</v>
      </c>
      <c r="U37" s="27" t="e">
        <f t="shared" si="11"/>
        <v>#VALUE!</v>
      </c>
      <c r="V37" s="27" t="e">
        <f t="shared" si="11"/>
        <v>#VALUE!</v>
      </c>
      <c r="W37" s="27" t="e">
        <f t="shared" si="11"/>
        <v>#VALUE!</v>
      </c>
      <c r="X37" s="27" t="e">
        <f t="shared" si="11"/>
        <v>#VALUE!</v>
      </c>
      <c r="Y37" s="27" t="e">
        <f t="shared" si="11"/>
        <v>#VALUE!</v>
      </c>
      <c r="Z37" s="27" t="e">
        <f t="shared" si="11"/>
        <v>#VALUE!</v>
      </c>
      <c r="AA37" s="27" t="e">
        <f t="shared" si="11"/>
        <v>#VALUE!</v>
      </c>
      <c r="AB37" s="27" t="e">
        <f t="shared" si="11"/>
        <v>#VALUE!</v>
      </c>
      <c r="AC37" s="27" t="e">
        <f t="shared" si="11"/>
        <v>#VALUE!</v>
      </c>
      <c r="AD37" s="27" t="e">
        <f t="shared" si="11"/>
        <v>#VALUE!</v>
      </c>
      <c r="AF37" t="e">
        <f t="shared" si="12"/>
        <v>#VALUE!</v>
      </c>
    </row>
    <row r="38" spans="1:32" x14ac:dyDescent="0.25">
      <c r="A38" s="10">
        <f t="shared" si="6"/>
        <v>44136</v>
      </c>
      <c r="B38" t="e">
        <f t="shared" si="10"/>
        <v>#VALUE!</v>
      </c>
      <c r="C38" t="e">
        <f t="shared" si="10"/>
        <v>#VALUE!</v>
      </c>
      <c r="D38" t="e">
        <f t="shared" si="10"/>
        <v>#VALUE!</v>
      </c>
      <c r="E38" t="e">
        <f t="shared" si="10"/>
        <v>#VALUE!</v>
      </c>
      <c r="F38" t="e">
        <f t="shared" si="10"/>
        <v>#VALUE!</v>
      </c>
      <c r="G38" t="e">
        <f t="shared" si="10"/>
        <v>#VALUE!</v>
      </c>
      <c r="H38" t="e">
        <f t="shared" si="10"/>
        <v>#VALUE!</v>
      </c>
      <c r="I38" t="e">
        <f t="shared" si="10"/>
        <v>#VALUE!</v>
      </c>
      <c r="J38" t="e">
        <f t="shared" si="10"/>
        <v>#VALUE!</v>
      </c>
      <c r="K38" t="e">
        <f t="shared" si="10"/>
        <v>#VALUE!</v>
      </c>
      <c r="L38" t="e">
        <f t="shared" si="10"/>
        <v>#VALUE!</v>
      </c>
      <c r="M38" t="e">
        <f t="shared" si="10"/>
        <v>#VALUE!</v>
      </c>
      <c r="N38" t="e">
        <f t="shared" si="10"/>
        <v>#VALUE!</v>
      </c>
      <c r="P38" t="e">
        <f t="shared" si="3"/>
        <v>#VALUE!</v>
      </c>
      <c r="R38" s="27" t="e">
        <f t="shared" si="11"/>
        <v>#VALUE!</v>
      </c>
      <c r="S38" s="27" t="e">
        <f t="shared" si="11"/>
        <v>#VALUE!</v>
      </c>
      <c r="T38" s="27" t="e">
        <f t="shared" si="11"/>
        <v>#VALUE!</v>
      </c>
      <c r="U38" s="27" t="e">
        <f t="shared" si="11"/>
        <v>#VALUE!</v>
      </c>
      <c r="V38" s="27" t="e">
        <f t="shared" si="11"/>
        <v>#VALUE!</v>
      </c>
      <c r="W38" s="27" t="e">
        <f t="shared" si="11"/>
        <v>#VALUE!</v>
      </c>
      <c r="X38" s="27" t="e">
        <f t="shared" si="11"/>
        <v>#VALUE!</v>
      </c>
      <c r="Y38" s="27" t="e">
        <f t="shared" si="11"/>
        <v>#VALUE!</v>
      </c>
      <c r="Z38" s="27" t="e">
        <f t="shared" si="11"/>
        <v>#VALUE!</v>
      </c>
      <c r="AA38" s="27" t="e">
        <f t="shared" si="11"/>
        <v>#VALUE!</v>
      </c>
      <c r="AB38" s="27" t="e">
        <f t="shared" si="11"/>
        <v>#VALUE!</v>
      </c>
      <c r="AC38" s="27" t="e">
        <f t="shared" si="11"/>
        <v>#VALUE!</v>
      </c>
      <c r="AD38" s="27" t="e">
        <f t="shared" si="11"/>
        <v>#VALUE!</v>
      </c>
      <c r="AF38" t="e">
        <f t="shared" si="12"/>
        <v>#VALUE!</v>
      </c>
    </row>
    <row r="39" spans="1:32" x14ac:dyDescent="0.25">
      <c r="A39" s="10">
        <f t="shared" si="6"/>
        <v>44166</v>
      </c>
      <c r="B39" t="e">
        <f t="shared" si="10"/>
        <v>#VALUE!</v>
      </c>
      <c r="C39" t="e">
        <f t="shared" si="10"/>
        <v>#VALUE!</v>
      </c>
      <c r="D39" t="e">
        <f t="shared" si="10"/>
        <v>#VALUE!</v>
      </c>
      <c r="E39" t="e">
        <f t="shared" si="10"/>
        <v>#VALUE!</v>
      </c>
      <c r="F39" t="e">
        <f t="shared" si="10"/>
        <v>#VALUE!</v>
      </c>
      <c r="G39" t="e">
        <f t="shared" si="10"/>
        <v>#VALUE!</v>
      </c>
      <c r="H39" t="e">
        <f t="shared" si="10"/>
        <v>#VALUE!</v>
      </c>
      <c r="I39" t="e">
        <f t="shared" si="10"/>
        <v>#VALUE!</v>
      </c>
      <c r="J39" t="e">
        <f t="shared" si="10"/>
        <v>#VALUE!</v>
      </c>
      <c r="K39" t="e">
        <f t="shared" si="10"/>
        <v>#VALUE!</v>
      </c>
      <c r="L39" t="e">
        <f t="shared" si="10"/>
        <v>#VALUE!</v>
      </c>
      <c r="M39" t="e">
        <f t="shared" si="10"/>
        <v>#VALUE!</v>
      </c>
      <c r="N39" t="e">
        <f t="shared" si="10"/>
        <v>#VALUE!</v>
      </c>
      <c r="P39" t="e">
        <f t="shared" si="3"/>
        <v>#VALUE!</v>
      </c>
      <c r="R39" s="27" t="e">
        <f t="shared" si="11"/>
        <v>#VALUE!</v>
      </c>
      <c r="S39" s="27" t="e">
        <f t="shared" si="11"/>
        <v>#VALUE!</v>
      </c>
      <c r="T39" s="27" t="e">
        <f t="shared" si="11"/>
        <v>#VALUE!</v>
      </c>
      <c r="U39" s="27" t="e">
        <f t="shared" si="11"/>
        <v>#VALUE!</v>
      </c>
      <c r="V39" s="27" t="e">
        <f t="shared" si="11"/>
        <v>#VALUE!</v>
      </c>
      <c r="W39" s="27" t="e">
        <f t="shared" si="11"/>
        <v>#VALUE!</v>
      </c>
      <c r="X39" s="27" t="e">
        <f t="shared" si="11"/>
        <v>#VALUE!</v>
      </c>
      <c r="Y39" s="27" t="e">
        <f t="shared" si="11"/>
        <v>#VALUE!</v>
      </c>
      <c r="Z39" s="27" t="e">
        <f t="shared" si="11"/>
        <v>#VALUE!</v>
      </c>
      <c r="AA39" s="27" t="e">
        <f t="shared" si="11"/>
        <v>#VALUE!</v>
      </c>
      <c r="AB39" s="27" t="e">
        <f t="shared" si="11"/>
        <v>#VALUE!</v>
      </c>
      <c r="AC39" s="27" t="e">
        <f t="shared" si="11"/>
        <v>#VALUE!</v>
      </c>
      <c r="AD39" s="27" t="e">
        <f t="shared" si="11"/>
        <v>#VALUE!</v>
      </c>
      <c r="AF39" t="e">
        <f t="shared" si="12"/>
        <v>#VALUE!</v>
      </c>
    </row>
    <row r="40" spans="1:32" x14ac:dyDescent="0.25">
      <c r="A40" s="10">
        <f t="shared" si="6"/>
        <v>44197</v>
      </c>
      <c r="B40" t="e">
        <f t="shared" si="10"/>
        <v>#VALUE!</v>
      </c>
      <c r="C40" t="e">
        <f t="shared" si="10"/>
        <v>#VALUE!</v>
      </c>
      <c r="D40" t="e">
        <f t="shared" si="10"/>
        <v>#VALUE!</v>
      </c>
      <c r="E40" t="e">
        <f t="shared" si="10"/>
        <v>#VALUE!</v>
      </c>
      <c r="F40" t="e">
        <f t="shared" si="10"/>
        <v>#VALUE!</v>
      </c>
      <c r="G40" t="e">
        <f t="shared" si="10"/>
        <v>#VALUE!</v>
      </c>
      <c r="H40" t="e">
        <f t="shared" si="10"/>
        <v>#VALUE!</v>
      </c>
      <c r="I40" t="e">
        <f t="shared" si="10"/>
        <v>#VALUE!</v>
      </c>
      <c r="J40" t="e">
        <f t="shared" si="10"/>
        <v>#VALUE!</v>
      </c>
      <c r="K40" t="e">
        <f t="shared" si="10"/>
        <v>#VALUE!</v>
      </c>
      <c r="L40" t="e">
        <f t="shared" si="10"/>
        <v>#VALUE!</v>
      </c>
      <c r="M40" t="e">
        <f t="shared" si="10"/>
        <v>#VALUE!</v>
      </c>
      <c r="N40" t="e">
        <f t="shared" si="10"/>
        <v>#VALUE!</v>
      </c>
      <c r="P40" t="e">
        <f t="shared" si="3"/>
        <v>#VALUE!</v>
      </c>
      <c r="R40" s="27" t="e">
        <f t="shared" si="11"/>
        <v>#VALUE!</v>
      </c>
      <c r="S40" s="27" t="e">
        <f t="shared" si="11"/>
        <v>#VALUE!</v>
      </c>
      <c r="T40" s="27" t="e">
        <f t="shared" si="11"/>
        <v>#VALUE!</v>
      </c>
      <c r="U40" s="27" t="e">
        <f t="shared" si="11"/>
        <v>#VALUE!</v>
      </c>
      <c r="V40" s="27" t="e">
        <f t="shared" si="11"/>
        <v>#VALUE!</v>
      </c>
      <c r="W40" s="27" t="e">
        <f t="shared" si="11"/>
        <v>#VALUE!</v>
      </c>
      <c r="X40" s="27" t="e">
        <f t="shared" si="11"/>
        <v>#VALUE!</v>
      </c>
      <c r="Y40" s="27" t="e">
        <f t="shared" si="11"/>
        <v>#VALUE!</v>
      </c>
      <c r="Z40" s="27" t="e">
        <f t="shared" si="11"/>
        <v>#VALUE!</v>
      </c>
      <c r="AA40" s="27" t="e">
        <f t="shared" si="11"/>
        <v>#VALUE!</v>
      </c>
      <c r="AB40" s="27" t="e">
        <f t="shared" si="11"/>
        <v>#VALUE!</v>
      </c>
      <c r="AC40" s="27" t="e">
        <f t="shared" si="11"/>
        <v>#VALUE!</v>
      </c>
      <c r="AD40" s="27" t="e">
        <f t="shared" si="11"/>
        <v>#VALUE!</v>
      </c>
      <c r="AF40" t="e">
        <f t="shared" si="12"/>
        <v>#VALUE!</v>
      </c>
    </row>
    <row r="41" spans="1:32" x14ac:dyDescent="0.25">
      <c r="A41" s="10">
        <f t="shared" si="6"/>
        <v>44228</v>
      </c>
      <c r="B41" t="e">
        <f t="shared" si="10"/>
        <v>#VALUE!</v>
      </c>
      <c r="C41" t="e">
        <f t="shared" si="10"/>
        <v>#VALUE!</v>
      </c>
      <c r="D41" t="e">
        <f t="shared" si="10"/>
        <v>#VALUE!</v>
      </c>
      <c r="E41" t="e">
        <f t="shared" si="10"/>
        <v>#VALUE!</v>
      </c>
      <c r="F41" t="e">
        <f t="shared" si="10"/>
        <v>#VALUE!</v>
      </c>
      <c r="G41" t="e">
        <f t="shared" si="10"/>
        <v>#VALUE!</v>
      </c>
      <c r="H41" t="e">
        <f t="shared" si="10"/>
        <v>#VALUE!</v>
      </c>
      <c r="I41" t="e">
        <f t="shared" si="10"/>
        <v>#VALUE!</v>
      </c>
      <c r="J41" t="e">
        <f t="shared" si="10"/>
        <v>#VALUE!</v>
      </c>
      <c r="K41" t="e">
        <f t="shared" si="10"/>
        <v>#VALUE!</v>
      </c>
      <c r="L41" t="e">
        <f t="shared" si="10"/>
        <v>#VALUE!</v>
      </c>
      <c r="M41" t="e">
        <f t="shared" si="10"/>
        <v>#VALUE!</v>
      </c>
      <c r="N41" t="e">
        <f t="shared" si="10"/>
        <v>#VALUE!</v>
      </c>
      <c r="P41" t="e">
        <f t="shared" si="3"/>
        <v>#VALUE!</v>
      </c>
      <c r="R41" s="27" t="e">
        <f t="shared" si="11"/>
        <v>#VALUE!</v>
      </c>
      <c r="S41" s="27" t="e">
        <f t="shared" si="11"/>
        <v>#VALUE!</v>
      </c>
      <c r="T41" s="27" t="e">
        <f t="shared" si="11"/>
        <v>#VALUE!</v>
      </c>
      <c r="U41" s="27" t="e">
        <f t="shared" si="11"/>
        <v>#VALUE!</v>
      </c>
      <c r="V41" s="27" t="e">
        <f t="shared" si="11"/>
        <v>#VALUE!</v>
      </c>
      <c r="W41" s="27" t="e">
        <f t="shared" si="11"/>
        <v>#VALUE!</v>
      </c>
      <c r="X41" s="27" t="e">
        <f t="shared" si="11"/>
        <v>#VALUE!</v>
      </c>
      <c r="Y41" s="27" t="e">
        <f t="shared" si="11"/>
        <v>#VALUE!</v>
      </c>
      <c r="Z41" s="27" t="e">
        <f t="shared" si="11"/>
        <v>#VALUE!</v>
      </c>
      <c r="AA41" s="27" t="e">
        <f t="shared" si="11"/>
        <v>#VALUE!</v>
      </c>
      <c r="AB41" s="27" t="e">
        <f t="shared" si="11"/>
        <v>#VALUE!</v>
      </c>
      <c r="AC41" s="27" t="e">
        <f t="shared" si="11"/>
        <v>#VALUE!</v>
      </c>
      <c r="AD41" s="27" t="e">
        <f t="shared" si="11"/>
        <v>#VALUE!</v>
      </c>
      <c r="AF41" t="e">
        <f t="shared" si="12"/>
        <v>#VALUE!</v>
      </c>
    </row>
    <row r="42" spans="1:32" x14ac:dyDescent="0.25">
      <c r="A42" s="10">
        <f t="shared" si="6"/>
        <v>44256</v>
      </c>
      <c r="B42" t="e">
        <f t="shared" si="10"/>
        <v>#VALUE!</v>
      </c>
      <c r="C42" t="e">
        <f t="shared" si="10"/>
        <v>#VALUE!</v>
      </c>
      <c r="D42" t="e">
        <f t="shared" si="10"/>
        <v>#VALUE!</v>
      </c>
      <c r="E42" t="e">
        <f t="shared" si="10"/>
        <v>#VALUE!</v>
      </c>
      <c r="F42" t="e">
        <f t="shared" si="10"/>
        <v>#VALUE!</v>
      </c>
      <c r="G42" t="e">
        <f t="shared" si="10"/>
        <v>#VALUE!</v>
      </c>
      <c r="H42" t="e">
        <f t="shared" si="10"/>
        <v>#VALUE!</v>
      </c>
      <c r="I42" t="e">
        <f t="shared" si="10"/>
        <v>#VALUE!</v>
      </c>
      <c r="J42" t="e">
        <f t="shared" si="10"/>
        <v>#VALUE!</v>
      </c>
      <c r="K42" t="e">
        <f t="shared" si="10"/>
        <v>#VALUE!</v>
      </c>
      <c r="L42" t="e">
        <f t="shared" si="10"/>
        <v>#VALUE!</v>
      </c>
      <c r="M42" t="e">
        <f t="shared" si="10"/>
        <v>#VALUE!</v>
      </c>
      <c r="N42" t="e">
        <f t="shared" si="10"/>
        <v>#VALUE!</v>
      </c>
      <c r="P42" t="e">
        <f t="shared" si="3"/>
        <v>#VALUE!</v>
      </c>
      <c r="R42" s="27" t="e">
        <f t="shared" si="11"/>
        <v>#VALUE!</v>
      </c>
      <c r="S42" s="27" t="e">
        <f t="shared" si="11"/>
        <v>#VALUE!</v>
      </c>
      <c r="T42" s="27" t="e">
        <f t="shared" si="11"/>
        <v>#VALUE!</v>
      </c>
      <c r="U42" s="27" t="e">
        <f t="shared" si="11"/>
        <v>#VALUE!</v>
      </c>
      <c r="V42" s="27" t="e">
        <f t="shared" si="11"/>
        <v>#VALUE!</v>
      </c>
      <c r="W42" s="27" t="e">
        <f t="shared" si="11"/>
        <v>#VALUE!</v>
      </c>
      <c r="X42" s="27" t="e">
        <f t="shared" si="11"/>
        <v>#VALUE!</v>
      </c>
      <c r="Y42" s="27" t="e">
        <f t="shared" si="11"/>
        <v>#VALUE!</v>
      </c>
      <c r="Z42" s="27" t="e">
        <f t="shared" si="11"/>
        <v>#VALUE!</v>
      </c>
      <c r="AA42" s="27" t="e">
        <f t="shared" si="11"/>
        <v>#VALUE!</v>
      </c>
      <c r="AB42" s="27" t="e">
        <f t="shared" si="11"/>
        <v>#VALUE!</v>
      </c>
      <c r="AC42" s="27" t="e">
        <f t="shared" si="11"/>
        <v>#VALUE!</v>
      </c>
      <c r="AD42" s="27" t="e">
        <f t="shared" si="11"/>
        <v>#VALUE!</v>
      </c>
      <c r="AF42" t="e">
        <f t="shared" si="12"/>
        <v>#VALUE!</v>
      </c>
    </row>
    <row r="43" spans="1:32" x14ac:dyDescent="0.25">
      <c r="A43" s="10">
        <f t="shared" si="6"/>
        <v>44287</v>
      </c>
      <c r="B43" t="e">
        <f t="shared" si="10"/>
        <v>#VALUE!</v>
      </c>
      <c r="C43" t="e">
        <f t="shared" si="10"/>
        <v>#VALUE!</v>
      </c>
      <c r="D43" t="e">
        <f t="shared" si="10"/>
        <v>#VALUE!</v>
      </c>
      <c r="E43" t="e">
        <f t="shared" si="10"/>
        <v>#VALUE!</v>
      </c>
      <c r="F43" t="e">
        <f t="shared" si="10"/>
        <v>#VALUE!</v>
      </c>
      <c r="G43" t="e">
        <f t="shared" si="10"/>
        <v>#VALUE!</v>
      </c>
      <c r="H43" t="e">
        <f t="shared" si="10"/>
        <v>#VALUE!</v>
      </c>
      <c r="I43" t="e">
        <f t="shared" si="10"/>
        <v>#VALUE!</v>
      </c>
      <c r="J43" t="e">
        <f t="shared" si="10"/>
        <v>#VALUE!</v>
      </c>
      <c r="K43" t="e">
        <f t="shared" si="10"/>
        <v>#VALUE!</v>
      </c>
      <c r="L43" t="e">
        <f t="shared" si="10"/>
        <v>#VALUE!</v>
      </c>
      <c r="M43" t="e">
        <f t="shared" si="10"/>
        <v>#VALUE!</v>
      </c>
      <c r="N43" t="e">
        <f t="shared" si="10"/>
        <v>#VALUE!</v>
      </c>
      <c r="P43" t="e">
        <f t="shared" si="3"/>
        <v>#VALUE!</v>
      </c>
      <c r="R43" s="27" t="e">
        <f t="shared" si="11"/>
        <v>#VALUE!</v>
      </c>
      <c r="S43" s="27" t="e">
        <f t="shared" si="11"/>
        <v>#VALUE!</v>
      </c>
      <c r="T43" s="27" t="e">
        <f t="shared" si="11"/>
        <v>#VALUE!</v>
      </c>
      <c r="U43" s="27" t="e">
        <f t="shared" si="11"/>
        <v>#VALUE!</v>
      </c>
      <c r="V43" s="27" t="e">
        <f t="shared" si="11"/>
        <v>#VALUE!</v>
      </c>
      <c r="W43" s="27" t="e">
        <f t="shared" si="11"/>
        <v>#VALUE!</v>
      </c>
      <c r="X43" s="27" t="e">
        <f t="shared" si="11"/>
        <v>#VALUE!</v>
      </c>
      <c r="Y43" s="27" t="e">
        <f t="shared" si="11"/>
        <v>#VALUE!</v>
      </c>
      <c r="Z43" s="27" t="e">
        <f t="shared" si="11"/>
        <v>#VALUE!</v>
      </c>
      <c r="AA43" s="27" t="e">
        <f t="shared" si="11"/>
        <v>#VALUE!</v>
      </c>
      <c r="AB43" s="27" t="e">
        <f t="shared" si="11"/>
        <v>#VALUE!</v>
      </c>
      <c r="AC43" s="27" t="e">
        <f t="shared" si="11"/>
        <v>#VALUE!</v>
      </c>
      <c r="AD43" s="27" t="e">
        <f t="shared" si="11"/>
        <v>#VALUE!</v>
      </c>
      <c r="AF43" t="e">
        <f t="shared" si="12"/>
        <v>#VALUE!</v>
      </c>
    </row>
    <row r="44" spans="1:32" x14ac:dyDescent="0.25">
      <c r="A44" s="10">
        <f t="shared" si="6"/>
        <v>44317</v>
      </c>
      <c r="B44" t="e">
        <f t="shared" si="10"/>
        <v>#VALUE!</v>
      </c>
      <c r="C44" t="e">
        <f t="shared" si="10"/>
        <v>#VALUE!</v>
      </c>
      <c r="D44" t="e">
        <f t="shared" si="10"/>
        <v>#VALUE!</v>
      </c>
      <c r="E44" t="e">
        <f t="shared" si="10"/>
        <v>#VALUE!</v>
      </c>
      <c r="F44" t="e">
        <f t="shared" si="10"/>
        <v>#VALUE!</v>
      </c>
      <c r="G44" t="e">
        <f t="shared" si="10"/>
        <v>#VALUE!</v>
      </c>
      <c r="H44" t="e">
        <f t="shared" si="10"/>
        <v>#VALUE!</v>
      </c>
      <c r="I44" t="e">
        <f t="shared" si="10"/>
        <v>#VALUE!</v>
      </c>
      <c r="J44" t="e">
        <f t="shared" si="10"/>
        <v>#VALUE!</v>
      </c>
      <c r="K44" t="e">
        <f t="shared" si="10"/>
        <v>#VALUE!</v>
      </c>
      <c r="L44" t="e">
        <f t="shared" si="10"/>
        <v>#VALUE!</v>
      </c>
      <c r="M44" t="e">
        <f t="shared" si="10"/>
        <v>#VALUE!</v>
      </c>
      <c r="N44" t="e">
        <f t="shared" si="10"/>
        <v>#VALUE!</v>
      </c>
      <c r="P44" t="e">
        <f t="shared" si="3"/>
        <v>#VALUE!</v>
      </c>
      <c r="R44" s="27" t="e">
        <f t="shared" ref="R44:AD53" si="13">(riseset(planetno, $A44,R$3, longi, 1,-0.8333,pres,temp)-$AF44)*60</f>
        <v>#VALUE!</v>
      </c>
      <c r="S44" s="27" t="e">
        <f t="shared" si="13"/>
        <v>#VALUE!</v>
      </c>
      <c r="T44" s="27" t="e">
        <f t="shared" si="13"/>
        <v>#VALUE!</v>
      </c>
      <c r="U44" s="27" t="e">
        <f t="shared" si="13"/>
        <v>#VALUE!</v>
      </c>
      <c r="V44" s="27" t="e">
        <f t="shared" si="13"/>
        <v>#VALUE!</v>
      </c>
      <c r="W44" s="27" t="e">
        <f t="shared" si="13"/>
        <v>#VALUE!</v>
      </c>
      <c r="X44" s="27" t="e">
        <f t="shared" si="13"/>
        <v>#VALUE!</v>
      </c>
      <c r="Y44" s="27" t="e">
        <f t="shared" si="13"/>
        <v>#VALUE!</v>
      </c>
      <c r="Z44" s="27" t="e">
        <f t="shared" si="13"/>
        <v>#VALUE!</v>
      </c>
      <c r="AA44" s="27" t="e">
        <f t="shared" si="13"/>
        <v>#VALUE!</v>
      </c>
      <c r="AB44" s="27" t="e">
        <f t="shared" si="13"/>
        <v>#VALUE!</v>
      </c>
      <c r="AC44" s="27" t="e">
        <f t="shared" si="13"/>
        <v>#VALUE!</v>
      </c>
      <c r="AD44" s="27" t="e">
        <f t="shared" si="13"/>
        <v>#VALUE!</v>
      </c>
      <c r="AF44" t="e">
        <f t="shared" si="12"/>
        <v>#VALUE!</v>
      </c>
    </row>
    <row r="45" spans="1:32" x14ac:dyDescent="0.25">
      <c r="A45" s="10">
        <f t="shared" si="6"/>
        <v>44348</v>
      </c>
      <c r="B45" t="e">
        <f t="shared" si="10"/>
        <v>#VALUE!</v>
      </c>
      <c r="C45" t="e">
        <f t="shared" si="10"/>
        <v>#VALUE!</v>
      </c>
      <c r="D45" t="e">
        <f t="shared" si="10"/>
        <v>#VALUE!</v>
      </c>
      <c r="E45" t="e">
        <f t="shared" si="10"/>
        <v>#VALUE!</v>
      </c>
      <c r="F45" t="e">
        <f t="shared" si="10"/>
        <v>#VALUE!</v>
      </c>
      <c r="G45" t="e">
        <f t="shared" si="10"/>
        <v>#VALUE!</v>
      </c>
      <c r="H45" t="e">
        <f t="shared" si="10"/>
        <v>#VALUE!</v>
      </c>
      <c r="I45" t="e">
        <f t="shared" si="10"/>
        <v>#VALUE!</v>
      </c>
      <c r="J45" t="e">
        <f t="shared" si="10"/>
        <v>#VALUE!</v>
      </c>
      <c r="K45" t="e">
        <f t="shared" si="10"/>
        <v>#VALUE!</v>
      </c>
      <c r="L45" t="e">
        <f t="shared" si="10"/>
        <v>#VALUE!</v>
      </c>
      <c r="M45" t="e">
        <f t="shared" si="10"/>
        <v>#VALUE!</v>
      </c>
      <c r="N45" t="e">
        <f t="shared" si="10"/>
        <v>#VALUE!</v>
      </c>
      <c r="P45" t="e">
        <f t="shared" si="3"/>
        <v>#VALUE!</v>
      </c>
      <c r="R45" s="27" t="e">
        <f t="shared" si="13"/>
        <v>#VALUE!</v>
      </c>
      <c r="S45" s="27" t="e">
        <f t="shared" si="13"/>
        <v>#VALUE!</v>
      </c>
      <c r="T45" s="27" t="e">
        <f t="shared" si="13"/>
        <v>#VALUE!</v>
      </c>
      <c r="U45" s="27" t="e">
        <f t="shared" si="13"/>
        <v>#VALUE!</v>
      </c>
      <c r="V45" s="27" t="e">
        <f t="shared" si="13"/>
        <v>#VALUE!</v>
      </c>
      <c r="W45" s="27" t="e">
        <f t="shared" si="13"/>
        <v>#VALUE!</v>
      </c>
      <c r="X45" s="27" t="e">
        <f t="shared" si="13"/>
        <v>#VALUE!</v>
      </c>
      <c r="Y45" s="27" t="e">
        <f t="shared" si="13"/>
        <v>#VALUE!</v>
      </c>
      <c r="Z45" s="27" t="e">
        <f t="shared" si="13"/>
        <v>#VALUE!</v>
      </c>
      <c r="AA45" s="27" t="e">
        <f t="shared" si="13"/>
        <v>#VALUE!</v>
      </c>
      <c r="AB45" s="27" t="e">
        <f t="shared" si="13"/>
        <v>#VALUE!</v>
      </c>
      <c r="AC45" s="27" t="e">
        <f t="shared" si="13"/>
        <v>#VALUE!</v>
      </c>
      <c r="AD45" s="27" t="e">
        <f t="shared" si="13"/>
        <v>#VALUE!</v>
      </c>
      <c r="AF45" t="e">
        <f t="shared" si="12"/>
        <v>#VALUE!</v>
      </c>
    </row>
    <row r="46" spans="1:32" x14ac:dyDescent="0.25">
      <c r="A46" s="10">
        <f t="shared" si="6"/>
        <v>44378</v>
      </c>
      <c r="B46" t="e">
        <f t="shared" si="10"/>
        <v>#VALUE!</v>
      </c>
      <c r="C46" t="e">
        <f t="shared" si="10"/>
        <v>#VALUE!</v>
      </c>
      <c r="D46" t="e">
        <f t="shared" si="10"/>
        <v>#VALUE!</v>
      </c>
      <c r="E46" t="e">
        <f t="shared" si="10"/>
        <v>#VALUE!</v>
      </c>
      <c r="F46" t="e">
        <f t="shared" si="10"/>
        <v>#VALUE!</v>
      </c>
      <c r="G46" t="e">
        <f t="shared" si="10"/>
        <v>#VALUE!</v>
      </c>
      <c r="H46" t="e">
        <f t="shared" si="10"/>
        <v>#VALUE!</v>
      </c>
      <c r="I46" t="e">
        <f t="shared" si="10"/>
        <v>#VALUE!</v>
      </c>
      <c r="J46" t="e">
        <f t="shared" si="10"/>
        <v>#VALUE!</v>
      </c>
      <c r="K46" t="e">
        <f t="shared" si="10"/>
        <v>#VALUE!</v>
      </c>
      <c r="L46" t="e">
        <f t="shared" si="10"/>
        <v>#VALUE!</v>
      </c>
      <c r="M46" t="e">
        <f t="shared" si="10"/>
        <v>#VALUE!</v>
      </c>
      <c r="N46" t="e">
        <f t="shared" si="10"/>
        <v>#VALUE!</v>
      </c>
      <c r="P46" t="e">
        <f t="shared" si="3"/>
        <v>#VALUE!</v>
      </c>
      <c r="R46" s="27" t="e">
        <f t="shared" si="13"/>
        <v>#VALUE!</v>
      </c>
      <c r="S46" s="27" t="e">
        <f t="shared" si="13"/>
        <v>#VALUE!</v>
      </c>
      <c r="T46" s="27" t="e">
        <f t="shared" si="13"/>
        <v>#VALUE!</v>
      </c>
      <c r="U46" s="27" t="e">
        <f t="shared" si="13"/>
        <v>#VALUE!</v>
      </c>
      <c r="V46" s="27" t="e">
        <f t="shared" si="13"/>
        <v>#VALUE!</v>
      </c>
      <c r="W46" s="27" t="e">
        <f t="shared" si="13"/>
        <v>#VALUE!</v>
      </c>
      <c r="X46" s="27" t="e">
        <f t="shared" si="13"/>
        <v>#VALUE!</v>
      </c>
      <c r="Y46" s="27" t="e">
        <f t="shared" si="13"/>
        <v>#VALUE!</v>
      </c>
      <c r="Z46" s="27" t="e">
        <f t="shared" si="13"/>
        <v>#VALUE!</v>
      </c>
      <c r="AA46" s="27" t="e">
        <f t="shared" si="13"/>
        <v>#VALUE!</v>
      </c>
      <c r="AB46" s="27" t="e">
        <f t="shared" si="13"/>
        <v>#VALUE!</v>
      </c>
      <c r="AC46" s="27" t="e">
        <f t="shared" si="13"/>
        <v>#VALUE!</v>
      </c>
      <c r="AD46" s="27" t="e">
        <f t="shared" si="13"/>
        <v>#VALUE!</v>
      </c>
      <c r="AF46" t="e">
        <f t="shared" si="12"/>
        <v>#VALUE!</v>
      </c>
    </row>
    <row r="47" spans="1:32" x14ac:dyDescent="0.25">
      <c r="A47" s="10">
        <f t="shared" si="6"/>
        <v>44409</v>
      </c>
      <c r="B47" t="e">
        <f t="shared" si="10"/>
        <v>#VALUE!</v>
      </c>
      <c r="C47" t="e">
        <f t="shared" si="10"/>
        <v>#VALUE!</v>
      </c>
      <c r="D47" t="e">
        <f t="shared" si="10"/>
        <v>#VALUE!</v>
      </c>
      <c r="E47" t="e">
        <f t="shared" si="10"/>
        <v>#VALUE!</v>
      </c>
      <c r="F47" t="e">
        <f t="shared" si="10"/>
        <v>#VALUE!</v>
      </c>
      <c r="G47" t="e">
        <f t="shared" si="10"/>
        <v>#VALUE!</v>
      </c>
      <c r="H47" t="e">
        <f t="shared" si="10"/>
        <v>#VALUE!</v>
      </c>
      <c r="I47" t="e">
        <f t="shared" si="10"/>
        <v>#VALUE!</v>
      </c>
      <c r="J47" t="e">
        <f t="shared" si="10"/>
        <v>#VALUE!</v>
      </c>
      <c r="K47" t="e">
        <f t="shared" si="10"/>
        <v>#VALUE!</v>
      </c>
      <c r="L47" t="e">
        <f t="shared" si="10"/>
        <v>#VALUE!</v>
      </c>
      <c r="M47" t="e">
        <f t="shared" si="10"/>
        <v>#VALUE!</v>
      </c>
      <c r="N47" t="e">
        <f t="shared" si="10"/>
        <v>#VALUE!</v>
      </c>
      <c r="P47" t="e">
        <f t="shared" si="3"/>
        <v>#VALUE!</v>
      </c>
      <c r="R47" s="27" t="e">
        <f t="shared" si="13"/>
        <v>#VALUE!</v>
      </c>
      <c r="S47" s="27" t="e">
        <f t="shared" si="13"/>
        <v>#VALUE!</v>
      </c>
      <c r="T47" s="27" t="e">
        <f t="shared" si="13"/>
        <v>#VALUE!</v>
      </c>
      <c r="U47" s="27" t="e">
        <f t="shared" si="13"/>
        <v>#VALUE!</v>
      </c>
      <c r="V47" s="27" t="e">
        <f t="shared" si="13"/>
        <v>#VALUE!</v>
      </c>
      <c r="W47" s="27" t="e">
        <f t="shared" si="13"/>
        <v>#VALUE!</v>
      </c>
      <c r="X47" s="27" t="e">
        <f t="shared" si="13"/>
        <v>#VALUE!</v>
      </c>
      <c r="Y47" s="27" t="e">
        <f t="shared" si="13"/>
        <v>#VALUE!</v>
      </c>
      <c r="Z47" s="27" t="e">
        <f t="shared" si="13"/>
        <v>#VALUE!</v>
      </c>
      <c r="AA47" s="27" t="e">
        <f t="shared" si="13"/>
        <v>#VALUE!</v>
      </c>
      <c r="AB47" s="27" t="e">
        <f t="shared" si="13"/>
        <v>#VALUE!</v>
      </c>
      <c r="AC47" s="27" t="e">
        <f t="shared" si="13"/>
        <v>#VALUE!</v>
      </c>
      <c r="AD47" s="27" t="e">
        <f t="shared" si="13"/>
        <v>#VALUE!</v>
      </c>
      <c r="AF47" t="e">
        <f t="shared" si="12"/>
        <v>#VALUE!</v>
      </c>
    </row>
    <row r="48" spans="1:32" x14ac:dyDescent="0.25">
      <c r="A48" s="10">
        <f t="shared" si="6"/>
        <v>44440</v>
      </c>
      <c r="B48" t="e">
        <f t="shared" si="10"/>
        <v>#VALUE!</v>
      </c>
      <c r="C48" t="e">
        <f t="shared" si="10"/>
        <v>#VALUE!</v>
      </c>
      <c r="D48" t="e">
        <f t="shared" si="10"/>
        <v>#VALUE!</v>
      </c>
      <c r="E48" t="e">
        <f t="shared" si="10"/>
        <v>#VALUE!</v>
      </c>
      <c r="F48" t="e">
        <f t="shared" si="10"/>
        <v>#VALUE!</v>
      </c>
      <c r="G48" t="e">
        <f t="shared" si="10"/>
        <v>#VALUE!</v>
      </c>
      <c r="H48" t="e">
        <f t="shared" si="10"/>
        <v>#VALUE!</v>
      </c>
      <c r="I48" t="e">
        <f t="shared" si="10"/>
        <v>#VALUE!</v>
      </c>
      <c r="J48" t="e">
        <f t="shared" si="10"/>
        <v>#VALUE!</v>
      </c>
      <c r="K48" t="e">
        <f t="shared" si="10"/>
        <v>#VALUE!</v>
      </c>
      <c r="L48" t="e">
        <f t="shared" si="10"/>
        <v>#VALUE!</v>
      </c>
      <c r="M48" t="e">
        <f t="shared" si="10"/>
        <v>#VALUE!</v>
      </c>
      <c r="N48" t="e">
        <f t="shared" si="10"/>
        <v>#VALUE!</v>
      </c>
      <c r="P48" t="e">
        <f t="shared" si="3"/>
        <v>#VALUE!</v>
      </c>
      <c r="R48" s="27" t="e">
        <f t="shared" si="13"/>
        <v>#VALUE!</v>
      </c>
      <c r="S48" s="27" t="e">
        <f t="shared" si="13"/>
        <v>#VALUE!</v>
      </c>
      <c r="T48" s="27" t="e">
        <f t="shared" si="13"/>
        <v>#VALUE!</v>
      </c>
      <c r="U48" s="27" t="e">
        <f t="shared" si="13"/>
        <v>#VALUE!</v>
      </c>
      <c r="V48" s="27" t="e">
        <f t="shared" si="13"/>
        <v>#VALUE!</v>
      </c>
      <c r="W48" s="27" t="e">
        <f t="shared" si="13"/>
        <v>#VALUE!</v>
      </c>
      <c r="X48" s="27" t="e">
        <f t="shared" si="13"/>
        <v>#VALUE!</v>
      </c>
      <c r="Y48" s="27" t="e">
        <f t="shared" si="13"/>
        <v>#VALUE!</v>
      </c>
      <c r="Z48" s="27" t="e">
        <f t="shared" si="13"/>
        <v>#VALUE!</v>
      </c>
      <c r="AA48" s="27" t="e">
        <f t="shared" si="13"/>
        <v>#VALUE!</v>
      </c>
      <c r="AB48" s="27" t="e">
        <f t="shared" si="13"/>
        <v>#VALUE!</v>
      </c>
      <c r="AC48" s="27" t="e">
        <f t="shared" si="13"/>
        <v>#VALUE!</v>
      </c>
      <c r="AD48" s="27" t="e">
        <f t="shared" si="13"/>
        <v>#VALUE!</v>
      </c>
      <c r="AF48" t="e">
        <f t="shared" si="12"/>
        <v>#VALUE!</v>
      </c>
    </row>
    <row r="49" spans="1:32" x14ac:dyDescent="0.25">
      <c r="A49" s="10">
        <f t="shared" si="6"/>
        <v>44470</v>
      </c>
      <c r="B49" t="e">
        <f t="shared" si="10"/>
        <v>#VALUE!</v>
      </c>
      <c r="C49" t="e">
        <f t="shared" si="10"/>
        <v>#VALUE!</v>
      </c>
      <c r="D49" t="e">
        <f t="shared" si="10"/>
        <v>#VALUE!</v>
      </c>
      <c r="E49" t="e">
        <f t="shared" si="10"/>
        <v>#VALUE!</v>
      </c>
      <c r="F49" t="e">
        <f t="shared" si="10"/>
        <v>#VALUE!</v>
      </c>
      <c r="G49" t="e">
        <f t="shared" si="10"/>
        <v>#VALUE!</v>
      </c>
      <c r="H49" t="e">
        <f t="shared" si="10"/>
        <v>#VALUE!</v>
      </c>
      <c r="I49" t="e">
        <f t="shared" si="10"/>
        <v>#VALUE!</v>
      </c>
      <c r="J49" t="e">
        <f t="shared" ref="B49:N67" si="14">TimeofTransit(planetno, $A49,$C$1,J$3)-$P49</f>
        <v>#VALUE!</v>
      </c>
      <c r="K49" t="e">
        <f t="shared" si="14"/>
        <v>#VALUE!</v>
      </c>
      <c r="L49" t="e">
        <f t="shared" si="14"/>
        <v>#VALUE!</v>
      </c>
      <c r="M49" t="e">
        <f t="shared" si="14"/>
        <v>#VALUE!</v>
      </c>
      <c r="N49" t="e">
        <f t="shared" si="14"/>
        <v>#VALUE!</v>
      </c>
      <c r="P49" t="e">
        <f t="shared" si="3"/>
        <v>#VALUE!</v>
      </c>
      <c r="R49" s="27" t="e">
        <f t="shared" si="13"/>
        <v>#VALUE!</v>
      </c>
      <c r="S49" s="27" t="e">
        <f t="shared" si="13"/>
        <v>#VALUE!</v>
      </c>
      <c r="T49" s="27" t="e">
        <f t="shared" si="13"/>
        <v>#VALUE!</v>
      </c>
      <c r="U49" s="27" t="e">
        <f t="shared" si="13"/>
        <v>#VALUE!</v>
      </c>
      <c r="V49" s="27" t="e">
        <f t="shared" si="13"/>
        <v>#VALUE!</v>
      </c>
      <c r="W49" s="27" t="e">
        <f t="shared" si="13"/>
        <v>#VALUE!</v>
      </c>
      <c r="X49" s="27" t="e">
        <f t="shared" si="13"/>
        <v>#VALUE!</v>
      </c>
      <c r="Y49" s="27" t="e">
        <f t="shared" si="13"/>
        <v>#VALUE!</v>
      </c>
      <c r="Z49" s="27" t="e">
        <f t="shared" si="13"/>
        <v>#VALUE!</v>
      </c>
      <c r="AA49" s="27" t="e">
        <f t="shared" si="13"/>
        <v>#VALUE!</v>
      </c>
      <c r="AB49" s="27" t="e">
        <f t="shared" si="13"/>
        <v>#VALUE!</v>
      </c>
      <c r="AC49" s="27" t="e">
        <f t="shared" si="13"/>
        <v>#VALUE!</v>
      </c>
      <c r="AD49" s="27" t="e">
        <f t="shared" si="13"/>
        <v>#VALUE!</v>
      </c>
      <c r="AF49" t="e">
        <f t="shared" si="12"/>
        <v>#VALUE!</v>
      </c>
    </row>
    <row r="50" spans="1:32" x14ac:dyDescent="0.25">
      <c r="A50" s="10">
        <f t="shared" si="6"/>
        <v>44501</v>
      </c>
      <c r="B50" t="e">
        <f t="shared" si="14"/>
        <v>#VALUE!</v>
      </c>
      <c r="C50" t="e">
        <f t="shared" si="14"/>
        <v>#VALUE!</v>
      </c>
      <c r="D50" t="e">
        <f t="shared" si="14"/>
        <v>#VALUE!</v>
      </c>
      <c r="E50" t="e">
        <f t="shared" si="14"/>
        <v>#VALUE!</v>
      </c>
      <c r="F50" t="e">
        <f t="shared" si="14"/>
        <v>#VALUE!</v>
      </c>
      <c r="G50" t="e">
        <f t="shared" si="14"/>
        <v>#VALUE!</v>
      </c>
      <c r="H50" t="e">
        <f t="shared" si="14"/>
        <v>#VALUE!</v>
      </c>
      <c r="I50" t="e">
        <f t="shared" si="14"/>
        <v>#VALUE!</v>
      </c>
      <c r="J50" t="e">
        <f t="shared" si="14"/>
        <v>#VALUE!</v>
      </c>
      <c r="K50" t="e">
        <f t="shared" si="14"/>
        <v>#VALUE!</v>
      </c>
      <c r="L50" t="e">
        <f t="shared" si="14"/>
        <v>#VALUE!</v>
      </c>
      <c r="M50" t="e">
        <f t="shared" si="14"/>
        <v>#VALUE!</v>
      </c>
      <c r="N50" t="e">
        <f t="shared" si="14"/>
        <v>#VALUE!</v>
      </c>
      <c r="P50" t="e">
        <f t="shared" si="3"/>
        <v>#VALUE!</v>
      </c>
      <c r="R50" s="27" t="e">
        <f t="shared" si="13"/>
        <v>#VALUE!</v>
      </c>
      <c r="S50" s="27" t="e">
        <f t="shared" si="13"/>
        <v>#VALUE!</v>
      </c>
      <c r="T50" s="27" t="e">
        <f t="shared" si="13"/>
        <v>#VALUE!</v>
      </c>
      <c r="U50" s="27" t="e">
        <f t="shared" si="13"/>
        <v>#VALUE!</v>
      </c>
      <c r="V50" s="27" t="e">
        <f t="shared" si="13"/>
        <v>#VALUE!</v>
      </c>
      <c r="W50" s="27" t="e">
        <f t="shared" si="13"/>
        <v>#VALUE!</v>
      </c>
      <c r="X50" s="27" t="e">
        <f t="shared" si="13"/>
        <v>#VALUE!</v>
      </c>
      <c r="Y50" s="27" t="e">
        <f t="shared" si="13"/>
        <v>#VALUE!</v>
      </c>
      <c r="Z50" s="27" t="e">
        <f t="shared" si="13"/>
        <v>#VALUE!</v>
      </c>
      <c r="AA50" s="27" t="e">
        <f t="shared" si="13"/>
        <v>#VALUE!</v>
      </c>
      <c r="AB50" s="27" t="e">
        <f t="shared" si="13"/>
        <v>#VALUE!</v>
      </c>
      <c r="AC50" s="27" t="e">
        <f t="shared" si="13"/>
        <v>#VALUE!</v>
      </c>
      <c r="AD50" s="27" t="e">
        <f t="shared" si="13"/>
        <v>#VALUE!</v>
      </c>
      <c r="AF50" t="e">
        <f t="shared" si="12"/>
        <v>#VALUE!</v>
      </c>
    </row>
    <row r="51" spans="1:32" x14ac:dyDescent="0.25">
      <c r="A51" s="10">
        <f t="shared" si="6"/>
        <v>44531</v>
      </c>
      <c r="B51" t="e">
        <f t="shared" si="14"/>
        <v>#VALUE!</v>
      </c>
      <c r="C51" t="e">
        <f t="shared" si="14"/>
        <v>#VALUE!</v>
      </c>
      <c r="D51" t="e">
        <f t="shared" si="14"/>
        <v>#VALUE!</v>
      </c>
      <c r="E51" t="e">
        <f t="shared" si="14"/>
        <v>#VALUE!</v>
      </c>
      <c r="F51" t="e">
        <f t="shared" si="14"/>
        <v>#VALUE!</v>
      </c>
      <c r="G51" t="e">
        <f t="shared" si="14"/>
        <v>#VALUE!</v>
      </c>
      <c r="H51" t="e">
        <f t="shared" si="14"/>
        <v>#VALUE!</v>
      </c>
      <c r="I51" t="e">
        <f t="shared" si="14"/>
        <v>#VALUE!</v>
      </c>
      <c r="J51" t="e">
        <f t="shared" si="14"/>
        <v>#VALUE!</v>
      </c>
      <c r="K51" t="e">
        <f t="shared" si="14"/>
        <v>#VALUE!</v>
      </c>
      <c r="L51" t="e">
        <f t="shared" si="14"/>
        <v>#VALUE!</v>
      </c>
      <c r="M51" t="e">
        <f t="shared" si="14"/>
        <v>#VALUE!</v>
      </c>
      <c r="N51" t="e">
        <f t="shared" si="14"/>
        <v>#VALUE!</v>
      </c>
      <c r="P51" t="e">
        <f t="shared" si="3"/>
        <v>#VALUE!</v>
      </c>
      <c r="R51" s="27" t="e">
        <f t="shared" si="13"/>
        <v>#VALUE!</v>
      </c>
      <c r="S51" s="27" t="e">
        <f t="shared" si="13"/>
        <v>#VALUE!</v>
      </c>
      <c r="T51" s="27" t="e">
        <f t="shared" si="13"/>
        <v>#VALUE!</v>
      </c>
      <c r="U51" s="27" t="e">
        <f t="shared" si="13"/>
        <v>#VALUE!</v>
      </c>
      <c r="V51" s="27" t="e">
        <f t="shared" si="13"/>
        <v>#VALUE!</v>
      </c>
      <c r="W51" s="27" t="e">
        <f t="shared" si="13"/>
        <v>#VALUE!</v>
      </c>
      <c r="X51" s="27" t="e">
        <f t="shared" si="13"/>
        <v>#VALUE!</v>
      </c>
      <c r="Y51" s="27" t="e">
        <f t="shared" si="13"/>
        <v>#VALUE!</v>
      </c>
      <c r="Z51" s="27" t="e">
        <f t="shared" si="13"/>
        <v>#VALUE!</v>
      </c>
      <c r="AA51" s="27" t="e">
        <f t="shared" si="13"/>
        <v>#VALUE!</v>
      </c>
      <c r="AB51" s="27" t="e">
        <f t="shared" si="13"/>
        <v>#VALUE!</v>
      </c>
      <c r="AC51" s="27" t="e">
        <f t="shared" si="13"/>
        <v>#VALUE!</v>
      </c>
      <c r="AD51" s="27" t="e">
        <f t="shared" si="13"/>
        <v>#VALUE!</v>
      </c>
      <c r="AF51" t="e">
        <f t="shared" si="12"/>
        <v>#VALUE!</v>
      </c>
    </row>
    <row r="52" spans="1:32" x14ac:dyDescent="0.25">
      <c r="A52" s="10">
        <f t="shared" si="6"/>
        <v>44562</v>
      </c>
      <c r="B52" t="e">
        <f t="shared" si="14"/>
        <v>#VALUE!</v>
      </c>
      <c r="C52" t="e">
        <f t="shared" si="14"/>
        <v>#VALUE!</v>
      </c>
      <c r="D52" t="e">
        <f t="shared" si="14"/>
        <v>#VALUE!</v>
      </c>
      <c r="E52" t="e">
        <f t="shared" si="14"/>
        <v>#VALUE!</v>
      </c>
      <c r="F52" t="e">
        <f t="shared" si="14"/>
        <v>#VALUE!</v>
      </c>
      <c r="G52" t="e">
        <f t="shared" si="14"/>
        <v>#VALUE!</v>
      </c>
      <c r="H52" t="e">
        <f t="shared" si="14"/>
        <v>#VALUE!</v>
      </c>
      <c r="I52" t="e">
        <f t="shared" si="14"/>
        <v>#VALUE!</v>
      </c>
      <c r="J52" t="e">
        <f t="shared" si="14"/>
        <v>#VALUE!</v>
      </c>
      <c r="K52" t="e">
        <f t="shared" si="14"/>
        <v>#VALUE!</v>
      </c>
      <c r="L52" t="e">
        <f t="shared" si="14"/>
        <v>#VALUE!</v>
      </c>
      <c r="M52" t="e">
        <f t="shared" si="14"/>
        <v>#VALUE!</v>
      </c>
      <c r="N52" t="e">
        <f t="shared" si="14"/>
        <v>#VALUE!</v>
      </c>
      <c r="P52" t="e">
        <f t="shared" si="3"/>
        <v>#VALUE!</v>
      </c>
      <c r="R52" s="27" t="e">
        <f t="shared" si="13"/>
        <v>#VALUE!</v>
      </c>
      <c r="S52" s="27" t="e">
        <f t="shared" si="13"/>
        <v>#VALUE!</v>
      </c>
      <c r="T52" s="27" t="e">
        <f t="shared" si="13"/>
        <v>#VALUE!</v>
      </c>
      <c r="U52" s="27" t="e">
        <f t="shared" si="13"/>
        <v>#VALUE!</v>
      </c>
      <c r="V52" s="27" t="e">
        <f t="shared" si="13"/>
        <v>#VALUE!</v>
      </c>
      <c r="W52" s="27" t="e">
        <f t="shared" si="13"/>
        <v>#VALUE!</v>
      </c>
      <c r="X52" s="27" t="e">
        <f t="shared" si="13"/>
        <v>#VALUE!</v>
      </c>
      <c r="Y52" s="27" t="e">
        <f t="shared" si="13"/>
        <v>#VALUE!</v>
      </c>
      <c r="Z52" s="27" t="e">
        <f t="shared" si="13"/>
        <v>#VALUE!</v>
      </c>
      <c r="AA52" s="27" t="e">
        <f t="shared" si="13"/>
        <v>#VALUE!</v>
      </c>
      <c r="AB52" s="27" t="e">
        <f t="shared" si="13"/>
        <v>#VALUE!</v>
      </c>
      <c r="AC52" s="27" t="e">
        <f t="shared" si="13"/>
        <v>#VALUE!</v>
      </c>
      <c r="AD52" s="27" t="e">
        <f t="shared" si="13"/>
        <v>#VALUE!</v>
      </c>
      <c r="AF52" t="e">
        <f t="shared" si="12"/>
        <v>#VALUE!</v>
      </c>
    </row>
    <row r="53" spans="1:32" x14ac:dyDescent="0.25">
      <c r="A53" s="10">
        <f t="shared" si="6"/>
        <v>44593</v>
      </c>
      <c r="B53" t="e">
        <f t="shared" si="14"/>
        <v>#VALUE!</v>
      </c>
      <c r="C53" t="e">
        <f t="shared" si="14"/>
        <v>#VALUE!</v>
      </c>
      <c r="D53" t="e">
        <f t="shared" si="14"/>
        <v>#VALUE!</v>
      </c>
      <c r="E53" t="e">
        <f t="shared" si="14"/>
        <v>#VALUE!</v>
      </c>
      <c r="F53" t="e">
        <f t="shared" si="14"/>
        <v>#VALUE!</v>
      </c>
      <c r="G53" t="e">
        <f t="shared" si="14"/>
        <v>#VALUE!</v>
      </c>
      <c r="H53" t="e">
        <f t="shared" si="14"/>
        <v>#VALUE!</v>
      </c>
      <c r="I53" t="e">
        <f t="shared" si="14"/>
        <v>#VALUE!</v>
      </c>
      <c r="J53" t="e">
        <f t="shared" si="14"/>
        <v>#VALUE!</v>
      </c>
      <c r="K53" t="e">
        <f t="shared" si="14"/>
        <v>#VALUE!</v>
      </c>
      <c r="L53" t="e">
        <f t="shared" si="14"/>
        <v>#VALUE!</v>
      </c>
      <c r="M53" t="e">
        <f t="shared" si="14"/>
        <v>#VALUE!</v>
      </c>
      <c r="N53" t="e">
        <f t="shared" si="14"/>
        <v>#VALUE!</v>
      </c>
      <c r="P53" t="e">
        <f t="shared" si="3"/>
        <v>#VALUE!</v>
      </c>
      <c r="R53" s="27" t="e">
        <f t="shared" si="13"/>
        <v>#VALUE!</v>
      </c>
      <c r="S53" s="27" t="e">
        <f t="shared" si="13"/>
        <v>#VALUE!</v>
      </c>
      <c r="T53" s="27" t="e">
        <f t="shared" si="13"/>
        <v>#VALUE!</v>
      </c>
      <c r="U53" s="27" t="e">
        <f t="shared" si="13"/>
        <v>#VALUE!</v>
      </c>
      <c r="V53" s="27" t="e">
        <f t="shared" si="13"/>
        <v>#VALUE!</v>
      </c>
      <c r="W53" s="27" t="e">
        <f t="shared" si="13"/>
        <v>#VALUE!</v>
      </c>
      <c r="X53" s="27" t="e">
        <f t="shared" si="13"/>
        <v>#VALUE!</v>
      </c>
      <c r="Y53" s="27" t="e">
        <f t="shared" si="13"/>
        <v>#VALUE!</v>
      </c>
      <c r="Z53" s="27" t="e">
        <f t="shared" si="13"/>
        <v>#VALUE!</v>
      </c>
      <c r="AA53" s="27" t="e">
        <f t="shared" si="13"/>
        <v>#VALUE!</v>
      </c>
      <c r="AB53" s="27" t="e">
        <f t="shared" si="13"/>
        <v>#VALUE!</v>
      </c>
      <c r="AC53" s="27" t="e">
        <f t="shared" si="13"/>
        <v>#VALUE!</v>
      </c>
      <c r="AD53" s="27" t="e">
        <f t="shared" si="13"/>
        <v>#VALUE!</v>
      </c>
      <c r="AF53" t="e">
        <f t="shared" si="12"/>
        <v>#VALUE!</v>
      </c>
    </row>
    <row r="54" spans="1:32" x14ac:dyDescent="0.25">
      <c r="A54" s="10">
        <f t="shared" si="6"/>
        <v>44621</v>
      </c>
      <c r="B54" t="e">
        <f t="shared" si="14"/>
        <v>#VALUE!</v>
      </c>
      <c r="C54" t="e">
        <f t="shared" si="14"/>
        <v>#VALUE!</v>
      </c>
      <c r="D54" t="e">
        <f t="shared" si="14"/>
        <v>#VALUE!</v>
      </c>
      <c r="E54" t="e">
        <f t="shared" si="14"/>
        <v>#VALUE!</v>
      </c>
      <c r="F54" t="e">
        <f t="shared" si="14"/>
        <v>#VALUE!</v>
      </c>
      <c r="G54" t="e">
        <f t="shared" si="14"/>
        <v>#VALUE!</v>
      </c>
      <c r="H54" t="e">
        <f t="shared" si="14"/>
        <v>#VALUE!</v>
      </c>
      <c r="I54" t="e">
        <f t="shared" si="14"/>
        <v>#VALUE!</v>
      </c>
      <c r="J54" t="e">
        <f t="shared" si="14"/>
        <v>#VALUE!</v>
      </c>
      <c r="K54" t="e">
        <f t="shared" si="14"/>
        <v>#VALUE!</v>
      </c>
      <c r="L54" t="e">
        <f t="shared" si="14"/>
        <v>#VALUE!</v>
      </c>
      <c r="M54" t="e">
        <f t="shared" si="14"/>
        <v>#VALUE!</v>
      </c>
      <c r="N54" t="e">
        <f t="shared" si="14"/>
        <v>#VALUE!</v>
      </c>
      <c r="P54" t="e">
        <f t="shared" si="3"/>
        <v>#VALUE!</v>
      </c>
      <c r="R54" s="27" t="e">
        <f t="shared" ref="R54:AD67" si="15">(riseset(planetno, $A54,R$3, longi, 1,-0.8333,pres,temp)-$AF54)*60</f>
        <v>#VALUE!</v>
      </c>
      <c r="S54" s="27" t="e">
        <f t="shared" si="15"/>
        <v>#VALUE!</v>
      </c>
      <c r="T54" s="27" t="e">
        <f t="shared" si="15"/>
        <v>#VALUE!</v>
      </c>
      <c r="U54" s="27" t="e">
        <f t="shared" si="15"/>
        <v>#VALUE!</v>
      </c>
      <c r="V54" s="27" t="e">
        <f t="shared" si="15"/>
        <v>#VALUE!</v>
      </c>
      <c r="W54" s="27" t="e">
        <f t="shared" si="15"/>
        <v>#VALUE!</v>
      </c>
      <c r="X54" s="27" t="e">
        <f t="shared" si="15"/>
        <v>#VALUE!</v>
      </c>
      <c r="Y54" s="27" t="e">
        <f t="shared" si="15"/>
        <v>#VALUE!</v>
      </c>
      <c r="Z54" s="27" t="e">
        <f t="shared" si="15"/>
        <v>#VALUE!</v>
      </c>
      <c r="AA54" s="27" t="e">
        <f t="shared" si="15"/>
        <v>#VALUE!</v>
      </c>
      <c r="AB54" s="27" t="e">
        <f t="shared" si="15"/>
        <v>#VALUE!</v>
      </c>
      <c r="AC54" s="27" t="e">
        <f t="shared" si="15"/>
        <v>#VALUE!</v>
      </c>
      <c r="AD54" s="27" t="e">
        <f t="shared" si="15"/>
        <v>#VALUE!</v>
      </c>
      <c r="AF54" t="e">
        <f t="shared" si="12"/>
        <v>#VALUE!</v>
      </c>
    </row>
    <row r="55" spans="1:32" x14ac:dyDescent="0.25">
      <c r="A55" s="10">
        <f t="shared" si="6"/>
        <v>44652</v>
      </c>
      <c r="B55" t="e">
        <f t="shared" si="14"/>
        <v>#VALUE!</v>
      </c>
      <c r="C55" t="e">
        <f t="shared" si="14"/>
        <v>#VALUE!</v>
      </c>
      <c r="D55" t="e">
        <f t="shared" si="14"/>
        <v>#VALUE!</v>
      </c>
      <c r="E55" t="e">
        <f t="shared" si="14"/>
        <v>#VALUE!</v>
      </c>
      <c r="F55" t="e">
        <f t="shared" si="14"/>
        <v>#VALUE!</v>
      </c>
      <c r="G55" t="e">
        <f t="shared" si="14"/>
        <v>#VALUE!</v>
      </c>
      <c r="H55" t="e">
        <f t="shared" si="14"/>
        <v>#VALUE!</v>
      </c>
      <c r="I55" t="e">
        <f t="shared" si="14"/>
        <v>#VALUE!</v>
      </c>
      <c r="J55" t="e">
        <f t="shared" si="14"/>
        <v>#VALUE!</v>
      </c>
      <c r="K55" t="e">
        <f t="shared" si="14"/>
        <v>#VALUE!</v>
      </c>
      <c r="L55" t="e">
        <f t="shared" si="14"/>
        <v>#VALUE!</v>
      </c>
      <c r="M55" t="e">
        <f t="shared" si="14"/>
        <v>#VALUE!</v>
      </c>
      <c r="N55" t="e">
        <f t="shared" si="14"/>
        <v>#VALUE!</v>
      </c>
      <c r="P55" t="e">
        <f t="shared" si="3"/>
        <v>#VALUE!</v>
      </c>
      <c r="R55" s="27" t="e">
        <f t="shared" si="15"/>
        <v>#VALUE!</v>
      </c>
      <c r="S55" s="27" t="e">
        <f t="shared" si="15"/>
        <v>#VALUE!</v>
      </c>
      <c r="T55" s="27" t="e">
        <f t="shared" si="15"/>
        <v>#VALUE!</v>
      </c>
      <c r="U55" s="27" t="e">
        <f t="shared" si="15"/>
        <v>#VALUE!</v>
      </c>
      <c r="V55" s="27" t="e">
        <f t="shared" si="15"/>
        <v>#VALUE!</v>
      </c>
      <c r="W55" s="27" t="e">
        <f t="shared" si="15"/>
        <v>#VALUE!</v>
      </c>
      <c r="X55" s="27" t="e">
        <f t="shared" si="15"/>
        <v>#VALUE!</v>
      </c>
      <c r="Y55" s="27" t="e">
        <f t="shared" si="15"/>
        <v>#VALUE!</v>
      </c>
      <c r="Z55" s="27" t="e">
        <f t="shared" si="15"/>
        <v>#VALUE!</v>
      </c>
      <c r="AA55" s="27" t="e">
        <f t="shared" si="15"/>
        <v>#VALUE!</v>
      </c>
      <c r="AB55" s="27" t="e">
        <f t="shared" si="15"/>
        <v>#VALUE!</v>
      </c>
      <c r="AC55" s="27" t="e">
        <f t="shared" si="15"/>
        <v>#VALUE!</v>
      </c>
      <c r="AD55" s="27" t="e">
        <f t="shared" si="15"/>
        <v>#VALUE!</v>
      </c>
      <c r="AF55" t="e">
        <f t="shared" si="12"/>
        <v>#VALUE!</v>
      </c>
    </row>
    <row r="56" spans="1:32" x14ac:dyDescent="0.25">
      <c r="A56" s="10">
        <f t="shared" si="6"/>
        <v>44682</v>
      </c>
      <c r="B56" t="e">
        <f t="shared" si="14"/>
        <v>#VALUE!</v>
      </c>
      <c r="C56" t="e">
        <f t="shared" si="14"/>
        <v>#VALUE!</v>
      </c>
      <c r="D56" t="e">
        <f t="shared" si="14"/>
        <v>#VALUE!</v>
      </c>
      <c r="E56" t="e">
        <f t="shared" si="14"/>
        <v>#VALUE!</v>
      </c>
      <c r="F56" t="e">
        <f t="shared" si="14"/>
        <v>#VALUE!</v>
      </c>
      <c r="G56" t="e">
        <f t="shared" si="14"/>
        <v>#VALUE!</v>
      </c>
      <c r="H56" t="e">
        <f t="shared" si="14"/>
        <v>#VALUE!</v>
      </c>
      <c r="I56" t="e">
        <f t="shared" si="14"/>
        <v>#VALUE!</v>
      </c>
      <c r="J56" t="e">
        <f t="shared" si="14"/>
        <v>#VALUE!</v>
      </c>
      <c r="K56" t="e">
        <f t="shared" si="14"/>
        <v>#VALUE!</v>
      </c>
      <c r="L56" t="e">
        <f t="shared" si="14"/>
        <v>#VALUE!</v>
      </c>
      <c r="M56" t="e">
        <f t="shared" si="14"/>
        <v>#VALUE!</v>
      </c>
      <c r="N56" t="e">
        <f t="shared" si="14"/>
        <v>#VALUE!</v>
      </c>
      <c r="P56" t="e">
        <f t="shared" si="3"/>
        <v>#VALUE!</v>
      </c>
      <c r="R56" s="27" t="e">
        <f t="shared" si="15"/>
        <v>#VALUE!</v>
      </c>
      <c r="S56" s="27" t="e">
        <f t="shared" si="15"/>
        <v>#VALUE!</v>
      </c>
      <c r="T56" s="27" t="e">
        <f t="shared" si="15"/>
        <v>#VALUE!</v>
      </c>
      <c r="U56" s="27" t="e">
        <f t="shared" si="15"/>
        <v>#VALUE!</v>
      </c>
      <c r="V56" s="27" t="e">
        <f t="shared" si="15"/>
        <v>#VALUE!</v>
      </c>
      <c r="W56" s="27" t="e">
        <f t="shared" si="15"/>
        <v>#VALUE!</v>
      </c>
      <c r="X56" s="27" t="e">
        <f t="shared" si="15"/>
        <v>#VALUE!</v>
      </c>
      <c r="Y56" s="27" t="e">
        <f t="shared" si="15"/>
        <v>#VALUE!</v>
      </c>
      <c r="Z56" s="27" t="e">
        <f t="shared" si="15"/>
        <v>#VALUE!</v>
      </c>
      <c r="AA56" s="27" t="e">
        <f t="shared" si="15"/>
        <v>#VALUE!</v>
      </c>
      <c r="AB56" s="27" t="e">
        <f t="shared" si="15"/>
        <v>#VALUE!</v>
      </c>
      <c r="AC56" s="27" t="e">
        <f t="shared" si="15"/>
        <v>#VALUE!</v>
      </c>
      <c r="AD56" s="27" t="e">
        <f t="shared" si="15"/>
        <v>#VALUE!</v>
      </c>
      <c r="AF56" t="e">
        <f t="shared" si="12"/>
        <v>#VALUE!</v>
      </c>
    </row>
    <row r="57" spans="1:32" x14ac:dyDescent="0.25">
      <c r="A57" s="10">
        <f t="shared" si="6"/>
        <v>44713</v>
      </c>
      <c r="B57" t="e">
        <f t="shared" si="14"/>
        <v>#VALUE!</v>
      </c>
      <c r="C57" t="e">
        <f t="shared" si="14"/>
        <v>#VALUE!</v>
      </c>
      <c r="D57" t="e">
        <f t="shared" si="14"/>
        <v>#VALUE!</v>
      </c>
      <c r="E57" t="e">
        <f t="shared" si="14"/>
        <v>#VALUE!</v>
      </c>
      <c r="F57" t="e">
        <f t="shared" si="14"/>
        <v>#VALUE!</v>
      </c>
      <c r="G57" t="e">
        <f t="shared" si="14"/>
        <v>#VALUE!</v>
      </c>
      <c r="H57" t="e">
        <f t="shared" si="14"/>
        <v>#VALUE!</v>
      </c>
      <c r="I57" t="e">
        <f t="shared" si="14"/>
        <v>#VALUE!</v>
      </c>
      <c r="J57" t="e">
        <f t="shared" si="14"/>
        <v>#VALUE!</v>
      </c>
      <c r="K57" t="e">
        <f t="shared" si="14"/>
        <v>#VALUE!</v>
      </c>
      <c r="L57" t="e">
        <f t="shared" si="14"/>
        <v>#VALUE!</v>
      </c>
      <c r="M57" t="e">
        <f t="shared" si="14"/>
        <v>#VALUE!</v>
      </c>
      <c r="N57" t="e">
        <f t="shared" si="14"/>
        <v>#VALUE!</v>
      </c>
      <c r="P57" t="e">
        <f t="shared" si="3"/>
        <v>#VALUE!</v>
      </c>
      <c r="R57" s="27" t="e">
        <f t="shared" si="15"/>
        <v>#VALUE!</v>
      </c>
      <c r="S57" s="27" t="e">
        <f t="shared" si="15"/>
        <v>#VALUE!</v>
      </c>
      <c r="T57" s="27" t="e">
        <f t="shared" si="15"/>
        <v>#VALUE!</v>
      </c>
      <c r="U57" s="27" t="e">
        <f t="shared" si="15"/>
        <v>#VALUE!</v>
      </c>
      <c r="V57" s="27" t="e">
        <f t="shared" si="15"/>
        <v>#VALUE!</v>
      </c>
      <c r="W57" s="27" t="e">
        <f t="shared" si="15"/>
        <v>#VALUE!</v>
      </c>
      <c r="X57" s="27" t="e">
        <f t="shared" si="15"/>
        <v>#VALUE!</v>
      </c>
      <c r="Y57" s="27" t="e">
        <f t="shared" si="15"/>
        <v>#VALUE!</v>
      </c>
      <c r="Z57" s="27" t="e">
        <f t="shared" si="15"/>
        <v>#VALUE!</v>
      </c>
      <c r="AA57" s="27" t="e">
        <f t="shared" si="15"/>
        <v>#VALUE!</v>
      </c>
      <c r="AB57" s="27" t="e">
        <f t="shared" si="15"/>
        <v>#VALUE!</v>
      </c>
      <c r="AC57" s="27" t="e">
        <f t="shared" si="15"/>
        <v>#VALUE!</v>
      </c>
      <c r="AD57" s="27" t="e">
        <f t="shared" si="15"/>
        <v>#VALUE!</v>
      </c>
      <c r="AF57" t="e">
        <f t="shared" si="12"/>
        <v>#VALUE!</v>
      </c>
    </row>
    <row r="58" spans="1:32" x14ac:dyDescent="0.25">
      <c r="A58" s="10">
        <f t="shared" si="6"/>
        <v>44743</v>
      </c>
      <c r="B58" t="e">
        <f t="shared" si="14"/>
        <v>#VALUE!</v>
      </c>
      <c r="C58" t="e">
        <f t="shared" si="14"/>
        <v>#VALUE!</v>
      </c>
      <c r="D58" t="e">
        <f t="shared" si="14"/>
        <v>#VALUE!</v>
      </c>
      <c r="E58" t="e">
        <f t="shared" si="14"/>
        <v>#VALUE!</v>
      </c>
      <c r="F58" t="e">
        <f t="shared" si="14"/>
        <v>#VALUE!</v>
      </c>
      <c r="G58" t="e">
        <f t="shared" si="14"/>
        <v>#VALUE!</v>
      </c>
      <c r="H58" t="e">
        <f t="shared" si="14"/>
        <v>#VALUE!</v>
      </c>
      <c r="I58" t="e">
        <f t="shared" si="14"/>
        <v>#VALUE!</v>
      </c>
      <c r="J58" t="e">
        <f t="shared" si="14"/>
        <v>#VALUE!</v>
      </c>
      <c r="K58" t="e">
        <f t="shared" si="14"/>
        <v>#VALUE!</v>
      </c>
      <c r="L58" t="e">
        <f t="shared" si="14"/>
        <v>#VALUE!</v>
      </c>
      <c r="M58" t="e">
        <f t="shared" si="14"/>
        <v>#VALUE!</v>
      </c>
      <c r="N58" t="e">
        <f t="shared" si="14"/>
        <v>#VALUE!</v>
      </c>
      <c r="P58" t="e">
        <f t="shared" si="3"/>
        <v>#VALUE!</v>
      </c>
      <c r="R58" s="27" t="e">
        <f t="shared" si="15"/>
        <v>#VALUE!</v>
      </c>
      <c r="S58" s="27" t="e">
        <f t="shared" si="15"/>
        <v>#VALUE!</v>
      </c>
      <c r="T58" s="27" t="e">
        <f t="shared" si="15"/>
        <v>#VALUE!</v>
      </c>
      <c r="U58" s="27" t="e">
        <f t="shared" si="15"/>
        <v>#VALUE!</v>
      </c>
      <c r="V58" s="27" t="e">
        <f t="shared" si="15"/>
        <v>#VALUE!</v>
      </c>
      <c r="W58" s="27" t="e">
        <f t="shared" si="15"/>
        <v>#VALUE!</v>
      </c>
      <c r="X58" s="27" t="e">
        <f t="shared" si="15"/>
        <v>#VALUE!</v>
      </c>
      <c r="Y58" s="27" t="e">
        <f t="shared" si="15"/>
        <v>#VALUE!</v>
      </c>
      <c r="Z58" s="27" t="e">
        <f t="shared" si="15"/>
        <v>#VALUE!</v>
      </c>
      <c r="AA58" s="27" t="e">
        <f t="shared" si="15"/>
        <v>#VALUE!</v>
      </c>
      <c r="AB58" s="27" t="e">
        <f t="shared" si="15"/>
        <v>#VALUE!</v>
      </c>
      <c r="AC58" s="27" t="e">
        <f t="shared" si="15"/>
        <v>#VALUE!</v>
      </c>
      <c r="AD58" s="27" t="e">
        <f t="shared" si="15"/>
        <v>#VALUE!</v>
      </c>
      <c r="AF58" t="e">
        <f t="shared" si="12"/>
        <v>#VALUE!</v>
      </c>
    </row>
    <row r="59" spans="1:32" x14ac:dyDescent="0.25">
      <c r="A59" s="10">
        <f t="shared" si="6"/>
        <v>44774</v>
      </c>
      <c r="B59" t="e">
        <f t="shared" si="14"/>
        <v>#VALUE!</v>
      </c>
      <c r="C59" t="e">
        <f t="shared" si="14"/>
        <v>#VALUE!</v>
      </c>
      <c r="D59" t="e">
        <f t="shared" si="14"/>
        <v>#VALUE!</v>
      </c>
      <c r="E59" t="e">
        <f t="shared" si="14"/>
        <v>#VALUE!</v>
      </c>
      <c r="F59" t="e">
        <f t="shared" si="14"/>
        <v>#VALUE!</v>
      </c>
      <c r="G59" t="e">
        <f t="shared" si="14"/>
        <v>#VALUE!</v>
      </c>
      <c r="H59" t="e">
        <f t="shared" si="14"/>
        <v>#VALUE!</v>
      </c>
      <c r="I59" t="e">
        <f t="shared" si="14"/>
        <v>#VALUE!</v>
      </c>
      <c r="J59" t="e">
        <f t="shared" si="14"/>
        <v>#VALUE!</v>
      </c>
      <c r="K59" t="e">
        <f t="shared" si="14"/>
        <v>#VALUE!</v>
      </c>
      <c r="L59" t="e">
        <f t="shared" si="14"/>
        <v>#VALUE!</v>
      </c>
      <c r="M59" t="e">
        <f t="shared" si="14"/>
        <v>#VALUE!</v>
      </c>
      <c r="N59" t="e">
        <f t="shared" si="14"/>
        <v>#VALUE!</v>
      </c>
      <c r="P59" t="e">
        <f t="shared" si="3"/>
        <v>#VALUE!</v>
      </c>
      <c r="R59" s="27" t="e">
        <f t="shared" si="15"/>
        <v>#VALUE!</v>
      </c>
      <c r="S59" s="27" t="e">
        <f t="shared" si="15"/>
        <v>#VALUE!</v>
      </c>
      <c r="T59" s="27" t="e">
        <f t="shared" si="15"/>
        <v>#VALUE!</v>
      </c>
      <c r="U59" s="27" t="e">
        <f t="shared" si="15"/>
        <v>#VALUE!</v>
      </c>
      <c r="V59" s="27" t="e">
        <f t="shared" si="15"/>
        <v>#VALUE!</v>
      </c>
      <c r="W59" s="27" t="e">
        <f t="shared" si="15"/>
        <v>#VALUE!</v>
      </c>
      <c r="X59" s="27" t="e">
        <f t="shared" si="15"/>
        <v>#VALUE!</v>
      </c>
      <c r="Y59" s="27" t="e">
        <f t="shared" si="15"/>
        <v>#VALUE!</v>
      </c>
      <c r="Z59" s="27" t="e">
        <f t="shared" si="15"/>
        <v>#VALUE!</v>
      </c>
      <c r="AA59" s="27" t="e">
        <f t="shared" si="15"/>
        <v>#VALUE!</v>
      </c>
      <c r="AB59" s="27" t="e">
        <f t="shared" si="15"/>
        <v>#VALUE!</v>
      </c>
      <c r="AC59" s="27" t="e">
        <f t="shared" si="15"/>
        <v>#VALUE!</v>
      </c>
      <c r="AD59" s="27" t="e">
        <f t="shared" si="15"/>
        <v>#VALUE!</v>
      </c>
      <c r="AF59" t="e">
        <f t="shared" si="12"/>
        <v>#VALUE!</v>
      </c>
    </row>
    <row r="60" spans="1:32" x14ac:dyDescent="0.25">
      <c r="A60" s="10">
        <f t="shared" si="6"/>
        <v>44805</v>
      </c>
      <c r="B60" t="e">
        <f t="shared" si="14"/>
        <v>#VALUE!</v>
      </c>
      <c r="C60" t="e">
        <f t="shared" si="14"/>
        <v>#VALUE!</v>
      </c>
      <c r="D60" t="e">
        <f t="shared" si="14"/>
        <v>#VALUE!</v>
      </c>
      <c r="E60" t="e">
        <f t="shared" si="14"/>
        <v>#VALUE!</v>
      </c>
      <c r="F60" t="e">
        <f t="shared" si="14"/>
        <v>#VALUE!</v>
      </c>
      <c r="G60" t="e">
        <f t="shared" si="14"/>
        <v>#VALUE!</v>
      </c>
      <c r="H60" t="e">
        <f t="shared" si="14"/>
        <v>#VALUE!</v>
      </c>
      <c r="I60" t="e">
        <f t="shared" si="14"/>
        <v>#VALUE!</v>
      </c>
      <c r="J60" t="e">
        <f t="shared" si="14"/>
        <v>#VALUE!</v>
      </c>
      <c r="K60" t="e">
        <f t="shared" si="14"/>
        <v>#VALUE!</v>
      </c>
      <c r="L60" t="e">
        <f t="shared" si="14"/>
        <v>#VALUE!</v>
      </c>
      <c r="M60" t="e">
        <f t="shared" si="14"/>
        <v>#VALUE!</v>
      </c>
      <c r="N60" t="e">
        <f t="shared" si="14"/>
        <v>#VALUE!</v>
      </c>
      <c r="P60" t="e">
        <f t="shared" si="3"/>
        <v>#VALUE!</v>
      </c>
      <c r="R60" s="27" t="e">
        <f t="shared" si="15"/>
        <v>#VALUE!</v>
      </c>
      <c r="S60" s="27" t="e">
        <f t="shared" si="15"/>
        <v>#VALUE!</v>
      </c>
      <c r="T60" s="27" t="e">
        <f t="shared" si="15"/>
        <v>#VALUE!</v>
      </c>
      <c r="U60" s="27" t="e">
        <f t="shared" si="15"/>
        <v>#VALUE!</v>
      </c>
      <c r="V60" s="27" t="e">
        <f t="shared" si="15"/>
        <v>#VALUE!</v>
      </c>
      <c r="W60" s="27" t="e">
        <f t="shared" si="15"/>
        <v>#VALUE!</v>
      </c>
      <c r="X60" s="27" t="e">
        <f t="shared" si="15"/>
        <v>#VALUE!</v>
      </c>
      <c r="Y60" s="27" t="e">
        <f t="shared" si="15"/>
        <v>#VALUE!</v>
      </c>
      <c r="Z60" s="27" t="e">
        <f t="shared" si="15"/>
        <v>#VALUE!</v>
      </c>
      <c r="AA60" s="27" t="e">
        <f t="shared" si="15"/>
        <v>#VALUE!</v>
      </c>
      <c r="AB60" s="27" t="e">
        <f t="shared" si="15"/>
        <v>#VALUE!</v>
      </c>
      <c r="AC60" s="27" t="e">
        <f t="shared" si="15"/>
        <v>#VALUE!</v>
      </c>
      <c r="AD60" s="27" t="e">
        <f t="shared" si="15"/>
        <v>#VALUE!</v>
      </c>
      <c r="AF60" t="e">
        <f t="shared" si="12"/>
        <v>#VALUE!</v>
      </c>
    </row>
    <row r="61" spans="1:32" x14ac:dyDescent="0.25">
      <c r="A61" s="10">
        <f t="shared" si="6"/>
        <v>44835</v>
      </c>
      <c r="B61" t="e">
        <f t="shared" si="14"/>
        <v>#VALUE!</v>
      </c>
      <c r="C61" t="e">
        <f t="shared" si="14"/>
        <v>#VALUE!</v>
      </c>
      <c r="D61" t="e">
        <f t="shared" si="14"/>
        <v>#VALUE!</v>
      </c>
      <c r="E61" t="e">
        <f t="shared" si="14"/>
        <v>#VALUE!</v>
      </c>
      <c r="F61" t="e">
        <f t="shared" si="14"/>
        <v>#VALUE!</v>
      </c>
      <c r="G61" t="e">
        <f t="shared" si="14"/>
        <v>#VALUE!</v>
      </c>
      <c r="H61" t="e">
        <f t="shared" si="14"/>
        <v>#VALUE!</v>
      </c>
      <c r="I61" t="e">
        <f t="shared" si="14"/>
        <v>#VALUE!</v>
      </c>
      <c r="J61" t="e">
        <f t="shared" si="14"/>
        <v>#VALUE!</v>
      </c>
      <c r="K61" t="e">
        <f t="shared" si="14"/>
        <v>#VALUE!</v>
      </c>
      <c r="L61" t="e">
        <f t="shared" si="14"/>
        <v>#VALUE!</v>
      </c>
      <c r="M61" t="e">
        <f t="shared" si="14"/>
        <v>#VALUE!</v>
      </c>
      <c r="N61" t="e">
        <f t="shared" si="14"/>
        <v>#VALUE!</v>
      </c>
      <c r="P61" t="e">
        <f t="shared" si="3"/>
        <v>#VALUE!</v>
      </c>
      <c r="R61" s="27" t="e">
        <f t="shared" si="15"/>
        <v>#VALUE!</v>
      </c>
      <c r="S61" s="27" t="e">
        <f t="shared" si="15"/>
        <v>#VALUE!</v>
      </c>
      <c r="T61" s="27" t="e">
        <f t="shared" si="15"/>
        <v>#VALUE!</v>
      </c>
      <c r="U61" s="27" t="e">
        <f t="shared" si="15"/>
        <v>#VALUE!</v>
      </c>
      <c r="V61" s="27" t="e">
        <f t="shared" si="15"/>
        <v>#VALUE!</v>
      </c>
      <c r="W61" s="27" t="e">
        <f t="shared" si="15"/>
        <v>#VALUE!</v>
      </c>
      <c r="X61" s="27" t="e">
        <f t="shared" si="15"/>
        <v>#VALUE!</v>
      </c>
      <c r="Y61" s="27" t="e">
        <f t="shared" si="15"/>
        <v>#VALUE!</v>
      </c>
      <c r="Z61" s="27" t="e">
        <f t="shared" si="15"/>
        <v>#VALUE!</v>
      </c>
      <c r="AA61" s="27" t="e">
        <f t="shared" si="15"/>
        <v>#VALUE!</v>
      </c>
      <c r="AB61" s="27" t="e">
        <f t="shared" si="15"/>
        <v>#VALUE!</v>
      </c>
      <c r="AC61" s="27" t="e">
        <f t="shared" si="15"/>
        <v>#VALUE!</v>
      </c>
      <c r="AD61" s="27" t="e">
        <f t="shared" si="15"/>
        <v>#VALUE!</v>
      </c>
      <c r="AF61" t="e">
        <f t="shared" si="12"/>
        <v>#VALUE!</v>
      </c>
    </row>
    <row r="62" spans="1:32" x14ac:dyDescent="0.25">
      <c r="A62" s="10">
        <f t="shared" si="6"/>
        <v>44866</v>
      </c>
      <c r="B62" t="e">
        <f t="shared" si="14"/>
        <v>#VALUE!</v>
      </c>
      <c r="C62" t="e">
        <f t="shared" si="14"/>
        <v>#VALUE!</v>
      </c>
      <c r="D62" t="e">
        <f t="shared" si="14"/>
        <v>#VALUE!</v>
      </c>
      <c r="E62" t="e">
        <f t="shared" si="14"/>
        <v>#VALUE!</v>
      </c>
      <c r="F62" t="e">
        <f t="shared" si="14"/>
        <v>#VALUE!</v>
      </c>
      <c r="G62" t="e">
        <f t="shared" si="14"/>
        <v>#VALUE!</v>
      </c>
      <c r="H62" t="e">
        <f t="shared" si="14"/>
        <v>#VALUE!</v>
      </c>
      <c r="I62" t="e">
        <f t="shared" si="14"/>
        <v>#VALUE!</v>
      </c>
      <c r="J62" t="e">
        <f t="shared" si="14"/>
        <v>#VALUE!</v>
      </c>
      <c r="K62" t="e">
        <f t="shared" si="14"/>
        <v>#VALUE!</v>
      </c>
      <c r="L62" t="e">
        <f t="shared" si="14"/>
        <v>#VALUE!</v>
      </c>
      <c r="M62" t="e">
        <f t="shared" si="14"/>
        <v>#VALUE!</v>
      </c>
      <c r="N62" t="e">
        <f t="shared" si="14"/>
        <v>#VALUE!</v>
      </c>
      <c r="P62" t="e">
        <f t="shared" si="3"/>
        <v>#VALUE!</v>
      </c>
      <c r="R62" s="27" t="e">
        <f t="shared" si="15"/>
        <v>#VALUE!</v>
      </c>
      <c r="S62" s="27" t="e">
        <f t="shared" si="15"/>
        <v>#VALUE!</v>
      </c>
      <c r="T62" s="27" t="e">
        <f t="shared" si="15"/>
        <v>#VALUE!</v>
      </c>
      <c r="U62" s="27" t="e">
        <f t="shared" si="15"/>
        <v>#VALUE!</v>
      </c>
      <c r="V62" s="27" t="e">
        <f t="shared" si="15"/>
        <v>#VALUE!</v>
      </c>
      <c r="W62" s="27" t="e">
        <f t="shared" si="15"/>
        <v>#VALUE!</v>
      </c>
      <c r="X62" s="27" t="e">
        <f t="shared" si="15"/>
        <v>#VALUE!</v>
      </c>
      <c r="Y62" s="27" t="e">
        <f t="shared" si="15"/>
        <v>#VALUE!</v>
      </c>
      <c r="Z62" s="27" t="e">
        <f t="shared" si="15"/>
        <v>#VALUE!</v>
      </c>
      <c r="AA62" s="27" t="e">
        <f t="shared" si="15"/>
        <v>#VALUE!</v>
      </c>
      <c r="AB62" s="27" t="e">
        <f t="shared" si="15"/>
        <v>#VALUE!</v>
      </c>
      <c r="AC62" s="27" t="e">
        <f t="shared" si="15"/>
        <v>#VALUE!</v>
      </c>
      <c r="AD62" s="27" t="e">
        <f t="shared" si="15"/>
        <v>#VALUE!</v>
      </c>
      <c r="AF62" t="e">
        <f t="shared" si="12"/>
        <v>#VALUE!</v>
      </c>
    </row>
    <row r="63" spans="1:32" x14ac:dyDescent="0.25">
      <c r="A63" s="10">
        <f t="shared" si="6"/>
        <v>44896</v>
      </c>
      <c r="B63" t="e">
        <f t="shared" si="14"/>
        <v>#VALUE!</v>
      </c>
      <c r="C63" t="e">
        <f t="shared" si="14"/>
        <v>#VALUE!</v>
      </c>
      <c r="D63" t="e">
        <f t="shared" si="14"/>
        <v>#VALUE!</v>
      </c>
      <c r="E63" t="e">
        <f t="shared" si="14"/>
        <v>#VALUE!</v>
      </c>
      <c r="F63" t="e">
        <f t="shared" si="14"/>
        <v>#VALUE!</v>
      </c>
      <c r="G63" t="e">
        <f t="shared" si="14"/>
        <v>#VALUE!</v>
      </c>
      <c r="H63" t="e">
        <f t="shared" si="14"/>
        <v>#VALUE!</v>
      </c>
      <c r="I63" t="e">
        <f t="shared" si="14"/>
        <v>#VALUE!</v>
      </c>
      <c r="J63" t="e">
        <f t="shared" si="14"/>
        <v>#VALUE!</v>
      </c>
      <c r="K63" t="e">
        <f t="shared" si="14"/>
        <v>#VALUE!</v>
      </c>
      <c r="L63" t="e">
        <f t="shared" si="14"/>
        <v>#VALUE!</v>
      </c>
      <c r="M63" t="e">
        <f t="shared" si="14"/>
        <v>#VALUE!</v>
      </c>
      <c r="N63" t="e">
        <f t="shared" si="14"/>
        <v>#VALUE!</v>
      </c>
      <c r="P63" t="e">
        <f t="shared" si="3"/>
        <v>#VALUE!</v>
      </c>
      <c r="R63" s="27" t="e">
        <f t="shared" si="15"/>
        <v>#VALUE!</v>
      </c>
      <c r="S63" s="27" t="e">
        <f t="shared" si="15"/>
        <v>#VALUE!</v>
      </c>
      <c r="T63" s="27" t="e">
        <f t="shared" si="15"/>
        <v>#VALUE!</v>
      </c>
      <c r="U63" s="27" t="e">
        <f t="shared" si="15"/>
        <v>#VALUE!</v>
      </c>
      <c r="V63" s="27" t="e">
        <f t="shared" si="15"/>
        <v>#VALUE!</v>
      </c>
      <c r="W63" s="27" t="e">
        <f t="shared" si="15"/>
        <v>#VALUE!</v>
      </c>
      <c r="X63" s="27" t="e">
        <f t="shared" si="15"/>
        <v>#VALUE!</v>
      </c>
      <c r="Y63" s="27" t="e">
        <f t="shared" si="15"/>
        <v>#VALUE!</v>
      </c>
      <c r="Z63" s="27" t="e">
        <f t="shared" si="15"/>
        <v>#VALUE!</v>
      </c>
      <c r="AA63" s="27" t="e">
        <f t="shared" si="15"/>
        <v>#VALUE!</v>
      </c>
      <c r="AB63" s="27" t="e">
        <f t="shared" si="15"/>
        <v>#VALUE!</v>
      </c>
      <c r="AC63" s="27" t="e">
        <f t="shared" si="15"/>
        <v>#VALUE!</v>
      </c>
      <c r="AD63" s="27" t="e">
        <f t="shared" si="15"/>
        <v>#VALUE!</v>
      </c>
      <c r="AF63" t="e">
        <f t="shared" si="12"/>
        <v>#VALUE!</v>
      </c>
    </row>
    <row r="64" spans="1:32" x14ac:dyDescent="0.25">
      <c r="A64" s="10">
        <f t="shared" si="6"/>
        <v>44927</v>
      </c>
      <c r="B64" t="e">
        <f t="shared" si="14"/>
        <v>#VALUE!</v>
      </c>
      <c r="C64" t="e">
        <f t="shared" si="14"/>
        <v>#VALUE!</v>
      </c>
      <c r="D64" t="e">
        <f t="shared" si="14"/>
        <v>#VALUE!</v>
      </c>
      <c r="E64" t="e">
        <f t="shared" si="14"/>
        <v>#VALUE!</v>
      </c>
      <c r="F64" t="e">
        <f t="shared" si="14"/>
        <v>#VALUE!</v>
      </c>
      <c r="G64" t="e">
        <f t="shared" si="14"/>
        <v>#VALUE!</v>
      </c>
      <c r="H64" t="e">
        <f t="shared" si="14"/>
        <v>#VALUE!</v>
      </c>
      <c r="I64" t="e">
        <f t="shared" si="14"/>
        <v>#VALUE!</v>
      </c>
      <c r="J64" t="e">
        <f t="shared" si="14"/>
        <v>#VALUE!</v>
      </c>
      <c r="K64" t="e">
        <f t="shared" si="14"/>
        <v>#VALUE!</v>
      </c>
      <c r="L64" t="e">
        <f t="shared" si="14"/>
        <v>#VALUE!</v>
      </c>
      <c r="M64" t="e">
        <f t="shared" si="14"/>
        <v>#VALUE!</v>
      </c>
      <c r="N64" t="e">
        <f t="shared" si="14"/>
        <v>#VALUE!</v>
      </c>
      <c r="P64" t="e">
        <f t="shared" si="3"/>
        <v>#VALUE!</v>
      </c>
      <c r="R64" s="27" t="e">
        <f t="shared" si="15"/>
        <v>#VALUE!</v>
      </c>
      <c r="S64" s="27" t="e">
        <f t="shared" si="15"/>
        <v>#VALUE!</v>
      </c>
      <c r="T64" s="27" t="e">
        <f t="shared" si="15"/>
        <v>#VALUE!</v>
      </c>
      <c r="U64" s="27" t="e">
        <f t="shared" si="15"/>
        <v>#VALUE!</v>
      </c>
      <c r="V64" s="27" t="e">
        <f t="shared" si="15"/>
        <v>#VALUE!</v>
      </c>
      <c r="W64" s="27" t="e">
        <f t="shared" si="15"/>
        <v>#VALUE!</v>
      </c>
      <c r="X64" s="27" t="e">
        <f t="shared" si="15"/>
        <v>#VALUE!</v>
      </c>
      <c r="Y64" s="27" t="e">
        <f t="shared" si="15"/>
        <v>#VALUE!</v>
      </c>
      <c r="Z64" s="27" t="e">
        <f t="shared" si="15"/>
        <v>#VALUE!</v>
      </c>
      <c r="AA64" s="27" t="e">
        <f t="shared" si="15"/>
        <v>#VALUE!</v>
      </c>
      <c r="AB64" s="27" t="e">
        <f t="shared" si="15"/>
        <v>#VALUE!</v>
      </c>
      <c r="AC64" s="27" t="e">
        <f t="shared" si="15"/>
        <v>#VALUE!</v>
      </c>
      <c r="AD64" s="27" t="e">
        <f t="shared" si="15"/>
        <v>#VALUE!</v>
      </c>
      <c r="AF64" t="e">
        <f t="shared" si="12"/>
        <v>#VALUE!</v>
      </c>
    </row>
    <row r="65" spans="1:32" x14ac:dyDescent="0.25">
      <c r="A65" s="10">
        <f t="shared" si="6"/>
        <v>44958</v>
      </c>
      <c r="B65" t="e">
        <f t="shared" si="14"/>
        <v>#VALUE!</v>
      </c>
      <c r="C65" t="e">
        <f t="shared" si="14"/>
        <v>#VALUE!</v>
      </c>
      <c r="D65" t="e">
        <f t="shared" si="14"/>
        <v>#VALUE!</v>
      </c>
      <c r="E65" t="e">
        <f t="shared" si="14"/>
        <v>#VALUE!</v>
      </c>
      <c r="F65" t="e">
        <f t="shared" si="14"/>
        <v>#VALUE!</v>
      </c>
      <c r="G65" t="e">
        <f t="shared" si="14"/>
        <v>#VALUE!</v>
      </c>
      <c r="H65" t="e">
        <f t="shared" si="14"/>
        <v>#VALUE!</v>
      </c>
      <c r="I65" t="e">
        <f t="shared" si="14"/>
        <v>#VALUE!</v>
      </c>
      <c r="J65" t="e">
        <f t="shared" si="14"/>
        <v>#VALUE!</v>
      </c>
      <c r="K65" t="e">
        <f t="shared" si="14"/>
        <v>#VALUE!</v>
      </c>
      <c r="L65" t="e">
        <f t="shared" si="14"/>
        <v>#VALUE!</v>
      </c>
      <c r="M65" t="e">
        <f t="shared" si="14"/>
        <v>#VALUE!</v>
      </c>
      <c r="N65" t="e">
        <f t="shared" si="14"/>
        <v>#VALUE!</v>
      </c>
      <c r="P65" t="e">
        <f t="shared" si="3"/>
        <v>#VALUE!</v>
      </c>
      <c r="R65" s="27" t="e">
        <f t="shared" si="15"/>
        <v>#VALUE!</v>
      </c>
      <c r="S65" s="27" t="e">
        <f t="shared" si="15"/>
        <v>#VALUE!</v>
      </c>
      <c r="T65" s="27" t="e">
        <f t="shared" si="15"/>
        <v>#VALUE!</v>
      </c>
      <c r="U65" s="27" t="e">
        <f t="shared" si="15"/>
        <v>#VALUE!</v>
      </c>
      <c r="V65" s="27" t="e">
        <f t="shared" si="15"/>
        <v>#VALUE!</v>
      </c>
      <c r="W65" s="27" t="e">
        <f t="shared" si="15"/>
        <v>#VALUE!</v>
      </c>
      <c r="X65" s="27" t="e">
        <f t="shared" si="15"/>
        <v>#VALUE!</v>
      </c>
      <c r="Y65" s="27" t="e">
        <f t="shared" si="15"/>
        <v>#VALUE!</v>
      </c>
      <c r="Z65" s="27" t="e">
        <f t="shared" si="15"/>
        <v>#VALUE!</v>
      </c>
      <c r="AA65" s="27" t="e">
        <f t="shared" si="15"/>
        <v>#VALUE!</v>
      </c>
      <c r="AB65" s="27" t="e">
        <f t="shared" si="15"/>
        <v>#VALUE!</v>
      </c>
      <c r="AC65" s="27" t="e">
        <f t="shared" si="15"/>
        <v>#VALUE!</v>
      </c>
      <c r="AD65" s="27" t="e">
        <f t="shared" si="15"/>
        <v>#VALUE!</v>
      </c>
      <c r="AF65" t="e">
        <f t="shared" si="12"/>
        <v>#VALUE!</v>
      </c>
    </row>
    <row r="66" spans="1:32" x14ac:dyDescent="0.25">
      <c r="A66" s="10">
        <f t="shared" si="6"/>
        <v>44986</v>
      </c>
      <c r="B66" t="e">
        <f t="shared" si="14"/>
        <v>#VALUE!</v>
      </c>
      <c r="C66" t="e">
        <f t="shared" si="14"/>
        <v>#VALUE!</v>
      </c>
      <c r="D66" t="e">
        <f t="shared" si="14"/>
        <v>#VALUE!</v>
      </c>
      <c r="E66" t="e">
        <f t="shared" si="14"/>
        <v>#VALUE!</v>
      </c>
      <c r="F66" t="e">
        <f t="shared" si="14"/>
        <v>#VALUE!</v>
      </c>
      <c r="G66" t="e">
        <f t="shared" si="14"/>
        <v>#VALUE!</v>
      </c>
      <c r="H66" t="e">
        <f t="shared" si="14"/>
        <v>#VALUE!</v>
      </c>
      <c r="I66" t="e">
        <f t="shared" si="14"/>
        <v>#VALUE!</v>
      </c>
      <c r="J66" t="e">
        <f t="shared" si="14"/>
        <v>#VALUE!</v>
      </c>
      <c r="K66" t="e">
        <f t="shared" si="14"/>
        <v>#VALUE!</v>
      </c>
      <c r="L66" t="e">
        <f t="shared" si="14"/>
        <v>#VALUE!</v>
      </c>
      <c r="M66" t="e">
        <f t="shared" si="14"/>
        <v>#VALUE!</v>
      </c>
      <c r="N66" t="e">
        <f t="shared" si="14"/>
        <v>#VALUE!</v>
      </c>
      <c r="P66" t="e">
        <f t="shared" si="3"/>
        <v>#VALUE!</v>
      </c>
      <c r="R66" s="27" t="e">
        <f t="shared" si="15"/>
        <v>#VALUE!</v>
      </c>
      <c r="S66" s="27" t="e">
        <f t="shared" si="15"/>
        <v>#VALUE!</v>
      </c>
      <c r="T66" s="27" t="e">
        <f t="shared" si="15"/>
        <v>#VALUE!</v>
      </c>
      <c r="U66" s="27" t="e">
        <f t="shared" si="15"/>
        <v>#VALUE!</v>
      </c>
      <c r="V66" s="27" t="e">
        <f t="shared" si="15"/>
        <v>#VALUE!</v>
      </c>
      <c r="W66" s="27" t="e">
        <f t="shared" si="15"/>
        <v>#VALUE!</v>
      </c>
      <c r="X66" s="27" t="e">
        <f t="shared" si="15"/>
        <v>#VALUE!</v>
      </c>
      <c r="Y66" s="27" t="e">
        <f t="shared" si="15"/>
        <v>#VALUE!</v>
      </c>
      <c r="Z66" s="27" t="e">
        <f t="shared" si="15"/>
        <v>#VALUE!</v>
      </c>
      <c r="AA66" s="27" t="e">
        <f t="shared" si="15"/>
        <v>#VALUE!</v>
      </c>
      <c r="AB66" s="27" t="e">
        <f t="shared" si="15"/>
        <v>#VALUE!</v>
      </c>
      <c r="AC66" s="27" t="e">
        <f t="shared" si="15"/>
        <v>#VALUE!</v>
      </c>
      <c r="AD66" s="27" t="e">
        <f t="shared" si="15"/>
        <v>#VALUE!</v>
      </c>
      <c r="AF66" t="e">
        <f t="shared" si="12"/>
        <v>#VALUE!</v>
      </c>
    </row>
    <row r="67" spans="1:32" x14ac:dyDescent="0.25">
      <c r="A67" s="10">
        <f t="shared" si="6"/>
        <v>45017</v>
      </c>
      <c r="B67" t="e">
        <f t="shared" si="14"/>
        <v>#VALUE!</v>
      </c>
      <c r="C67" t="e">
        <f t="shared" si="14"/>
        <v>#VALUE!</v>
      </c>
      <c r="D67" t="e">
        <f t="shared" si="14"/>
        <v>#VALUE!</v>
      </c>
      <c r="E67" t="e">
        <f t="shared" si="14"/>
        <v>#VALUE!</v>
      </c>
      <c r="F67" t="e">
        <f t="shared" si="14"/>
        <v>#VALUE!</v>
      </c>
      <c r="G67" t="e">
        <f t="shared" si="14"/>
        <v>#VALUE!</v>
      </c>
      <c r="H67" t="e">
        <f t="shared" si="14"/>
        <v>#VALUE!</v>
      </c>
      <c r="I67" t="e">
        <f t="shared" si="14"/>
        <v>#VALUE!</v>
      </c>
      <c r="J67" t="e">
        <f t="shared" si="14"/>
        <v>#VALUE!</v>
      </c>
      <c r="K67" t="e">
        <f t="shared" si="14"/>
        <v>#VALUE!</v>
      </c>
      <c r="L67" t="e">
        <f t="shared" si="14"/>
        <v>#VALUE!</v>
      </c>
      <c r="M67" t="e">
        <f t="shared" si="14"/>
        <v>#VALUE!</v>
      </c>
      <c r="N67" t="e">
        <f t="shared" si="14"/>
        <v>#VALUE!</v>
      </c>
      <c r="P67" t="e">
        <f t="shared" si="3"/>
        <v>#VALUE!</v>
      </c>
      <c r="R67" s="27" t="e">
        <f t="shared" si="15"/>
        <v>#VALUE!</v>
      </c>
      <c r="S67" s="27" t="e">
        <f t="shared" si="15"/>
        <v>#VALUE!</v>
      </c>
      <c r="T67" s="27" t="e">
        <f t="shared" si="15"/>
        <v>#VALUE!</v>
      </c>
      <c r="U67" s="27" t="e">
        <f t="shared" si="15"/>
        <v>#VALUE!</v>
      </c>
      <c r="V67" s="27" t="e">
        <f t="shared" si="15"/>
        <v>#VALUE!</v>
      </c>
      <c r="W67" s="27" t="e">
        <f t="shared" si="15"/>
        <v>#VALUE!</v>
      </c>
      <c r="X67" s="27" t="e">
        <f t="shared" si="15"/>
        <v>#VALUE!</v>
      </c>
      <c r="Y67" s="27" t="e">
        <f t="shared" si="15"/>
        <v>#VALUE!</v>
      </c>
      <c r="Z67" s="27" t="e">
        <f t="shared" si="15"/>
        <v>#VALUE!</v>
      </c>
      <c r="AA67" s="27" t="e">
        <f t="shared" si="15"/>
        <v>#VALUE!</v>
      </c>
      <c r="AB67" s="27" t="e">
        <f t="shared" si="15"/>
        <v>#VALUE!</v>
      </c>
      <c r="AC67" s="27" t="e">
        <f t="shared" si="15"/>
        <v>#VALUE!</v>
      </c>
      <c r="AD67" s="27" t="e">
        <f t="shared" si="15"/>
        <v>#VALUE!</v>
      </c>
      <c r="AF67" t="e">
        <f t="shared" si="12"/>
        <v>#VALUE!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9"/>
  <sheetViews>
    <sheetView workbookViewId="0">
      <selection activeCell="J12" sqref="J12"/>
    </sheetView>
  </sheetViews>
  <sheetFormatPr defaultRowHeight="15" x14ac:dyDescent="0.25"/>
  <cols>
    <col min="1" max="1" width="9.28515625" bestFit="1" customWidth="1"/>
    <col min="2" max="2" width="14.28515625" bestFit="1" customWidth="1"/>
    <col min="3" max="3" width="10.28515625" bestFit="1" customWidth="1"/>
    <col min="4" max="5" width="9" bestFit="1" customWidth="1"/>
    <col min="6" max="6" width="11.140625" bestFit="1" customWidth="1"/>
    <col min="7" max="7" width="8" bestFit="1" customWidth="1"/>
    <col min="8" max="8" width="9" bestFit="1" customWidth="1"/>
    <col min="9" max="9" width="8" bestFit="1" customWidth="1"/>
    <col min="10" max="10" width="12.7109375" bestFit="1" customWidth="1"/>
    <col min="11" max="11" width="9.5703125" bestFit="1" customWidth="1"/>
    <col min="12" max="12" width="12" bestFit="1" customWidth="1"/>
    <col min="13" max="13" width="7" bestFit="1" customWidth="1"/>
    <col min="14" max="14" width="14.7109375" bestFit="1" customWidth="1"/>
    <col min="15" max="15" width="11" bestFit="1" customWidth="1"/>
  </cols>
  <sheetData>
    <row r="1" spans="1:20" x14ac:dyDescent="0.25">
      <c r="A1" t="s">
        <v>81</v>
      </c>
      <c r="B1" t="s">
        <v>82</v>
      </c>
      <c r="C1" t="s">
        <v>83</v>
      </c>
      <c r="D1" t="s">
        <v>85</v>
      </c>
      <c r="E1" t="s">
        <v>84</v>
      </c>
      <c r="F1" t="s">
        <v>75</v>
      </c>
      <c r="G1" t="s">
        <v>60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P1" t="s">
        <v>99</v>
      </c>
      <c r="Q1" t="s">
        <v>101</v>
      </c>
      <c r="R1" t="s">
        <v>10</v>
      </c>
      <c r="S1" t="s">
        <v>102</v>
      </c>
      <c r="T1" t="s">
        <v>103</v>
      </c>
    </row>
    <row r="2" spans="1:20" x14ac:dyDescent="0.25">
      <c r="A2" t="s">
        <v>105</v>
      </c>
      <c r="B2">
        <v>2019</v>
      </c>
      <c r="C2">
        <v>2</v>
      </c>
      <c r="D2">
        <v>11.4899</v>
      </c>
      <c r="E2">
        <v>2.5903350000000001</v>
      </c>
      <c r="F2">
        <v>0.313245</v>
      </c>
      <c r="G2">
        <v>333.29419999999999</v>
      </c>
      <c r="H2">
        <v>40.0486</v>
      </c>
      <c r="I2">
        <v>2.601</v>
      </c>
      <c r="J2">
        <v>20180427</v>
      </c>
      <c r="K2">
        <v>11.5</v>
      </c>
      <c r="L2">
        <v>4</v>
      </c>
      <c r="M2" t="s">
        <v>106</v>
      </c>
      <c r="N2" t="s">
        <v>107</v>
      </c>
      <c r="O2" t="s">
        <v>108</v>
      </c>
      <c r="P2">
        <v>2.72</v>
      </c>
      <c r="Q2">
        <v>1.85</v>
      </c>
      <c r="R2">
        <v>17.18</v>
      </c>
      <c r="S2">
        <f>12+46/60+4/3600</f>
        <v>12.767777777777779</v>
      </c>
      <c r="T2">
        <f>143+11/60+25/3600</f>
        <v>143.19027777777779</v>
      </c>
    </row>
    <row r="4" spans="1:20" x14ac:dyDescent="0.25">
      <c r="B4">
        <v>2018</v>
      </c>
      <c r="C4">
        <v>9</v>
      </c>
      <c r="D4">
        <v>23</v>
      </c>
    </row>
    <row r="8" spans="1:20" x14ac:dyDescent="0.25">
      <c r="A8" t="s">
        <v>92</v>
      </c>
      <c r="C8">
        <v>1</v>
      </c>
      <c r="D8">
        <v>2</v>
      </c>
      <c r="E8">
        <v>3</v>
      </c>
      <c r="F8">
        <v>4</v>
      </c>
    </row>
    <row r="9" spans="1:20" x14ac:dyDescent="0.25">
      <c r="B9" t="s">
        <v>93</v>
      </c>
      <c r="C9" t="str">
        <f>N2</f>
        <v>R2 (Lagerkvist)</v>
      </c>
    </row>
    <row r="10" spans="1:20" x14ac:dyDescent="0.25">
      <c r="B10" t="s">
        <v>86</v>
      </c>
      <c r="C10">
        <f>H2</f>
        <v>40.0486</v>
      </c>
      <c r="D10">
        <f>C10/180*PI()</f>
        <v>0.69897993081420107</v>
      </c>
      <c r="I10" t="s">
        <v>100</v>
      </c>
      <c r="J10" s="32" t="e">
        <f>cometperiod(F2,E2)/365.24</f>
        <v>#VALUE!</v>
      </c>
      <c r="K10" s="36" t="e">
        <f>J10*365.24</f>
        <v>#VALUE!</v>
      </c>
    </row>
    <row r="11" spans="1:20" x14ac:dyDescent="0.25">
      <c r="B11" t="s">
        <v>94</v>
      </c>
      <c r="C11">
        <f>I2</f>
        <v>2.601</v>
      </c>
      <c r="D11">
        <f>C11/180*PI()</f>
        <v>4.5396013844372508E-2</v>
      </c>
      <c r="I11" t="s">
        <v>99</v>
      </c>
      <c r="J11" s="33" t="e">
        <f>CometSunDist(E2,F2,B4,C4,D4,B2,C2,D2)</f>
        <v>#VALUE!</v>
      </c>
      <c r="K11" s="29" t="e">
        <f>CometSunDist(E2,F2,B4,C4,D4,B2,C2,D2)</f>
        <v>#VALUE!</v>
      </c>
      <c r="L11" s="28">
        <f>P2</f>
        <v>2.72</v>
      </c>
      <c r="M11" s="34" t="e">
        <f>L11/J11-1</f>
        <v>#VALUE!</v>
      </c>
    </row>
    <row r="12" spans="1:20" x14ac:dyDescent="0.25">
      <c r="B12" t="s">
        <v>95</v>
      </c>
      <c r="C12">
        <f>G2</f>
        <v>333.29419999999999</v>
      </c>
      <c r="D12">
        <f>C12/180*PI()</f>
        <v>5.8170811678004846</v>
      </c>
      <c r="I12" t="s">
        <v>104</v>
      </c>
      <c r="J12" s="35" t="e">
        <f>CometEarthDist(E2,F2,B4,C4,D4,B2,C2,D2,D10,D12,D11)</f>
        <v>#VALUE!</v>
      </c>
      <c r="L12" s="28">
        <f>Q2</f>
        <v>1.85</v>
      </c>
      <c r="M12" s="34" t="e">
        <f>L12/J12-1</f>
        <v>#VALUE!</v>
      </c>
    </row>
    <row r="13" spans="1:20" x14ac:dyDescent="0.25">
      <c r="B13" t="s">
        <v>91</v>
      </c>
      <c r="C13" s="30" t="e">
        <f>CometSemiMajorAxis(F2,E2)</f>
        <v>#VALUE!</v>
      </c>
      <c r="I13" t="s">
        <v>10</v>
      </c>
      <c r="J13" s="31" t="e">
        <f>CometMagnitude(C16,D16,J11,J12)</f>
        <v>#VALUE!</v>
      </c>
      <c r="L13">
        <f>R2</f>
        <v>17.18</v>
      </c>
      <c r="M13" s="34" t="e">
        <f>L13/J13-1</f>
        <v>#VALUE!</v>
      </c>
    </row>
    <row r="14" spans="1:20" x14ac:dyDescent="0.25">
      <c r="B14" t="s">
        <v>96</v>
      </c>
      <c r="C14">
        <f>F2</f>
        <v>0.313245</v>
      </c>
    </row>
    <row r="15" spans="1:20" x14ac:dyDescent="0.25">
      <c r="B15" t="s">
        <v>59</v>
      </c>
      <c r="C15" t="e">
        <f>CometMeanAnomaly(B4,C4,D4,J10*365.24,B2,C2,D2)*PI()/180</f>
        <v>#VALUE!</v>
      </c>
    </row>
    <row r="16" spans="1:20" x14ac:dyDescent="0.25">
      <c r="B16" t="s">
        <v>97</v>
      </c>
      <c r="C16">
        <f>K2</f>
        <v>11.5</v>
      </c>
      <c r="D16">
        <v>4</v>
      </c>
    </row>
    <row r="17" spans="2:10" x14ac:dyDescent="0.25">
      <c r="B17" t="s">
        <v>98</v>
      </c>
      <c r="C17">
        <v>0</v>
      </c>
    </row>
    <row r="18" spans="2:10" x14ac:dyDescent="0.25">
      <c r="B18" t="s">
        <v>88</v>
      </c>
      <c r="C18">
        <v>2000</v>
      </c>
      <c r="D18">
        <v>0</v>
      </c>
      <c r="E18">
        <v>0</v>
      </c>
      <c r="J18" s="32"/>
    </row>
    <row r="19" spans="2:10" x14ac:dyDescent="0.25">
      <c r="J19" s="31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BestVisibility</vt:lpstr>
      <vt:lpstr>Sheet1</vt:lpstr>
      <vt:lpstr>Comets</vt:lpstr>
      <vt:lpstr>intvl</vt:lpstr>
      <vt:lpstr>lati</vt:lpstr>
      <vt:lpstr>longi</vt:lpstr>
      <vt:lpstr>planetno</vt:lpstr>
      <vt:lpstr>planlookup</vt:lpstr>
      <vt:lpstr>pres</vt:lpstr>
      <vt:lpstr>BestVisibility!Print_Area</vt:lpstr>
      <vt:lpstr>temp</vt:lpstr>
      <vt:lpstr>unt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2019-11-14T08:37:24Z</dcterms:modified>
</cp:coreProperties>
</file>