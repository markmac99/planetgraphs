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16275" windowHeight="6990"/>
  </bookViews>
  <sheets>
    <sheet name="BestVisibility" sheetId="4" r:id="rId1"/>
    <sheet name="Sheet1" sheetId="6" r:id="rId2"/>
  </sheets>
  <functionGroups/>
  <definedNames>
    <definedName name="au">#REF!</definedName>
    <definedName name="dayval">#REF!</definedName>
    <definedName name="dd">#REF!</definedName>
    <definedName name="erad">#REF!</definedName>
    <definedName name="hval">#REF!</definedName>
    <definedName name="intvl">BestVisibility!$F$1</definedName>
    <definedName name="lat">#REF!</definedName>
    <definedName name="lati">BestVisibility!$B$1</definedName>
    <definedName name="long">#REF!</definedName>
    <definedName name="longi">BestVisibility!$C$1</definedName>
    <definedName name="lst">#REF!</definedName>
    <definedName name="monval">#REF!</definedName>
    <definedName name="mval">#REF!</definedName>
    <definedName name="planetlookup">#REF!</definedName>
    <definedName name="planetnames">#REF!</definedName>
    <definedName name="planetno">BestVisibility!$B$2</definedName>
    <definedName name="planlookup">BestVisibility!$X$4:$Y$19</definedName>
    <definedName name="pres">BestVisibility!$AB$12</definedName>
    <definedName name="_xlnm.Print_Area" localSheetId="0">BestVisibility!$A$1:$V$57</definedName>
    <definedName name="sunrise">BestVisibility!#REF!</definedName>
    <definedName name="sval">#REF!</definedName>
    <definedName name="temp">BestVisibility!$AB$11</definedName>
    <definedName name="unt">BestVisibility!$G$1</definedName>
    <definedName name="visorimg">#REF!</definedName>
    <definedName name="yval">#REF!</definedName>
  </definedNames>
  <calcPr calcId="125725"/>
</workbook>
</file>

<file path=xl/calcChain.xml><?xml version="1.0" encoding="utf-8"?>
<calcChain xmlns="http://schemas.openxmlformats.org/spreadsheetml/2006/main">
  <c r="AH4" i="4"/>
  <c r="AH5"/>
  <c r="A28" i="6"/>
  <c r="AH6" i="4"/>
  <c r="AH26"/>
  <c r="AH13"/>
  <c r="AH10"/>
  <c r="AH11"/>
  <c r="AH7"/>
  <c r="A29" i="6" l="1"/>
  <c r="S3"/>
  <c r="AF3"/>
  <c r="C3"/>
  <c r="D3" s="1"/>
  <c r="E3" s="1"/>
  <c r="F3" s="1"/>
  <c r="G3" s="1"/>
  <c r="H3" s="1"/>
  <c r="I3" s="1"/>
  <c r="J3" s="1"/>
  <c r="F1"/>
  <c r="P3" s="1"/>
  <c r="C1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C2" i="4"/>
  <c r="B2"/>
  <c r="AB9"/>
  <c r="P5" i="6"/>
  <c r="AF5"/>
  <c r="AF17"/>
  <c r="AF22"/>
  <c r="P18"/>
  <c r="AF21"/>
  <c r="P15"/>
  <c r="P13"/>
  <c r="P23"/>
  <c r="P7"/>
  <c r="P11"/>
  <c r="AF28"/>
  <c r="AF29"/>
  <c r="AF23"/>
  <c r="P27"/>
  <c r="AF14"/>
  <c r="AF9"/>
  <c r="P29"/>
  <c r="AF27"/>
  <c r="AF13"/>
  <c r="P19"/>
  <c r="AF20"/>
  <c r="P22"/>
  <c r="AF11"/>
  <c r="AF16"/>
  <c r="P20"/>
  <c r="P17"/>
  <c r="AF26"/>
  <c r="P9"/>
  <c r="P21"/>
  <c r="AF4"/>
  <c r="AF18"/>
  <c r="P12"/>
  <c r="AF6"/>
  <c r="AF7"/>
  <c r="P16"/>
  <c r="P4"/>
  <c r="P24"/>
  <c r="C5" i="4"/>
  <c r="P10" i="6"/>
  <c r="P6"/>
  <c r="AF15"/>
  <c r="AF25"/>
  <c r="AF8"/>
  <c r="AF12"/>
  <c r="P8"/>
  <c r="AF10"/>
  <c r="P25"/>
  <c r="AF24"/>
  <c r="P28"/>
  <c r="P26"/>
  <c r="AF19"/>
  <c r="P14"/>
  <c r="AH12" i="4"/>
  <c r="AH14"/>
  <c r="AH8"/>
  <c r="AH17"/>
  <c r="AH21"/>
  <c r="AH18"/>
  <c r="AH25"/>
  <c r="AH16"/>
  <c r="AH24"/>
  <c r="AH20"/>
  <c r="AH19"/>
  <c r="AH22"/>
  <c r="AH27" l="1"/>
  <c r="AH29" s="1"/>
  <c r="AH28"/>
  <c r="A30" i="6"/>
  <c r="R1"/>
  <c r="T3"/>
  <c r="K3"/>
  <c r="S4" i="4"/>
  <c r="S3"/>
  <c r="S5"/>
  <c r="S2"/>
  <c r="A6"/>
  <c r="A7" s="1"/>
  <c r="A8" s="1"/>
  <c r="A9" s="1"/>
  <c r="A10" s="1"/>
  <c r="W18" i="6"/>
  <c r="AB28"/>
  <c r="AB19"/>
  <c r="H20"/>
  <c r="F16"/>
  <c r="U29"/>
  <c r="K11"/>
  <c r="D11"/>
  <c r="D4"/>
  <c r="AD20"/>
  <c r="V25"/>
  <c r="R23"/>
  <c r="J12"/>
  <c r="F27"/>
  <c r="E23"/>
  <c r="F25"/>
  <c r="I21"/>
  <c r="AA27"/>
  <c r="Z28"/>
  <c r="X19"/>
  <c r="F13"/>
  <c r="K9"/>
  <c r="R8"/>
  <c r="S5"/>
  <c r="R14"/>
  <c r="B15"/>
  <c r="D26"/>
  <c r="G24"/>
  <c r="K25"/>
  <c r="T18"/>
  <c r="W25"/>
  <c r="F22"/>
  <c r="K12"/>
  <c r="E26"/>
  <c r="W27"/>
  <c r="R15"/>
  <c r="J13"/>
  <c r="H22"/>
  <c r="AA20"/>
  <c r="W23"/>
  <c r="R7"/>
  <c r="R26"/>
  <c r="H21"/>
  <c r="B11"/>
  <c r="AD18"/>
  <c r="U21"/>
  <c r="R9"/>
  <c r="B8"/>
  <c r="T9"/>
  <c r="K29"/>
  <c r="E22"/>
  <c r="C14"/>
  <c r="D29"/>
  <c r="M28"/>
  <c r="R4"/>
  <c r="X23"/>
  <c r="C7"/>
  <c r="D7"/>
  <c r="C26"/>
  <c r="K24"/>
  <c r="G14"/>
  <c r="V27"/>
  <c r="W28"/>
  <c r="T19"/>
  <c r="I19"/>
  <c r="E11"/>
  <c r="T20"/>
  <c r="R25"/>
  <c r="V23"/>
  <c r="E18"/>
  <c r="G8"/>
  <c r="I6"/>
  <c r="F6"/>
  <c r="H5"/>
  <c r="AD26"/>
  <c r="Z29"/>
  <c r="AF30"/>
  <c r="N28"/>
  <c r="S12"/>
  <c r="I26"/>
  <c r="K6"/>
  <c r="D16"/>
  <c r="R24"/>
  <c r="J23"/>
  <c r="X28"/>
  <c r="B18"/>
  <c r="G23"/>
  <c r="H19"/>
  <c r="X20"/>
  <c r="X25"/>
  <c r="Y23"/>
  <c r="J25"/>
  <c r="H11"/>
  <c r="C15"/>
  <c r="D21"/>
  <c r="F4"/>
  <c r="U27"/>
  <c r="S28"/>
  <c r="U19"/>
  <c r="J14"/>
  <c r="D8"/>
  <c r="G12"/>
  <c r="AC29"/>
  <c r="D10"/>
  <c r="K7"/>
  <c r="S8"/>
  <c r="R5"/>
  <c r="V29"/>
  <c r="K10"/>
  <c r="D14"/>
  <c r="E14"/>
  <c r="D13"/>
  <c r="S23"/>
  <c r="H18"/>
  <c r="E16"/>
  <c r="I8"/>
  <c r="M29"/>
  <c r="J5"/>
  <c r="E28"/>
  <c r="X22"/>
  <c r="G16"/>
  <c r="I12"/>
  <c r="X18"/>
  <c r="AC26"/>
  <c r="G29"/>
  <c r="I23"/>
  <c r="D15"/>
  <c r="S4"/>
  <c r="B21"/>
  <c r="E19"/>
  <c r="U22"/>
  <c r="C20"/>
  <c r="R19"/>
  <c r="AB26"/>
  <c r="E9"/>
  <c r="AB22"/>
  <c r="S9"/>
  <c r="G6"/>
  <c r="F28"/>
  <c r="G15"/>
  <c r="I15"/>
  <c r="I24"/>
  <c r="V28"/>
  <c r="F24"/>
  <c r="AD27"/>
  <c r="B7"/>
  <c r="G4"/>
  <c r="R17"/>
  <c r="F10"/>
  <c r="H25"/>
  <c r="AA22"/>
  <c r="Y26"/>
  <c r="K23"/>
  <c r="I9"/>
  <c r="H12"/>
  <c r="B17"/>
  <c r="B10"/>
  <c r="B27"/>
  <c r="AC25"/>
  <c r="G27"/>
  <c r="X29"/>
  <c r="J22"/>
  <c r="H28"/>
  <c r="E27"/>
  <c r="D17"/>
  <c r="C9"/>
  <c r="W19"/>
  <c r="F23"/>
  <c r="B19"/>
  <c r="Z18"/>
  <c r="S17"/>
  <c r="W26"/>
  <c r="F29"/>
  <c r="F26"/>
  <c r="E6"/>
  <c r="E25"/>
  <c r="E10"/>
  <c r="G18"/>
  <c r="D28"/>
  <c r="W24"/>
  <c r="Z22"/>
  <c r="I5"/>
  <c r="C24"/>
  <c r="B14"/>
  <c r="F20"/>
  <c r="AB29"/>
  <c r="AC18"/>
  <c r="AA21"/>
  <c r="V26"/>
  <c r="G13"/>
  <c r="B16"/>
  <c r="K28"/>
  <c r="R16"/>
  <c r="S6"/>
  <c r="J10"/>
  <c r="B23"/>
  <c r="E17"/>
  <c r="F19"/>
  <c r="W29"/>
  <c r="AD28"/>
  <c r="I10"/>
  <c r="F15"/>
  <c r="F14"/>
  <c r="D5"/>
  <c r="Z25"/>
  <c r="T5"/>
  <c r="T15"/>
  <c r="AA18"/>
  <c r="S19"/>
  <c r="E12"/>
  <c r="AB24"/>
  <c r="E5"/>
  <c r="E24"/>
  <c r="K21"/>
  <c r="W20"/>
  <c r="AA25"/>
  <c r="S14"/>
  <c r="D19"/>
  <c r="D9"/>
  <c r="H4"/>
  <c r="I11"/>
  <c r="T8"/>
  <c r="S27"/>
  <c r="Z24"/>
  <c r="AD22"/>
  <c r="D12"/>
  <c r="C23"/>
  <c r="G17"/>
  <c r="G25"/>
  <c r="J7"/>
  <c r="S7"/>
  <c r="T21"/>
  <c r="Z26"/>
  <c r="I20"/>
  <c r="H15"/>
  <c r="I28"/>
  <c r="T24"/>
  <c r="R22"/>
  <c r="G11"/>
  <c r="B26"/>
  <c r="J24"/>
  <c r="I22"/>
  <c r="C6"/>
  <c r="X24"/>
  <c r="G19"/>
  <c r="C18"/>
  <c r="S18"/>
  <c r="T26"/>
  <c r="I27"/>
  <c r="H8"/>
  <c r="G20"/>
  <c r="S21"/>
  <c r="T6"/>
  <c r="AC20"/>
  <c r="Z23"/>
  <c r="E13"/>
  <c r="AD24"/>
  <c r="G22"/>
  <c r="D6"/>
  <c r="D23"/>
  <c r="Z21"/>
  <c r="T10"/>
  <c r="C27"/>
  <c r="C25"/>
  <c r="G28"/>
  <c r="R6"/>
  <c r="C29"/>
  <c r="T25"/>
  <c r="J26"/>
  <c r="C16"/>
  <c r="AD21"/>
  <c r="B28"/>
  <c r="J29"/>
  <c r="V21"/>
  <c r="T13"/>
  <c r="J6"/>
  <c r="F21"/>
  <c r="R20"/>
  <c r="J21"/>
  <c r="J28"/>
  <c r="R29"/>
  <c r="S15"/>
  <c r="D20"/>
  <c r="C12"/>
  <c r="L29"/>
  <c r="K14"/>
  <c r="B22"/>
  <c r="AC24"/>
  <c r="R18"/>
  <c r="J4"/>
  <c r="F11"/>
  <c r="W22"/>
  <c r="H16"/>
  <c r="B6"/>
  <c r="T29"/>
  <c r="I14"/>
  <c r="X26"/>
  <c r="K18"/>
  <c r="H6"/>
  <c r="AC22"/>
  <c r="H13"/>
  <c r="S10"/>
  <c r="R21"/>
  <c r="V24"/>
  <c r="K26"/>
  <c r="Y20"/>
  <c r="Y25"/>
  <c r="T23"/>
  <c r="K16"/>
  <c r="K17"/>
  <c r="F18"/>
  <c r="D24"/>
  <c r="D18"/>
  <c r="Y18"/>
  <c r="AC28"/>
  <c r="AC19"/>
  <c r="C21"/>
  <c r="I13"/>
  <c r="T12"/>
  <c r="B29"/>
  <c r="K15"/>
  <c r="F12"/>
  <c r="U20"/>
  <c r="S25"/>
  <c r="AA23"/>
  <c r="E15"/>
  <c r="R27"/>
  <c r="R13"/>
  <c r="B5"/>
  <c r="B4"/>
  <c r="G10"/>
  <c r="B12"/>
  <c r="B20"/>
  <c r="F9"/>
  <c r="AB21"/>
  <c r="AC23"/>
  <c r="G9"/>
  <c r="G5"/>
  <c r="B9"/>
  <c r="Y28"/>
  <c r="K13"/>
  <c r="K4"/>
  <c r="K22"/>
  <c r="U25"/>
  <c r="J16"/>
  <c r="Y21"/>
  <c r="P30"/>
  <c r="K20"/>
  <c r="I16"/>
  <c r="L28"/>
  <c r="S16"/>
  <c r="R12"/>
  <c r="H26"/>
  <c r="H27"/>
  <c r="I25"/>
  <c r="H23"/>
  <c r="D27"/>
  <c r="AB18"/>
  <c r="R10"/>
  <c r="AD19"/>
  <c r="E4"/>
  <c r="B24"/>
  <c r="S29"/>
  <c r="K27"/>
  <c r="C19"/>
  <c r="T11"/>
  <c r="Z20"/>
  <c r="AD25"/>
  <c r="U23"/>
  <c r="I4"/>
  <c r="AB27"/>
  <c r="U28"/>
  <c r="V19"/>
  <c r="J27"/>
  <c r="I17"/>
  <c r="C17"/>
  <c r="T7"/>
  <c r="I29"/>
  <c r="V20"/>
  <c r="T14"/>
  <c r="D25"/>
  <c r="T17"/>
  <c r="Y24"/>
  <c r="C11"/>
  <c r="N29"/>
  <c r="J19"/>
  <c r="S11"/>
  <c r="S22"/>
  <c r="T27"/>
  <c r="Z19"/>
  <c r="J8"/>
  <c r="B25"/>
  <c r="Z27"/>
  <c r="T28"/>
  <c r="AA19"/>
  <c r="B13"/>
  <c r="H9"/>
  <c r="T16"/>
  <c r="H29"/>
  <c r="C10"/>
  <c r="H14"/>
  <c r="AB20"/>
  <c r="AB25"/>
  <c r="AB23"/>
  <c r="F5"/>
  <c r="E20"/>
  <c r="K5"/>
  <c r="D22"/>
  <c r="I18"/>
  <c r="AC27"/>
  <c r="S13"/>
  <c r="T22"/>
  <c r="F7"/>
  <c r="S26"/>
  <c r="H17"/>
  <c r="R11"/>
  <c r="S20"/>
  <c r="C5"/>
  <c r="G21"/>
  <c r="AA28"/>
  <c r="I7"/>
  <c r="X27"/>
  <c r="U24"/>
  <c r="Y22"/>
  <c r="C8"/>
  <c r="J15"/>
  <c r="J9"/>
  <c r="F17"/>
  <c r="C13"/>
  <c r="E7"/>
  <c r="AA29"/>
  <c r="J11"/>
  <c r="H7"/>
  <c r="G26"/>
  <c r="K8"/>
  <c r="AA24"/>
  <c r="V18"/>
  <c r="E21"/>
  <c r="AD29"/>
  <c r="Y19"/>
  <c r="AD23"/>
  <c r="C22"/>
  <c r="V22"/>
  <c r="R28"/>
  <c r="J18"/>
  <c r="J20"/>
  <c r="AA26"/>
  <c r="E8"/>
  <c r="C28"/>
  <c r="H10"/>
  <c r="W21"/>
  <c r="Y29"/>
  <c r="Y27"/>
  <c r="AC21"/>
  <c r="U26"/>
  <c r="E29"/>
  <c r="X21"/>
  <c r="K19"/>
  <c r="H24"/>
  <c r="S24"/>
  <c r="G7"/>
  <c r="U18"/>
  <c r="F8"/>
  <c r="J17"/>
  <c r="C4"/>
  <c r="T4"/>
  <c r="AI18" i="4"/>
  <c r="AH23"/>
  <c r="AI19"/>
  <c r="AI17"/>
  <c r="AI16"/>
  <c r="AI21"/>
  <c r="AI20"/>
  <c r="A31" i="6" l="1"/>
  <c r="U3"/>
  <c r="L3"/>
  <c r="A11" i="4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U13" i="6"/>
  <c r="F30"/>
  <c r="U9"/>
  <c r="L7"/>
  <c r="R30"/>
  <c r="U14"/>
  <c r="L12"/>
  <c r="S30"/>
  <c r="G30"/>
  <c r="U7"/>
  <c r="J30"/>
  <c r="E30"/>
  <c r="X30"/>
  <c r="Z30"/>
  <c r="L26"/>
  <c r="L17"/>
  <c r="V30"/>
  <c r="C30"/>
  <c r="L24"/>
  <c r="I30"/>
  <c r="L13"/>
  <c r="AF31"/>
  <c r="L30"/>
  <c r="B30"/>
  <c r="L18"/>
  <c r="L8"/>
  <c r="N30"/>
  <c r="U30"/>
  <c r="D30"/>
  <c r="T30"/>
  <c r="U10"/>
  <c r="H30"/>
  <c r="K30"/>
  <c r="L5"/>
  <c r="L25"/>
  <c r="L11"/>
  <c r="AD30"/>
  <c r="L27"/>
  <c r="L15"/>
  <c r="W30"/>
  <c r="AA30"/>
  <c r="L21"/>
  <c r="L14"/>
  <c r="U6"/>
  <c r="U5"/>
  <c r="P31"/>
  <c r="M30"/>
  <c r="Y30"/>
  <c r="AB30"/>
  <c r="U4"/>
  <c r="L19"/>
  <c r="L23"/>
  <c r="U15"/>
  <c r="AC30"/>
  <c r="L10"/>
  <c r="U11"/>
  <c r="L9"/>
  <c r="U8"/>
  <c r="U16"/>
  <c r="U12"/>
  <c r="L4"/>
  <c r="U17"/>
  <c r="L6"/>
  <c r="L16"/>
  <c r="L22"/>
  <c r="L20"/>
  <c r="A32" l="1"/>
  <c r="V3"/>
  <c r="M3"/>
  <c r="I1" i="4"/>
  <c r="A33" i="6" l="1"/>
  <c r="W3"/>
  <c r="N3"/>
  <c r="E66" i="4"/>
  <c r="F109"/>
  <c r="D55"/>
  <c r="M11" i="6"/>
  <c r="B19" i="4"/>
  <c r="D33"/>
  <c r="V5" i="6"/>
  <c r="B76" i="4"/>
  <c r="D92"/>
  <c r="C31" i="6"/>
  <c r="E137" i="4"/>
  <c r="F136"/>
  <c r="D75"/>
  <c r="E69"/>
  <c r="F121"/>
  <c r="D26"/>
  <c r="M8" i="6"/>
  <c r="B31" i="4"/>
  <c r="C88"/>
  <c r="C105"/>
  <c r="B88"/>
  <c r="C147"/>
  <c r="C42"/>
  <c r="E140"/>
  <c r="C11"/>
  <c r="D29"/>
  <c r="E72"/>
  <c r="B90"/>
  <c r="D88"/>
  <c r="M5" i="6"/>
  <c r="B139" i="4"/>
  <c r="F128"/>
  <c r="D110"/>
  <c r="F10"/>
  <c r="F113"/>
  <c r="C62"/>
  <c r="F67"/>
  <c r="B23"/>
  <c r="C36"/>
  <c r="E99"/>
  <c r="B80"/>
  <c r="C95"/>
  <c r="E31"/>
  <c r="E138"/>
  <c r="F140"/>
  <c r="C117"/>
  <c r="E70"/>
  <c r="F125"/>
  <c r="D79"/>
  <c r="E55"/>
  <c r="M22" i="6"/>
  <c r="B82" i="4"/>
  <c r="B69"/>
  <c r="C52"/>
  <c r="V12" i="6"/>
  <c r="D148" i="4"/>
  <c r="D94"/>
  <c r="F81"/>
  <c r="F35"/>
  <c r="E29"/>
  <c r="E91"/>
  <c r="C130"/>
  <c r="E62"/>
  <c r="E143"/>
  <c r="M7" i="6"/>
  <c r="B35" i="4"/>
  <c r="D41"/>
  <c r="V6" i="6"/>
  <c r="B92" i="4"/>
  <c r="D100"/>
  <c r="Z31" i="6"/>
  <c r="E141" i="4"/>
  <c r="B9"/>
  <c r="D99"/>
  <c r="E73"/>
  <c r="F137"/>
  <c r="D34"/>
  <c r="B5"/>
  <c r="B47"/>
  <c r="C96"/>
  <c r="C113"/>
  <c r="B104"/>
  <c r="C14"/>
  <c r="C66"/>
  <c r="E144"/>
  <c r="C19"/>
  <c r="D37"/>
  <c r="E76"/>
  <c r="B138"/>
  <c r="D96"/>
  <c r="E8"/>
  <c r="B110"/>
  <c r="F144"/>
  <c r="D118"/>
  <c r="F26"/>
  <c r="F129"/>
  <c r="C86"/>
  <c r="F83"/>
  <c r="B39"/>
  <c r="C44"/>
  <c r="E103"/>
  <c r="B96"/>
  <c r="C103"/>
  <c r="E35"/>
  <c r="E142"/>
  <c r="B13"/>
  <c r="C125"/>
  <c r="E74"/>
  <c r="F141"/>
  <c r="D103"/>
  <c r="E6"/>
  <c r="B51"/>
  <c r="D49"/>
  <c r="V7" i="6"/>
  <c r="B108" i="4"/>
  <c r="D108"/>
  <c r="R31" i="6"/>
  <c r="E145" i="4"/>
  <c r="B25"/>
  <c r="C126"/>
  <c r="E77"/>
  <c r="B10"/>
  <c r="D42"/>
  <c r="E9"/>
  <c r="B63"/>
  <c r="C104"/>
  <c r="C121"/>
  <c r="B120"/>
  <c r="D31"/>
  <c r="C90"/>
  <c r="E148"/>
  <c r="C27"/>
  <c r="D45"/>
  <c r="E80"/>
  <c r="B137"/>
  <c r="D104"/>
  <c r="E12"/>
  <c r="C72"/>
  <c r="F123"/>
  <c r="C131"/>
  <c r="C29"/>
  <c r="E64"/>
  <c r="D72"/>
  <c r="C40"/>
  <c r="B29"/>
  <c r="E78"/>
  <c r="D123"/>
  <c r="D57"/>
  <c r="B124"/>
  <c r="C8"/>
  <c r="C25"/>
  <c r="F71"/>
  <c r="B30"/>
  <c r="E100"/>
  <c r="E13"/>
  <c r="B136"/>
  <c r="C35"/>
  <c r="D112"/>
  <c r="D134"/>
  <c r="F115"/>
  <c r="B128"/>
  <c r="B45"/>
  <c r="D147"/>
  <c r="V9" i="6"/>
  <c r="F11" i="4"/>
  <c r="E117"/>
  <c r="C48"/>
  <c r="B6"/>
  <c r="D25"/>
  <c r="F120"/>
  <c r="C80"/>
  <c r="E68"/>
  <c r="F97"/>
  <c r="E27"/>
  <c r="D8"/>
  <c r="D30"/>
  <c r="E127"/>
  <c r="F63"/>
  <c r="B114"/>
  <c r="D97"/>
  <c r="AC31" i="6"/>
  <c r="E101" i="4"/>
  <c r="B122"/>
  <c r="C16"/>
  <c r="D91"/>
  <c r="E7"/>
  <c r="E46"/>
  <c r="F82"/>
  <c r="L31" i="6"/>
  <c r="F94" i="4"/>
  <c r="B21"/>
  <c r="D70"/>
  <c r="D51"/>
  <c r="C139"/>
  <c r="B123"/>
  <c r="B7"/>
  <c r="C109"/>
  <c r="N9" i="6"/>
  <c r="N18"/>
  <c r="N17"/>
  <c r="N10"/>
  <c r="W13"/>
  <c r="W9"/>
  <c r="W4"/>
  <c r="W12"/>
  <c r="P33"/>
  <c r="W17"/>
  <c r="E85" i="4"/>
  <c r="B46"/>
  <c r="D58"/>
  <c r="E17"/>
  <c r="B95"/>
  <c r="C120"/>
  <c r="C137"/>
  <c r="B94"/>
  <c r="C78"/>
  <c r="D135"/>
  <c r="F23"/>
  <c r="C43"/>
  <c r="D61"/>
  <c r="E88"/>
  <c r="F36"/>
  <c r="D120"/>
  <c r="E20"/>
  <c r="F21"/>
  <c r="B49"/>
  <c r="D142"/>
  <c r="F74"/>
  <c r="B38"/>
  <c r="D6"/>
  <c r="F131"/>
  <c r="B87"/>
  <c r="C68"/>
  <c r="E115"/>
  <c r="B144"/>
  <c r="C127"/>
  <c r="E47"/>
  <c r="F15"/>
  <c r="B61"/>
  <c r="C106"/>
  <c r="E86"/>
  <c r="B50"/>
  <c r="C13"/>
  <c r="E18"/>
  <c r="B99"/>
  <c r="D73"/>
  <c r="V10" i="6"/>
  <c r="B106" i="4"/>
  <c r="D132"/>
  <c r="W31" i="6"/>
  <c r="F27" i="4"/>
  <c r="B73"/>
  <c r="M31" i="6"/>
  <c r="E89" i="4"/>
  <c r="B62"/>
  <c r="D66"/>
  <c r="B56"/>
  <c r="E113"/>
  <c r="F99"/>
  <c r="E45"/>
  <c r="B58"/>
  <c r="F78"/>
  <c r="C57"/>
  <c r="N31" i="6"/>
  <c r="B102" i="4"/>
  <c r="F134"/>
  <c r="B143"/>
  <c r="C70"/>
  <c r="B100"/>
  <c r="B26"/>
  <c r="D144"/>
  <c r="E21"/>
  <c r="B111"/>
  <c r="C128"/>
  <c r="C145"/>
  <c r="B142"/>
  <c r="C102"/>
  <c r="C9"/>
  <c r="F39"/>
  <c r="C51"/>
  <c r="D69"/>
  <c r="E92"/>
  <c r="F52"/>
  <c r="D128"/>
  <c r="E24"/>
  <c r="F37"/>
  <c r="B65"/>
  <c r="D35"/>
  <c r="F90"/>
  <c r="B54"/>
  <c r="D14"/>
  <c r="F147"/>
  <c r="B103"/>
  <c r="C76"/>
  <c r="E119"/>
  <c r="B118"/>
  <c r="C135"/>
  <c r="E51"/>
  <c r="F31"/>
  <c r="B77"/>
  <c r="M26" i="6"/>
  <c r="E90" i="4"/>
  <c r="B66"/>
  <c r="C21"/>
  <c r="E22"/>
  <c r="B115"/>
  <c r="D81"/>
  <c r="V11" i="6"/>
  <c r="B85" i="4"/>
  <c r="D140"/>
  <c r="S31" i="6"/>
  <c r="F43" i="4"/>
  <c r="B133"/>
  <c r="E31" i="6"/>
  <c r="E93" i="4"/>
  <c r="B78"/>
  <c r="D74"/>
  <c r="E25"/>
  <c r="B127"/>
  <c r="C136"/>
  <c r="C46"/>
  <c r="B129"/>
  <c r="D127"/>
  <c r="C17"/>
  <c r="F55"/>
  <c r="C59"/>
  <c r="D77"/>
  <c r="E96"/>
  <c r="F68"/>
  <c r="D136"/>
  <c r="E28"/>
  <c r="F53"/>
  <c r="B93"/>
  <c r="D63"/>
  <c r="F106"/>
  <c r="B70"/>
  <c r="D22"/>
  <c r="B20"/>
  <c r="B119"/>
  <c r="C84"/>
  <c r="E123"/>
  <c r="B97"/>
  <c r="C143"/>
  <c r="B89"/>
  <c r="B17"/>
  <c r="F42"/>
  <c r="C110"/>
  <c r="B131"/>
  <c r="B112"/>
  <c r="E39"/>
  <c r="F59"/>
  <c r="C99"/>
  <c r="E116"/>
  <c r="C20"/>
  <c r="D40"/>
  <c r="E23"/>
  <c r="F32"/>
  <c r="D62"/>
  <c r="C67"/>
  <c r="F93"/>
  <c r="M15" i="6"/>
  <c r="C129" i="4"/>
  <c r="F7"/>
  <c r="F20"/>
  <c r="B33"/>
  <c r="D131"/>
  <c r="E111"/>
  <c r="E5"/>
  <c r="B34"/>
  <c r="D65"/>
  <c r="AA31" i="6"/>
  <c r="V31"/>
  <c r="M4"/>
  <c r="C98" i="4"/>
  <c r="B116"/>
  <c r="E133"/>
  <c r="B15"/>
  <c r="B109"/>
  <c r="D102"/>
  <c r="B64"/>
  <c r="F69"/>
  <c r="B86"/>
  <c r="C92"/>
  <c r="E59"/>
  <c r="E98"/>
  <c r="B147"/>
  <c r="C18"/>
  <c r="J31" i="6"/>
  <c r="E33" i="4"/>
  <c r="F30"/>
  <c r="C75"/>
  <c r="C47"/>
  <c r="C69"/>
  <c r="V17" i="6"/>
  <c r="D52" i="4"/>
  <c r="D95"/>
  <c r="D125"/>
  <c r="B59"/>
  <c r="K31" i="6"/>
  <c r="C97" i="4"/>
  <c r="D80"/>
  <c r="C38"/>
  <c r="E134"/>
  <c r="N7" i="6"/>
  <c r="N14"/>
  <c r="W11"/>
  <c r="W8"/>
  <c r="N23"/>
  <c r="N11"/>
  <c r="N22"/>
  <c r="W14"/>
  <c r="AF33"/>
  <c r="D93" i="4"/>
  <c r="E104"/>
  <c r="F100"/>
  <c r="C10"/>
  <c r="E36"/>
  <c r="F85"/>
  <c r="D16"/>
  <c r="D111"/>
  <c r="F138"/>
  <c r="B126"/>
  <c r="D38"/>
  <c r="B52"/>
  <c r="B98"/>
  <c r="C100"/>
  <c r="E131"/>
  <c r="F22"/>
  <c r="C22"/>
  <c r="E63"/>
  <c r="F79"/>
  <c r="C23"/>
  <c r="M14" i="6"/>
  <c r="E102" i="4"/>
  <c r="B101"/>
  <c r="C45"/>
  <c r="E34"/>
  <c r="B134"/>
  <c r="D105"/>
  <c r="V14" i="6"/>
  <c r="F34" i="4"/>
  <c r="D39"/>
  <c r="Y31" i="6"/>
  <c r="F91" i="4"/>
  <c r="D28"/>
  <c r="F31" i="6"/>
  <c r="E105" i="4"/>
  <c r="F8"/>
  <c r="D98"/>
  <c r="E37"/>
  <c r="B105"/>
  <c r="D27"/>
  <c r="D119"/>
  <c r="F46"/>
  <c r="C24"/>
  <c r="C41"/>
  <c r="F103"/>
  <c r="C83"/>
  <c r="D101"/>
  <c r="E108"/>
  <c r="F116"/>
  <c r="C7"/>
  <c r="F145"/>
  <c r="F40"/>
  <c r="B55"/>
  <c r="E107"/>
  <c r="C111"/>
  <c r="X31" i="6"/>
  <c r="B130" i="4"/>
  <c r="D19"/>
  <c r="E10"/>
  <c r="E48"/>
  <c r="V8" i="6"/>
  <c r="B43" i="4"/>
  <c r="C124"/>
  <c r="F70"/>
  <c r="C26"/>
  <c r="E40"/>
  <c r="F101"/>
  <c r="D24"/>
  <c r="C138"/>
  <c r="B11"/>
  <c r="B121"/>
  <c r="D46"/>
  <c r="B68"/>
  <c r="B146"/>
  <c r="C108"/>
  <c r="E135"/>
  <c r="F38"/>
  <c r="D43"/>
  <c r="E67"/>
  <c r="F95"/>
  <c r="C31"/>
  <c r="M10" i="6"/>
  <c r="E106" i="4"/>
  <c r="F12"/>
  <c r="C53"/>
  <c r="E38"/>
  <c r="B117"/>
  <c r="D113"/>
  <c r="V15" i="6"/>
  <c r="F50" i="4"/>
  <c r="D59"/>
  <c r="U31" i="6"/>
  <c r="F107" i="4"/>
  <c r="D36"/>
  <c r="B31" i="6"/>
  <c r="E109" i="4"/>
  <c r="F24"/>
  <c r="D106"/>
  <c r="E41"/>
  <c r="F9"/>
  <c r="D47"/>
  <c r="D143"/>
  <c r="F62"/>
  <c r="C32"/>
  <c r="C49"/>
  <c r="F119"/>
  <c r="C91"/>
  <c r="D109"/>
  <c r="E112"/>
  <c r="F132"/>
  <c r="C50"/>
  <c r="E44"/>
  <c r="F117"/>
  <c r="D32"/>
  <c r="C30"/>
  <c r="B27"/>
  <c r="F16"/>
  <c r="D54"/>
  <c r="B84"/>
  <c r="B125"/>
  <c r="C116"/>
  <c r="E139"/>
  <c r="F54"/>
  <c r="D67"/>
  <c r="E71"/>
  <c r="F111"/>
  <c r="C39"/>
  <c r="M6" i="6"/>
  <c r="E110" i="4"/>
  <c r="F28"/>
  <c r="C61"/>
  <c r="E42"/>
  <c r="F13"/>
  <c r="D121"/>
  <c r="V16" i="6"/>
  <c r="F66" i="4"/>
  <c r="D83"/>
  <c r="F47"/>
  <c r="D44"/>
  <c r="D7"/>
  <c r="D13"/>
  <c r="D71"/>
  <c r="M13" i="6"/>
  <c r="F96" i="4"/>
  <c r="C133"/>
  <c r="B14"/>
  <c r="C74"/>
  <c r="B48"/>
  <c r="F14"/>
  <c r="E130"/>
  <c r="F108"/>
  <c r="C101"/>
  <c r="E81"/>
  <c r="F84"/>
  <c r="C112"/>
  <c r="C114"/>
  <c r="E84"/>
  <c r="B145"/>
  <c r="B18"/>
  <c r="C60"/>
  <c r="E43"/>
  <c r="E82"/>
  <c r="B83"/>
  <c r="D124"/>
  <c r="C82"/>
  <c r="F41"/>
  <c r="E120"/>
  <c r="F48"/>
  <c r="D84"/>
  <c r="D18"/>
  <c r="D23"/>
  <c r="M9" i="6"/>
  <c r="C28" i="4"/>
  <c r="E32"/>
  <c r="F122"/>
  <c r="B135"/>
  <c r="C6"/>
  <c r="M18" i="6"/>
  <c r="E30" i="4"/>
  <c r="F18"/>
  <c r="D20"/>
  <c r="D90"/>
  <c r="C94"/>
  <c r="F87"/>
  <c r="F127"/>
  <c r="F44"/>
  <c r="D129"/>
  <c r="F139"/>
  <c r="E49"/>
  <c r="B8"/>
  <c r="D48"/>
  <c r="V4" i="6"/>
  <c r="M12"/>
  <c r="D21" i="4"/>
  <c r="B113"/>
  <c r="C87"/>
  <c r="N13" i="6"/>
  <c r="N8"/>
  <c r="W16"/>
  <c r="W7"/>
  <c r="N21"/>
  <c r="W5"/>
  <c r="N27"/>
  <c r="N26"/>
  <c r="N12"/>
  <c r="N24"/>
  <c r="F33" i="4"/>
  <c r="C132"/>
  <c r="E147"/>
  <c r="F86"/>
  <c r="D115"/>
  <c r="E79"/>
  <c r="F143"/>
  <c r="C55"/>
  <c r="E11"/>
  <c r="E118"/>
  <c r="F60"/>
  <c r="C77"/>
  <c r="E50"/>
  <c r="F45"/>
  <c r="D137"/>
  <c r="M27" i="6"/>
  <c r="F98" i="4"/>
  <c r="C134"/>
  <c r="T31" i="6"/>
  <c r="B12" i="4"/>
  <c r="D60"/>
  <c r="H31" i="6"/>
  <c r="E121" i="4"/>
  <c r="F72"/>
  <c r="D130"/>
  <c r="E53"/>
  <c r="F57"/>
  <c r="C118"/>
  <c r="M24" i="6"/>
  <c r="F110" i="4"/>
  <c r="C56"/>
  <c r="C73"/>
  <c r="B24"/>
  <c r="C115"/>
  <c r="D133"/>
  <c r="E124"/>
  <c r="B37"/>
  <c r="C122"/>
  <c r="E56"/>
  <c r="B22"/>
  <c r="D56"/>
  <c r="M21" i="6"/>
  <c r="B75" i="4"/>
  <c r="F64"/>
  <c r="D78"/>
  <c r="B132"/>
  <c r="F49"/>
  <c r="C140"/>
  <c r="F5"/>
  <c r="C89"/>
  <c r="G31" i="6"/>
  <c r="E132" i="4"/>
  <c r="E26"/>
  <c r="F25"/>
  <c r="C58"/>
  <c r="B107"/>
  <c r="D12"/>
  <c r="E97"/>
  <c r="F148"/>
  <c r="B67"/>
  <c r="F133"/>
  <c r="D116"/>
  <c r="D85"/>
  <c r="D50"/>
  <c r="F102"/>
  <c r="D139"/>
  <c r="E83"/>
  <c r="B16"/>
  <c r="C63"/>
  <c r="E15"/>
  <c r="E122"/>
  <c r="F76"/>
  <c r="C85"/>
  <c r="E54"/>
  <c r="F61"/>
  <c r="D145"/>
  <c r="M23" i="6"/>
  <c r="F114" i="4"/>
  <c r="D9"/>
  <c r="P32" i="6"/>
  <c r="B28" i="4"/>
  <c r="D68"/>
  <c r="D31" i="6"/>
  <c r="E125" i="4"/>
  <c r="F88"/>
  <c r="D138"/>
  <c r="E57"/>
  <c r="F73"/>
  <c r="C142"/>
  <c r="M20" i="6"/>
  <c r="F126" i="4"/>
  <c r="C64"/>
  <c r="C81"/>
  <c r="B40"/>
  <c r="C123"/>
  <c r="D141"/>
  <c r="E128"/>
  <c r="B53"/>
  <c r="C146"/>
  <c r="E60"/>
  <c r="B42"/>
  <c r="D64"/>
  <c r="M17" i="6"/>
  <c r="B91" i="4"/>
  <c r="F80"/>
  <c r="D86"/>
  <c r="B148"/>
  <c r="F65"/>
  <c r="C148"/>
  <c r="F19"/>
  <c r="F118"/>
  <c r="C12"/>
  <c r="E87"/>
  <c r="B32"/>
  <c r="C71"/>
  <c r="E19"/>
  <c r="E126"/>
  <c r="F92"/>
  <c r="C93"/>
  <c r="E58"/>
  <c r="F77"/>
  <c r="D15"/>
  <c r="M19" i="6"/>
  <c r="F130" i="4"/>
  <c r="D17"/>
  <c r="AF32" i="6"/>
  <c r="B44" i="4"/>
  <c r="D76"/>
  <c r="I31" i="6"/>
  <c r="E129" i="4"/>
  <c r="F104"/>
  <c r="D146"/>
  <c r="E61"/>
  <c r="F89"/>
  <c r="D10"/>
  <c r="M16" i="6"/>
  <c r="F142" i="4"/>
  <c r="AD31" i="6"/>
  <c r="D126" i="4"/>
  <c r="E94"/>
  <c r="D114"/>
  <c r="D89"/>
  <c r="B141"/>
  <c r="E146"/>
  <c r="F135"/>
  <c r="D117"/>
  <c r="D82"/>
  <c r="C144"/>
  <c r="C79"/>
  <c r="AB31" i="6"/>
  <c r="D5" i="4"/>
  <c r="B41"/>
  <c r="F17"/>
  <c r="C34"/>
  <c r="B79"/>
  <c r="C54"/>
  <c r="D53"/>
  <c r="E16"/>
  <c r="F58"/>
  <c r="B71"/>
  <c r="C119"/>
  <c r="C141"/>
  <c r="E14"/>
  <c r="B140"/>
  <c r="B57"/>
  <c r="D122"/>
  <c r="C107"/>
  <c r="M25" i="6"/>
  <c r="B60" i="4"/>
  <c r="E65"/>
  <c r="B72"/>
  <c r="B74"/>
  <c r="F51"/>
  <c r="F124"/>
  <c r="D87"/>
  <c r="B36"/>
  <c r="F6"/>
  <c r="C15"/>
  <c r="C37"/>
  <c r="V13" i="6"/>
  <c r="F75" i="4"/>
  <c r="B81"/>
  <c r="D11"/>
  <c r="C33"/>
  <c r="E75"/>
  <c r="E114"/>
  <c r="F29"/>
  <c r="D107"/>
  <c r="F56"/>
  <c r="C65"/>
  <c r="E52"/>
  <c r="F146"/>
  <c r="F105"/>
  <c r="E136"/>
  <c r="F112"/>
  <c r="E95"/>
  <c r="N5" i="6"/>
  <c r="N16"/>
  <c r="W15"/>
  <c r="W10"/>
  <c r="W6"/>
  <c r="N15"/>
  <c r="N6"/>
  <c r="N19"/>
  <c r="N4"/>
  <c r="N25"/>
  <c r="N20"/>
  <c r="A34" l="1"/>
  <c r="X3"/>
  <c r="S32"/>
  <c r="J32"/>
  <c r="X7"/>
  <c r="K33"/>
  <c r="X6"/>
  <c r="H32"/>
  <c r="C33"/>
  <c r="U33"/>
  <c r="X4"/>
  <c r="AA32"/>
  <c r="G32"/>
  <c r="J33"/>
  <c r="T33"/>
  <c r="AF34"/>
  <c r="AB32"/>
  <c r="D32"/>
  <c r="Z33"/>
  <c r="AC32"/>
  <c r="K32"/>
  <c r="N33"/>
  <c r="X15"/>
  <c r="Y32"/>
  <c r="X17"/>
  <c r="AD33"/>
  <c r="X33"/>
  <c r="Z32"/>
  <c r="AB33"/>
  <c r="P34"/>
  <c r="U32"/>
  <c r="AC33"/>
  <c r="H33"/>
  <c r="M32"/>
  <c r="S33"/>
  <c r="F32"/>
  <c r="X11"/>
  <c r="E33"/>
  <c r="V32"/>
  <c r="I33"/>
  <c r="R32"/>
  <c r="X5"/>
  <c r="W33"/>
  <c r="X14"/>
  <c r="L32"/>
  <c r="F33"/>
  <c r="C32"/>
  <c r="X32"/>
  <c r="G33"/>
  <c r="D33"/>
  <c r="AD32"/>
  <c r="T32"/>
  <c r="L33"/>
  <c r="X10"/>
  <c r="E32"/>
  <c r="X8"/>
  <c r="M33"/>
  <c r="I32"/>
  <c r="AA33"/>
  <c r="X9"/>
  <c r="R33"/>
  <c r="N32"/>
  <c r="V33"/>
  <c r="X12"/>
  <c r="Y33"/>
  <c r="B33"/>
  <c r="B32"/>
  <c r="X16"/>
  <c r="X13"/>
  <c r="W32"/>
  <c r="A35" l="1"/>
  <c r="Y3"/>
  <c r="I34"/>
  <c r="T34"/>
  <c r="W34"/>
  <c r="E34"/>
  <c r="Y34"/>
  <c r="P35"/>
  <c r="G34"/>
  <c r="F34"/>
  <c r="S34"/>
  <c r="Y9"/>
  <c r="Y15"/>
  <c r="Z34"/>
  <c r="Y7"/>
  <c r="C34"/>
  <c r="Y8"/>
  <c r="Y10"/>
  <c r="N34"/>
  <c r="V34"/>
  <c r="AF35"/>
  <c r="Y17"/>
  <c r="M34"/>
  <c r="AD34"/>
  <c r="J34"/>
  <c r="AC34"/>
  <c r="D34"/>
  <c r="U34"/>
  <c r="Y5"/>
  <c r="Y11"/>
  <c r="L34"/>
  <c r="B34"/>
  <c r="Y4"/>
  <c r="Y6"/>
  <c r="R34"/>
  <c r="Y16"/>
  <c r="Y14"/>
  <c r="Y13"/>
  <c r="K34"/>
  <c r="X34"/>
  <c r="AA34"/>
  <c r="Y12"/>
  <c r="H34"/>
  <c r="AB34"/>
  <c r="A36" l="1"/>
  <c r="Z3"/>
  <c r="E35"/>
  <c r="Z16"/>
  <c r="P36"/>
  <c r="Z14"/>
  <c r="Z4"/>
  <c r="I35"/>
  <c r="Z10"/>
  <c r="Z12"/>
  <c r="U35"/>
  <c r="Z17"/>
  <c r="AA35"/>
  <c r="T35"/>
  <c r="N35"/>
  <c r="AD35"/>
  <c r="L35"/>
  <c r="S35"/>
  <c r="AC35"/>
  <c r="F35"/>
  <c r="Z8"/>
  <c r="Z15"/>
  <c r="Z6"/>
  <c r="Z7"/>
  <c r="Z5"/>
  <c r="G35"/>
  <c r="D35"/>
  <c r="C35"/>
  <c r="Z13"/>
  <c r="K35"/>
  <c r="Z11"/>
  <c r="AF36"/>
  <c r="Z9"/>
  <c r="J35"/>
  <c r="R35"/>
  <c r="W35"/>
  <c r="Y35"/>
  <c r="AB35"/>
  <c r="Z35"/>
  <c r="V35"/>
  <c r="B35"/>
  <c r="M35"/>
  <c r="H35"/>
  <c r="X35"/>
  <c r="A37" l="1"/>
  <c r="AA3"/>
  <c r="R36"/>
  <c r="AA16"/>
  <c r="E36"/>
  <c r="X36"/>
  <c r="H36"/>
  <c r="J36"/>
  <c r="AA7"/>
  <c r="AA8"/>
  <c r="S36"/>
  <c r="AA14"/>
  <c r="AA6"/>
  <c r="AA10"/>
  <c r="F36"/>
  <c r="M36"/>
  <c r="AA36"/>
  <c r="AA9"/>
  <c r="AA12"/>
  <c r="C36"/>
  <c r="G36"/>
  <c r="L36"/>
  <c r="V36"/>
  <c r="AF37"/>
  <c r="D36"/>
  <c r="AB36"/>
  <c r="N36"/>
  <c r="AD36"/>
  <c r="B36"/>
  <c r="AA17"/>
  <c r="AC36"/>
  <c r="AA11"/>
  <c r="AA5"/>
  <c r="Y36"/>
  <c r="W36"/>
  <c r="I36"/>
  <c r="T36"/>
  <c r="U36"/>
  <c r="P37"/>
  <c r="AA15"/>
  <c r="AA4"/>
  <c r="AA13"/>
  <c r="Z36"/>
  <c r="K36"/>
  <c r="A38" l="1"/>
  <c r="AB3"/>
  <c r="AC37"/>
  <c r="AB10"/>
  <c r="S37"/>
  <c r="Z37"/>
  <c r="Y37"/>
  <c r="W37"/>
  <c r="AB4"/>
  <c r="AB6"/>
  <c r="F37"/>
  <c r="C37"/>
  <c r="J37"/>
  <c r="M37"/>
  <c r="L37"/>
  <c r="AB5"/>
  <c r="AB8"/>
  <c r="N37"/>
  <c r="AB12"/>
  <c r="V37"/>
  <c r="K37"/>
  <c r="AB17"/>
  <c r="AB7"/>
  <c r="T37"/>
  <c r="AB13"/>
  <c r="AB37"/>
  <c r="U37"/>
  <c r="X37"/>
  <c r="R37"/>
  <c r="AB11"/>
  <c r="AB9"/>
  <c r="AB15"/>
  <c r="AD37"/>
  <c r="I37"/>
  <c r="B37"/>
  <c r="P38"/>
  <c r="D37"/>
  <c r="AF38"/>
  <c r="G37"/>
  <c r="AA37"/>
  <c r="H37"/>
  <c r="AB14"/>
  <c r="AB16"/>
  <c r="E37"/>
  <c r="A39" l="1"/>
  <c r="AC3"/>
  <c r="D38"/>
  <c r="T38"/>
  <c r="S38"/>
  <c r="AB38"/>
  <c r="E38"/>
  <c r="R38"/>
  <c r="P39"/>
  <c r="AC6"/>
  <c r="G38"/>
  <c r="F38"/>
  <c r="U38"/>
  <c r="AA38"/>
  <c r="AC7"/>
  <c r="C38"/>
  <c r="H38"/>
  <c r="AC8"/>
  <c r="AC10"/>
  <c r="N38"/>
  <c r="AC4"/>
  <c r="AD38"/>
  <c r="AF39"/>
  <c r="AC9"/>
  <c r="J38"/>
  <c r="AC38"/>
  <c r="V38"/>
  <c r="I38"/>
  <c r="Y38"/>
  <c r="AC5"/>
  <c r="L38"/>
  <c r="AC11"/>
  <c r="M38"/>
  <c r="AC17"/>
  <c r="AC14"/>
  <c r="AC16"/>
  <c r="W38"/>
  <c r="AC15"/>
  <c r="AC13"/>
  <c r="K38"/>
  <c r="B38"/>
  <c r="X38"/>
  <c r="Z38"/>
  <c r="AC12"/>
  <c r="A40" l="1"/>
  <c r="AD3"/>
  <c r="D39"/>
  <c r="H39"/>
  <c r="F39"/>
  <c r="V39"/>
  <c r="E39"/>
  <c r="AD39"/>
  <c r="AD12"/>
  <c r="P40"/>
  <c r="N39"/>
  <c r="AC39"/>
  <c r="AA39"/>
  <c r="Z39"/>
  <c r="M39"/>
  <c r="I39"/>
  <c r="J39"/>
  <c r="R39"/>
  <c r="U39"/>
  <c r="S39"/>
  <c r="AD15"/>
  <c r="B39"/>
  <c r="C39"/>
  <c r="AD5"/>
  <c r="AD16"/>
  <c r="W39"/>
  <c r="AD4"/>
  <c r="AF40"/>
  <c r="AD14"/>
  <c r="AD8"/>
  <c r="AD7"/>
  <c r="AD6"/>
  <c r="G39"/>
  <c r="AD11"/>
  <c r="AD10"/>
  <c r="L39"/>
  <c r="Y39"/>
  <c r="AB39"/>
  <c r="X39"/>
  <c r="AD17"/>
  <c r="T39"/>
  <c r="K39"/>
  <c r="AD9"/>
  <c r="AD13"/>
  <c r="A41" l="1"/>
  <c r="J40"/>
  <c r="S40"/>
  <c r="C40"/>
  <c r="H40"/>
  <c r="F40"/>
  <c r="M40"/>
  <c r="K40"/>
  <c r="AC40"/>
  <c r="E40"/>
  <c r="AB40"/>
  <c r="Y40"/>
  <c r="I40"/>
  <c r="L40"/>
  <c r="R40"/>
  <c r="W40"/>
  <c r="T40"/>
  <c r="V40"/>
  <c r="AA40"/>
  <c r="N40"/>
  <c r="Z40"/>
  <c r="G40"/>
  <c r="X40"/>
  <c r="AF41"/>
  <c r="U40"/>
  <c r="AD40"/>
  <c r="P41"/>
  <c r="D40"/>
  <c r="B40"/>
  <c r="A42" l="1"/>
  <c r="AF42"/>
  <c r="N41"/>
  <c r="J41"/>
  <c r="AD41"/>
  <c r="Z41"/>
  <c r="M41"/>
  <c r="AC41"/>
  <c r="X41"/>
  <c r="AA41"/>
  <c r="H41"/>
  <c r="D41"/>
  <c r="W41"/>
  <c r="K41"/>
  <c r="B41"/>
  <c r="F41"/>
  <c r="C41"/>
  <c r="G41"/>
  <c r="Y41"/>
  <c r="S41"/>
  <c r="V41"/>
  <c r="U41"/>
  <c r="P42"/>
  <c r="E41"/>
  <c r="I41"/>
  <c r="R41"/>
  <c r="L41"/>
  <c r="AB41"/>
  <c r="T41"/>
  <c r="A43" l="1"/>
  <c r="T42"/>
  <c r="AA42"/>
  <c r="E42"/>
  <c r="AC42"/>
  <c r="M42"/>
  <c r="L42"/>
  <c r="R42"/>
  <c r="B42"/>
  <c r="V42"/>
  <c r="X42"/>
  <c r="K42"/>
  <c r="N42"/>
  <c r="S42"/>
  <c r="AD42"/>
  <c r="H42"/>
  <c r="G42"/>
  <c r="P43"/>
  <c r="U42"/>
  <c r="AB42"/>
  <c r="C42"/>
  <c r="Z42"/>
  <c r="Y42"/>
  <c r="AF43"/>
  <c r="W42"/>
  <c r="J42"/>
  <c r="F42"/>
  <c r="I42"/>
  <c r="D42"/>
  <c r="A44" l="1"/>
  <c r="AA43"/>
  <c r="P44"/>
  <c r="AD43"/>
  <c r="K43"/>
  <c r="U43"/>
  <c r="AF44"/>
  <c r="N43"/>
  <c r="V43"/>
  <c r="W43"/>
  <c r="G43"/>
  <c r="D43"/>
  <c r="R43"/>
  <c r="AB43"/>
  <c r="J43"/>
  <c r="H43"/>
  <c r="L43"/>
  <c r="Y43"/>
  <c r="B43"/>
  <c r="C43"/>
  <c r="I43"/>
  <c r="M43"/>
  <c r="T43"/>
  <c r="X43"/>
  <c r="S43"/>
  <c r="E43"/>
  <c r="AC43"/>
  <c r="F43"/>
  <c r="Z43"/>
  <c r="A45" l="1"/>
  <c r="B44"/>
  <c r="K44"/>
  <c r="R44"/>
  <c r="F44"/>
  <c r="C44"/>
  <c r="Y44"/>
  <c r="N44"/>
  <c r="W44"/>
  <c r="T44"/>
  <c r="G44"/>
  <c r="L44"/>
  <c r="P45"/>
  <c r="AA44"/>
  <c r="U44"/>
  <c r="X44"/>
  <c r="AD44"/>
  <c r="V44"/>
  <c r="D44"/>
  <c r="H44"/>
  <c r="S44"/>
  <c r="AF45"/>
  <c r="I44"/>
  <c r="M44"/>
  <c r="J44"/>
  <c r="Z44"/>
  <c r="AB44"/>
  <c r="E44"/>
  <c r="AC44"/>
  <c r="A46" l="1"/>
  <c r="K45"/>
  <c r="U45"/>
  <c r="L45"/>
  <c r="F45"/>
  <c r="G45"/>
  <c r="V45"/>
  <c r="Y45"/>
  <c r="D45"/>
  <c r="AD45"/>
  <c r="I45"/>
  <c r="B45"/>
  <c r="E45"/>
  <c r="AF46"/>
  <c r="C45"/>
  <c r="X45"/>
  <c r="N45"/>
  <c r="Z45"/>
  <c r="M45"/>
  <c r="P46"/>
  <c r="R45"/>
  <c r="H45"/>
  <c r="J45"/>
  <c r="AA45"/>
  <c r="W45"/>
  <c r="T45"/>
  <c r="AB45"/>
  <c r="S45"/>
  <c r="AC45"/>
  <c r="A47" l="1"/>
  <c r="T46"/>
  <c r="G46"/>
  <c r="P47"/>
  <c r="B46"/>
  <c r="D46"/>
  <c r="U46"/>
  <c r="C46"/>
  <c r="Y46"/>
  <c r="N46"/>
  <c r="AC46"/>
  <c r="E46"/>
  <c r="I46"/>
  <c r="R46"/>
  <c r="AF47"/>
  <c r="Z46"/>
  <c r="V46"/>
  <c r="H46"/>
  <c r="J46"/>
  <c r="AB46"/>
  <c r="F46"/>
  <c r="S46"/>
  <c r="W46"/>
  <c r="X46"/>
  <c r="K46"/>
  <c r="M46"/>
  <c r="AA46"/>
  <c r="L46"/>
  <c r="AD46"/>
  <c r="A48" l="1"/>
  <c r="T47"/>
  <c r="AC47"/>
  <c r="N47"/>
  <c r="S47"/>
  <c r="Y47"/>
  <c r="D47"/>
  <c r="AA47"/>
  <c r="B47"/>
  <c r="H47"/>
  <c r="C47"/>
  <c r="W47"/>
  <c r="M47"/>
  <c r="K47"/>
  <c r="X47"/>
  <c r="AF48"/>
  <c r="F47"/>
  <c r="I47"/>
  <c r="G47"/>
  <c r="AB47"/>
  <c r="R47"/>
  <c r="E47"/>
  <c r="P48"/>
  <c r="AD47"/>
  <c r="V47"/>
  <c r="U47"/>
  <c r="L47"/>
  <c r="Z47"/>
  <c r="J47"/>
  <c r="A49" l="1"/>
  <c r="AB48"/>
  <c r="AA48"/>
  <c r="V48"/>
  <c r="L48"/>
  <c r="Z48"/>
  <c r="S48"/>
  <c r="K48"/>
  <c r="B48"/>
  <c r="C48"/>
  <c r="AF49"/>
  <c r="F48"/>
  <c r="AC48"/>
  <c r="P49"/>
  <c r="R48"/>
  <c r="G48"/>
  <c r="X48"/>
  <c r="AD48"/>
  <c r="J48"/>
  <c r="Y48"/>
  <c r="H48"/>
  <c r="I48"/>
  <c r="D48"/>
  <c r="W48"/>
  <c r="T48"/>
  <c r="N48"/>
  <c r="M48"/>
  <c r="E48"/>
  <c r="U48"/>
  <c r="A50" l="1"/>
  <c r="Y49"/>
  <c r="K49"/>
  <c r="P50"/>
  <c r="R49"/>
  <c r="T49"/>
  <c r="E49"/>
  <c r="M49"/>
  <c r="C49"/>
  <c r="AF50"/>
  <c r="U49"/>
  <c r="G49"/>
  <c r="D49"/>
  <c r="X49"/>
  <c r="N49"/>
  <c r="AD49"/>
  <c r="Z49"/>
  <c r="V49"/>
  <c r="AA49"/>
  <c r="AC49"/>
  <c r="H49"/>
  <c r="F49"/>
  <c r="L49"/>
  <c r="S49"/>
  <c r="W49"/>
  <c r="B49"/>
  <c r="I49"/>
  <c r="AB49"/>
  <c r="J49"/>
  <c r="A51" l="1"/>
  <c r="G50"/>
  <c r="T50"/>
  <c r="F50"/>
  <c r="D50"/>
  <c r="W50"/>
  <c r="J50"/>
  <c r="K50"/>
  <c r="N50"/>
  <c r="H50"/>
  <c r="I50"/>
  <c r="R50"/>
  <c r="M50"/>
  <c r="E50"/>
  <c r="AB50"/>
  <c r="V50"/>
  <c r="AF51"/>
  <c r="X50"/>
  <c r="U50"/>
  <c r="P51"/>
  <c r="L50"/>
  <c r="Z50"/>
  <c r="B50"/>
  <c r="AC50"/>
  <c r="AA50"/>
  <c r="S50"/>
  <c r="Y50"/>
  <c r="C50"/>
  <c r="AD50"/>
  <c r="A52" l="1"/>
  <c r="S51"/>
  <c r="F51"/>
  <c r="D51"/>
  <c r="X51"/>
  <c r="W51"/>
  <c r="AC51"/>
  <c r="AD51"/>
  <c r="E51"/>
  <c r="L51"/>
  <c r="T51"/>
  <c r="Z51"/>
  <c r="Y51"/>
  <c r="G51"/>
  <c r="V51"/>
  <c r="AB51"/>
  <c r="AA51"/>
  <c r="P52"/>
  <c r="C51"/>
  <c r="N51"/>
  <c r="J51"/>
  <c r="K51"/>
  <c r="R51"/>
  <c r="I51"/>
  <c r="M51"/>
  <c r="B51"/>
  <c r="H51"/>
  <c r="AF52"/>
  <c r="U51"/>
  <c r="A53" l="1"/>
  <c r="F52"/>
  <c r="K52"/>
  <c r="U52"/>
  <c r="M52"/>
  <c r="V52"/>
  <c r="AF53"/>
  <c r="C52"/>
  <c r="B52"/>
  <c r="D52"/>
  <c r="S52"/>
  <c r="X52"/>
  <c r="AD52"/>
  <c r="N52"/>
  <c r="G52"/>
  <c r="L52"/>
  <c r="H52"/>
  <c r="R52"/>
  <c r="I52"/>
  <c r="AA52"/>
  <c r="AC52"/>
  <c r="AB52"/>
  <c r="Z52"/>
  <c r="W52"/>
  <c r="P53"/>
  <c r="E52"/>
  <c r="J52"/>
  <c r="Y52"/>
  <c r="T52"/>
  <c r="A54" l="1"/>
  <c r="B53"/>
  <c r="G53"/>
  <c r="P54"/>
  <c r="AB53"/>
  <c r="Z53"/>
  <c r="W53"/>
  <c r="N53"/>
  <c r="Y53"/>
  <c r="K53"/>
  <c r="L53"/>
  <c r="AC53"/>
  <c r="I53"/>
  <c r="M53"/>
  <c r="J53"/>
  <c r="D53"/>
  <c r="T53"/>
  <c r="AF54"/>
  <c r="H53"/>
  <c r="X53"/>
  <c r="S53"/>
  <c r="R53"/>
  <c r="E53"/>
  <c r="V53"/>
  <c r="AD53"/>
  <c r="U53"/>
  <c r="AA53"/>
  <c r="F53"/>
  <c r="C53"/>
  <c r="A55" l="1"/>
  <c r="AF55"/>
  <c r="I54"/>
  <c r="W54"/>
  <c r="AA54"/>
  <c r="J54"/>
  <c r="AC54"/>
  <c r="AD54"/>
  <c r="R54"/>
  <c r="T54"/>
  <c r="K54"/>
  <c r="M54"/>
  <c r="AB54"/>
  <c r="S54"/>
  <c r="H54"/>
  <c r="Z54"/>
  <c r="F54"/>
  <c r="L54"/>
  <c r="G54"/>
  <c r="E54"/>
  <c r="N54"/>
  <c r="U54"/>
  <c r="Y54"/>
  <c r="P55"/>
  <c r="C54"/>
  <c r="B54"/>
  <c r="D54"/>
  <c r="V54"/>
  <c r="X54"/>
  <c r="A56" l="1"/>
  <c r="Z55"/>
  <c r="U55"/>
  <c r="X55"/>
  <c r="AD55"/>
  <c r="C55"/>
  <c r="AA55"/>
  <c r="B55"/>
  <c r="L55"/>
  <c r="V55"/>
  <c r="G55"/>
  <c r="F55"/>
  <c r="T55"/>
  <c r="AC55"/>
  <c r="K55"/>
  <c r="I55"/>
  <c r="M55"/>
  <c r="J55"/>
  <c r="W55"/>
  <c r="S55"/>
  <c r="E55"/>
  <c r="Y55"/>
  <c r="AF56"/>
  <c r="R55"/>
  <c r="D55"/>
  <c r="N55"/>
  <c r="P56"/>
  <c r="H55"/>
  <c r="AB55"/>
  <c r="A57" l="1"/>
  <c r="G56"/>
  <c r="S56"/>
  <c r="AD56"/>
  <c r="F56"/>
  <c r="J56"/>
  <c r="AF57"/>
  <c r="C56"/>
  <c r="AB56"/>
  <c r="W56"/>
  <c r="B56"/>
  <c r="Y56"/>
  <c r="Z56"/>
  <c r="I56"/>
  <c r="K56"/>
  <c r="V56"/>
  <c r="X56"/>
  <c r="M56"/>
  <c r="R56"/>
  <c r="D56"/>
  <c r="L56"/>
  <c r="T56"/>
  <c r="E56"/>
  <c r="H56"/>
  <c r="AA56"/>
  <c r="N56"/>
  <c r="AC56"/>
  <c r="U56"/>
  <c r="P57"/>
  <c r="A58" l="1"/>
  <c r="AC57"/>
  <c r="C57"/>
  <c r="T57"/>
  <c r="AA57"/>
  <c r="F57"/>
  <c r="X57"/>
  <c r="L57"/>
  <c r="J57"/>
  <c r="S57"/>
  <c r="V57"/>
  <c r="Y57"/>
  <c r="R57"/>
  <c r="D57"/>
  <c r="K57"/>
  <c r="W57"/>
  <c r="H57"/>
  <c r="AD57"/>
  <c r="N57"/>
  <c r="AB57"/>
  <c r="Z57"/>
  <c r="B57"/>
  <c r="E57"/>
  <c r="G57"/>
  <c r="M57"/>
  <c r="U57"/>
  <c r="I57"/>
  <c r="P58"/>
  <c r="AF58"/>
  <c r="A59" l="1"/>
  <c r="B58"/>
  <c r="C58"/>
  <c r="M58"/>
  <c r="Z58"/>
  <c r="V58"/>
  <c r="J58"/>
  <c r="AA58"/>
  <c r="S58"/>
  <c r="L58"/>
  <c r="U58"/>
  <c r="T58"/>
  <c r="F58"/>
  <c r="K58"/>
  <c r="D58"/>
  <c r="AB58"/>
  <c r="R58"/>
  <c r="AF59"/>
  <c r="E58"/>
  <c r="G58"/>
  <c r="N58"/>
  <c r="X58"/>
  <c r="AC58"/>
  <c r="H58"/>
  <c r="AD58"/>
  <c r="P59"/>
  <c r="Y58"/>
  <c r="I58"/>
  <c r="W58"/>
  <c r="A60" l="1"/>
  <c r="H59"/>
  <c r="N59"/>
  <c r="P60"/>
  <c r="W59"/>
  <c r="E59"/>
  <c r="F59"/>
  <c r="R59"/>
  <c r="J59"/>
  <c r="L59"/>
  <c r="K59"/>
  <c r="AC59"/>
  <c r="V59"/>
  <c r="T59"/>
  <c r="I59"/>
  <c r="Y59"/>
  <c r="C59"/>
  <c r="U59"/>
  <c r="AD59"/>
  <c r="AB59"/>
  <c r="AF60"/>
  <c r="Z59"/>
  <c r="S59"/>
  <c r="X59"/>
  <c r="G59"/>
  <c r="M59"/>
  <c r="D59"/>
  <c r="B59"/>
  <c r="AA59"/>
  <c r="A61" l="1"/>
  <c r="M60"/>
  <c r="V60"/>
  <c r="I60"/>
  <c r="S60"/>
  <c r="E60"/>
  <c r="H60"/>
  <c r="J60"/>
  <c r="T60"/>
  <c r="R60"/>
  <c r="Z60"/>
  <c r="P61"/>
  <c r="AF61"/>
  <c r="D60"/>
  <c r="AC60"/>
  <c r="C60"/>
  <c r="W60"/>
  <c r="AB60"/>
  <c r="K60"/>
  <c r="Y60"/>
  <c r="G60"/>
  <c r="U60"/>
  <c r="AD60"/>
  <c r="F60"/>
  <c r="X60"/>
  <c r="B60"/>
  <c r="AA60"/>
  <c r="L60"/>
  <c r="N60"/>
  <c r="A62" l="1"/>
  <c r="I61"/>
  <c r="C61"/>
  <c r="D61"/>
  <c r="AF62"/>
  <c r="AA61"/>
  <c r="W61"/>
  <c r="Y61"/>
  <c r="AB61"/>
  <c r="E61"/>
  <c r="F61"/>
  <c r="M61"/>
  <c r="K61"/>
  <c r="G61"/>
  <c r="B61"/>
  <c r="V61"/>
  <c r="AD61"/>
  <c r="AC61"/>
  <c r="T61"/>
  <c r="R61"/>
  <c r="L61"/>
  <c r="Z61"/>
  <c r="N61"/>
  <c r="H61"/>
  <c r="U61"/>
  <c r="J61"/>
  <c r="P62"/>
  <c r="S61"/>
  <c r="X61"/>
  <c r="A63" l="1"/>
  <c r="M62"/>
  <c r="E62"/>
  <c r="F62"/>
  <c r="H62"/>
  <c r="D62"/>
  <c r="P63"/>
  <c r="Z62"/>
  <c r="K62"/>
  <c r="G62"/>
  <c r="Y62"/>
  <c r="B62"/>
  <c r="R62"/>
  <c r="T62"/>
  <c r="N62"/>
  <c r="I62"/>
  <c r="L62"/>
  <c r="W62"/>
  <c r="J62"/>
  <c r="S62"/>
  <c r="AA62"/>
  <c r="AC62"/>
  <c r="AD62"/>
  <c r="X62"/>
  <c r="C62"/>
  <c r="U62"/>
  <c r="AB62"/>
  <c r="AF63"/>
  <c r="V62"/>
  <c r="A64" l="1"/>
  <c r="Y63"/>
  <c r="C63"/>
  <c r="P64"/>
  <c r="AD63"/>
  <c r="T63"/>
  <c r="R63"/>
  <c r="U63"/>
  <c r="AA63"/>
  <c r="V63"/>
  <c r="G63"/>
  <c r="D63"/>
  <c r="AF64"/>
  <c r="K63"/>
  <c r="I63"/>
  <c r="Z63"/>
  <c r="AC63"/>
  <c r="S63"/>
  <c r="N63"/>
  <c r="AB63"/>
  <c r="H63"/>
  <c r="L63"/>
  <c r="F63"/>
  <c r="B63"/>
  <c r="J63"/>
  <c r="W63"/>
  <c r="E63"/>
  <c r="X63"/>
  <c r="M63"/>
  <c r="A65" l="1"/>
  <c r="N64"/>
  <c r="H64"/>
  <c r="P65"/>
  <c r="AF65"/>
  <c r="I64"/>
  <c r="V64"/>
  <c r="K64"/>
  <c r="C64"/>
  <c r="E64"/>
  <c r="U64"/>
  <c r="X64"/>
  <c r="AA64"/>
  <c r="Z64"/>
  <c r="B64"/>
  <c r="W64"/>
  <c r="Y64"/>
  <c r="M64"/>
  <c r="G64"/>
  <c r="F64"/>
  <c r="D64"/>
  <c r="AD64"/>
  <c r="S64"/>
  <c r="T64"/>
  <c r="L64"/>
  <c r="J64"/>
  <c r="AB64"/>
  <c r="AC64"/>
  <c r="R64"/>
  <c r="A66" l="1"/>
  <c r="B65"/>
  <c r="Z65"/>
  <c r="V65"/>
  <c r="P66"/>
  <c r="N65"/>
  <c r="AF66"/>
  <c r="H65"/>
  <c r="J65"/>
  <c r="G65"/>
  <c r="AD65"/>
  <c r="W65"/>
  <c r="I65"/>
  <c r="E65"/>
  <c r="L65"/>
  <c r="X65"/>
  <c r="U65"/>
  <c r="S65"/>
  <c r="D65"/>
  <c r="C65"/>
  <c r="AA65"/>
  <c r="R65"/>
  <c r="F65"/>
  <c r="AC65"/>
  <c r="T65"/>
  <c r="AB65"/>
  <c r="M65"/>
  <c r="K65"/>
  <c r="Y65"/>
  <c r="A67" l="1"/>
  <c r="Y66"/>
  <c r="AB66"/>
  <c r="G66"/>
  <c r="X66"/>
  <c r="Z66"/>
  <c r="R66"/>
  <c r="I66"/>
  <c r="B66"/>
  <c r="U66"/>
  <c r="S66"/>
  <c r="K66"/>
  <c r="V66"/>
  <c r="W66"/>
  <c r="AC66"/>
  <c r="H66"/>
  <c r="L66"/>
  <c r="T66"/>
  <c r="D66"/>
  <c r="F66"/>
  <c r="AA66"/>
  <c r="E66"/>
  <c r="AD66"/>
  <c r="P67"/>
  <c r="J66"/>
  <c r="N66"/>
  <c r="C66"/>
  <c r="M66"/>
  <c r="AF67"/>
  <c r="W67"/>
  <c r="H67"/>
  <c r="AB67"/>
  <c r="R67"/>
  <c r="Y67"/>
  <c r="B67"/>
  <c r="D67"/>
  <c r="J67"/>
  <c r="G67"/>
  <c r="K67"/>
  <c r="F67"/>
  <c r="X67"/>
  <c r="V67"/>
  <c r="U67"/>
  <c r="M67"/>
  <c r="L67"/>
  <c r="E67"/>
  <c r="N67"/>
  <c r="AA67"/>
  <c r="AD67"/>
  <c r="AC67"/>
  <c r="Z67"/>
  <c r="T67"/>
  <c r="I67"/>
  <c r="C67"/>
  <c r="S67"/>
</calcChain>
</file>

<file path=xl/sharedStrings.xml><?xml version="1.0" encoding="utf-8"?>
<sst xmlns="http://schemas.openxmlformats.org/spreadsheetml/2006/main" count="85" uniqueCount="81">
  <si>
    <t>w</t>
  </si>
  <si>
    <t>Sun</t>
  </si>
  <si>
    <t>Mercury</t>
  </si>
  <si>
    <t>Venus</t>
  </si>
  <si>
    <t>Moon</t>
  </si>
  <si>
    <t>Mars</t>
  </si>
  <si>
    <t>Jupiter</t>
  </si>
  <si>
    <t>Saturn</t>
  </si>
  <si>
    <t>Uranus</t>
  </si>
  <si>
    <t>Neptune</t>
  </si>
  <si>
    <t>Mag</t>
  </si>
  <si>
    <t>Object IDs</t>
  </si>
  <si>
    <t>Pluto</t>
  </si>
  <si>
    <t>1AU</t>
  </si>
  <si>
    <t>Earth Rad</t>
  </si>
  <si>
    <t>Size</t>
  </si>
  <si>
    <t>Date</t>
  </si>
  <si>
    <t>Earth</t>
  </si>
  <si>
    <t>Culminate</t>
  </si>
  <si>
    <t>Visual</t>
  </si>
  <si>
    <t>Imaging</t>
  </si>
  <si>
    <t>Best Alt</t>
  </si>
  <si>
    <t>Best Time</t>
  </si>
  <si>
    <t>Observer Location</t>
  </si>
  <si>
    <t>Int</t>
  </si>
  <si>
    <t>Easternmost</t>
  </si>
  <si>
    <t>Westernmost</t>
  </si>
  <si>
    <t>Southernmost</t>
  </si>
  <si>
    <t>Northernmost</t>
  </si>
  <si>
    <t>Lowestoft Ness</t>
  </si>
  <si>
    <t>St Agnes, Scilly</t>
  </si>
  <si>
    <t>Skaw, Shetland</t>
  </si>
  <si>
    <t>Belleek, Fermanagh</t>
  </si>
  <si>
    <t>Calculations based on Lat 51.88, Long -1.31</t>
  </si>
  <si>
    <t>for every degree south (north) you live</t>
  </si>
  <si>
    <t>Best time will be later for more western locations</t>
  </si>
  <si>
    <t>and earlier for more eastern locations</t>
  </si>
  <si>
    <t xml:space="preserve">Brightness of inner planets takes into account </t>
  </si>
  <si>
    <t>their phase as well as distances</t>
  </si>
  <si>
    <t>UK extremities</t>
  </si>
  <si>
    <t xml:space="preserve">Best Altitude means </t>
  </si>
  <si>
    <t xml:space="preserve">If planet culminates in daytime, then the better </t>
  </si>
  <si>
    <t>of dawn or dusk altitude is taken.</t>
  </si>
  <si>
    <t xml:space="preserve">is more than 20 degs above. </t>
  </si>
  <si>
    <t>This corresponds to astronomical dark more or less</t>
  </si>
  <si>
    <t>Calculations based on a paper by Paul Schlyter</t>
  </si>
  <si>
    <t>http://www.stjarnhimlen.se/comp/ppcomp.html</t>
  </si>
  <si>
    <t>Effect of refraction on sunset from HongKong Observatory</t>
  </si>
  <si>
    <t>http://www.hko.gov.hk/m/article_e.htm?title=ele_00493</t>
  </si>
  <si>
    <t>The brightness of Saturn's rings is NOT modelled (yet)</t>
  </si>
  <si>
    <t xml:space="preserve">Increase(decrease) best altitude by approx 1 degree </t>
  </si>
  <si>
    <t>For Visual observing: sun is below horizon, planet is above</t>
  </si>
  <si>
    <t>For Imaging: sun is more  than 10degs below horizon, planet</t>
  </si>
  <si>
    <t>Temp</t>
  </si>
  <si>
    <t>Press</t>
  </si>
  <si>
    <t>Lat</t>
  </si>
  <si>
    <t>Long</t>
  </si>
  <si>
    <t>Planet</t>
  </si>
  <si>
    <t>Astrodate</t>
  </si>
  <si>
    <t>MA</t>
  </si>
  <si>
    <t>Omega</t>
  </si>
  <si>
    <t>Long Of Asc</t>
  </si>
  <si>
    <t>Julian Date</t>
  </si>
  <si>
    <t>Ceres</t>
  </si>
  <si>
    <t>RA</t>
  </si>
  <si>
    <t>Dec</t>
  </si>
  <si>
    <t>LST</t>
  </si>
  <si>
    <t>Alt</t>
  </si>
  <si>
    <t>Az</t>
  </si>
  <si>
    <t>Lonecl</t>
  </si>
  <si>
    <t>Latecl</t>
  </si>
  <si>
    <t>Dist Earth</t>
  </si>
  <si>
    <t>X</t>
  </si>
  <si>
    <t>Y</t>
  </si>
  <si>
    <t>Z</t>
  </si>
  <si>
    <t>Eccentricity</t>
  </si>
  <si>
    <t>eccentric Anomaly</t>
  </si>
  <si>
    <t>xv</t>
  </si>
  <si>
    <t>yv</t>
  </si>
  <si>
    <t>r</t>
  </si>
  <si>
    <t>Plan Dist from Sun</t>
  </si>
</sst>
</file>

<file path=xl/styles.xml><?xml version="1.0" encoding="utf-8"?>
<styleSheet xmlns="http://schemas.openxmlformats.org/spreadsheetml/2006/main">
  <numFmts count="3">
    <numFmt numFmtId="43" formatCode="_-* #,##0.00_-;\-* #,##0.00_-;_-* &quot;-&quot;??_-;_-@_-"/>
    <numFmt numFmtId="164" formatCode="0.00000E+00"/>
    <numFmt numFmtId="165" formatCode="_-* #,##0.0_-;\-* #,##0.0_-;_-* &quot;-&quot;??_-;_-@_-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7.7"/>
      <color theme="10"/>
      <name val="Calibri"/>
      <family val="2"/>
    </font>
    <font>
      <u/>
      <sz val="14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29">
    <xf numFmtId="0" fontId="0" fillId="0" borderId="0" xfId="0"/>
    <xf numFmtId="22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0" fillId="0" borderId="6" xfId="0" applyBorder="1"/>
    <xf numFmtId="43" fontId="0" fillId="0" borderId="0" xfId="1" applyFont="1"/>
    <xf numFmtId="0" fontId="0" fillId="2" borderId="8" xfId="0" applyFill="1" applyBorder="1"/>
    <xf numFmtId="14" fontId="0" fillId="0" borderId="0" xfId="0" applyNumberFormat="1"/>
    <xf numFmtId="0" fontId="0" fillId="3" borderId="0" xfId="0" applyFill="1"/>
    <xf numFmtId="21" fontId="0" fillId="0" borderId="0" xfId="1" applyNumberFormat="1" applyFont="1"/>
    <xf numFmtId="0" fontId="0" fillId="0" borderId="0" xfId="0" applyAlignment="1">
      <alignment horizontal="right"/>
    </xf>
    <xf numFmtId="43" fontId="0" fillId="0" borderId="0" xfId="1" applyNumberFormat="1" applyFont="1" applyAlignment="1">
      <alignment horizontal="right"/>
    </xf>
    <xf numFmtId="165" fontId="0" fillId="0" borderId="0" xfId="1" applyNumberFormat="1" applyFont="1"/>
    <xf numFmtId="0" fontId="0" fillId="0" borderId="0" xfId="0" applyAlignment="1">
      <alignment horizontal="center"/>
    </xf>
    <xf numFmtId="164" fontId="0" fillId="0" borderId="2" xfId="0" applyNumberFormat="1" applyBorder="1"/>
    <xf numFmtId="165" fontId="0" fillId="2" borderId="0" xfId="1" applyNumberFormat="1" applyFont="1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4" fillId="0" borderId="0" xfId="2" applyFont="1" applyAlignment="1" applyProtection="1"/>
    <xf numFmtId="43" fontId="0" fillId="0" borderId="0" xfId="1" applyNumberFormat="1" applyFont="1"/>
    <xf numFmtId="43" fontId="0" fillId="2" borderId="0" xfId="1" applyNumberFormat="1" applyFont="1" applyFill="1" applyBorder="1"/>
    <xf numFmtId="2" fontId="0" fillId="0" borderId="0" xfId="0" applyNumberFormat="1"/>
    <xf numFmtId="0" fontId="2" fillId="0" borderId="0" xfId="0" applyFont="1" applyAlignment="1">
      <alignment horizontal="center" vertic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US"/>
              <a:t>Best</a:t>
            </a:r>
            <a:r>
              <a:rPr lang="en-US" baseline="0"/>
              <a:t> Altitude</a:t>
            </a:r>
            <a:endParaRPr lang="en-US"/>
          </a:p>
        </c:rich>
      </c:tx>
    </c:title>
    <c:plotArea>
      <c:layout>
        <c:manualLayout>
          <c:layoutTarget val="inner"/>
          <c:xMode val="edge"/>
          <c:yMode val="edge"/>
          <c:x val="8.6455722446458896E-2"/>
          <c:y val="0.12779820517879559"/>
          <c:w val="0.82658620613599776"/>
          <c:h val="0.6867753603692478"/>
        </c:manualLayout>
      </c:layout>
      <c:scatterChart>
        <c:scatterStyle val="smoothMarker"/>
        <c:ser>
          <c:idx val="0"/>
          <c:order val="0"/>
          <c:tx>
            <c:strRef>
              <c:f>BestVisibility!$B$3</c:f>
              <c:strCache>
                <c:ptCount val="1"/>
                <c:pt idx="0">
                  <c:v>Jupiter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dd/mm/yyyy\ hh:mm</c:formatCode>
                <c:ptCount val="149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BestVisibility!$C$5:$C$153</c:f>
              <c:numCache>
                <c:formatCode>_-* #,##0.00_-;\-* #,##0.00_-;_-* "-"??_-;_-@_-</c:formatCode>
                <c:ptCount val="149"/>
                <c:pt idx="0">
                  <c:v>22.326324344183945</c:v>
                </c:pt>
                <c:pt idx="1">
                  <c:v>21.555412258790525</c:v>
                </c:pt>
                <c:pt idx="2">
                  <c:v>21.046350801631668</c:v>
                </c:pt>
                <c:pt idx="3">
                  <c:v>20.832608130710931</c:v>
                </c:pt>
                <c:pt idx="4">
                  <c:v>20.921007107890087</c:v>
                </c:pt>
                <c:pt idx="5">
                  <c:v>21.290760267790418</c:v>
                </c:pt>
                <c:pt idx="6">
                  <c:v>21.868098121818289</c:v>
                </c:pt>
                <c:pt idx="7">
                  <c:v>22.534937010731532</c:v>
                </c:pt>
                <c:pt idx="8">
                  <c:v>23.051001670896039</c:v>
                </c:pt>
                <c:pt idx="9">
                  <c:v>23.250469935766191</c:v>
                </c:pt>
                <c:pt idx="10">
                  <c:v>21.259554666931024</c:v>
                </c:pt>
                <c:pt idx="11">
                  <c:v>18.120940629217365</c:v>
                </c:pt>
                <c:pt idx="12">
                  <c:v>15.067565087977252</c:v>
                </c:pt>
                <c:pt idx="13">
                  <c:v>12.282001600101827</c:v>
                </c:pt>
                <c:pt idx="14">
                  <c:v>9.5717898085767779</c:v>
                </c:pt>
                <c:pt idx="15">
                  <c:v>6.5461407674303498</c:v>
                </c:pt>
                <c:pt idx="16">
                  <c:v>0</c:v>
                </c:pt>
                <c:pt idx="17">
                  <c:v>0</c:v>
                </c:pt>
                <c:pt idx="18">
                  <c:v>11.602929351924079</c:v>
                </c:pt>
                <c:pt idx="19">
                  <c:v>14.462281836081093</c:v>
                </c:pt>
                <c:pt idx="20">
                  <c:v>15.41075079163806</c:v>
                </c:pt>
                <c:pt idx="21">
                  <c:v>15.605398357233883</c:v>
                </c:pt>
                <c:pt idx="22">
                  <c:v>15.526169596220921</c:v>
                </c:pt>
                <c:pt idx="23">
                  <c:v>15.495006966438298</c:v>
                </c:pt>
                <c:pt idx="24">
                  <c:v>15.514534366358685</c:v>
                </c:pt>
                <c:pt idx="25">
                  <c:v>15.585960411836826</c:v>
                </c:pt>
                <c:pt idx="26">
                  <c:v>15.71673393194923</c:v>
                </c:pt>
                <c:pt idx="27">
                  <c:v>15.89018035952331</c:v>
                </c:pt>
                <c:pt idx="28">
                  <c:v>16.037057304200605</c:v>
                </c:pt>
                <c:pt idx="29">
                  <c:v>16.085067873582606</c:v>
                </c:pt>
                <c:pt idx="30">
                  <c:v>15.824589324659556</c:v>
                </c:pt>
                <c:pt idx="31">
                  <c:v>14.962359361642726</c:v>
                </c:pt>
                <c:pt idx="32">
                  <c:v>13.840679885504652</c:v>
                </c:pt>
                <c:pt idx="33">
                  <c:v>12.493904676854788</c:v>
                </c:pt>
                <c:pt idx="34">
                  <c:v>10.628531598817464</c:v>
                </c:pt>
                <c:pt idx="35">
                  <c:v>7.4762863083824307</c:v>
                </c:pt>
                <c:pt idx="36">
                  <c:v>0</c:v>
                </c:pt>
                <c:pt idx="37">
                  <c:v>0</c:v>
                </c:pt>
                <c:pt idx="38">
                  <c:v>8.0428536832604163</c:v>
                </c:pt>
                <c:pt idx="39">
                  <c:v>10.537575281704578</c:v>
                </c:pt>
                <c:pt idx="40">
                  <c:v>12.439127598558128</c:v>
                </c:pt>
                <c:pt idx="41">
                  <c:v>14.151561629690905</c:v>
                </c:pt>
                <c:pt idx="42">
                  <c:v>15.7752952331549</c:v>
                </c:pt>
                <c:pt idx="43">
                  <c:v>17.055157481525235</c:v>
                </c:pt>
                <c:pt idx="44">
                  <c:v>17.231409684808995</c:v>
                </c:pt>
                <c:pt idx="45">
                  <c:v>16.897489045189445</c:v>
                </c:pt>
                <c:pt idx="46">
                  <c:v>16.438245172722247</c:v>
                </c:pt>
                <c:pt idx="47">
                  <c:v>15.96283689891952</c:v>
                </c:pt>
                <c:pt idx="48">
                  <c:v>15.641187201594771</c:v>
                </c:pt>
                <c:pt idx="49">
                  <c:v>15.487358262283045</c:v>
                </c:pt>
                <c:pt idx="50">
                  <c:v>15.506238100703476</c:v>
                </c:pt>
                <c:pt idx="51">
                  <c:v>15.697334233858216</c:v>
                </c:pt>
                <c:pt idx="52">
                  <c:v>16.068600415438507</c:v>
                </c:pt>
                <c:pt idx="53">
                  <c:v>16.329305649078606</c:v>
                </c:pt>
                <c:pt idx="54">
                  <c:v>15.029729648641574</c:v>
                </c:pt>
                <c:pt idx="55">
                  <c:v>10.229863632013577</c:v>
                </c:pt>
                <c:pt idx="56">
                  <c:v>0</c:v>
                </c:pt>
                <c:pt idx="57">
                  <c:v>0</c:v>
                </c:pt>
                <c:pt idx="58">
                  <c:v>5.9981186610454946</c:v>
                </c:pt>
                <c:pt idx="59">
                  <c:v>9.0546704429109148</c:v>
                </c:pt>
                <c:pt idx="60">
                  <c:v>12.290881088466669</c:v>
                </c:pt>
                <c:pt idx="61">
                  <c:v>16.083486239796127</c:v>
                </c:pt>
                <c:pt idx="62">
                  <c:v>20.575492623433004</c:v>
                </c:pt>
                <c:pt idx="63">
                  <c:v>24.957671146561978</c:v>
                </c:pt>
                <c:pt idx="64">
                  <c:v>26.334005901565543</c:v>
                </c:pt>
                <c:pt idx="65">
                  <c:v>25.776031506986335</c:v>
                </c:pt>
                <c:pt idx="66">
                  <c:v>24.94068417423394</c:v>
                </c:pt>
                <c:pt idx="67">
                  <c:v>24.016548146165277</c:v>
                </c:pt>
                <c:pt idx="68">
                  <c:v>23.361220511765705</c:v>
                </c:pt>
                <c:pt idx="69">
                  <c:v>23.082769558774626</c:v>
                </c:pt>
                <c:pt idx="70">
                  <c:v>23.236949988693357</c:v>
                </c:pt>
                <c:pt idx="71">
                  <c:v>23.80981739281307</c:v>
                </c:pt>
                <c:pt idx="72">
                  <c:v>24.755698189240839</c:v>
                </c:pt>
                <c:pt idx="73">
                  <c:v>25.765300875709727</c:v>
                </c:pt>
                <c:pt idx="74">
                  <c:v>22.619294684522107</c:v>
                </c:pt>
                <c:pt idx="75">
                  <c:v>13.859322750966079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9.621862324867438</c:v>
                </c:pt>
                <c:pt idx="80">
                  <c:v>15.42067075730677</c:v>
                </c:pt>
                <c:pt idx="81">
                  <c:v>23.235765161533312</c:v>
                </c:pt>
                <c:pt idx="82">
                  <c:v>32.506913782485398</c:v>
                </c:pt>
                <c:pt idx="83">
                  <c:v>39.461226898888611</c:v>
                </c:pt>
                <c:pt idx="84">
                  <c:v>40.002424486640095</c:v>
                </c:pt>
                <c:pt idx="85">
                  <c:v>39.38111837096686</c:v>
                </c:pt>
                <c:pt idx="86">
                  <c:v>38.412304593615772</c:v>
                </c:pt>
                <c:pt idx="87">
                  <c:v>37.298786873369778</c:v>
                </c:pt>
                <c:pt idx="88">
                  <c:v>36.484032982895954</c:v>
                </c:pt>
                <c:pt idx="89">
                  <c:v>36.133212417013446</c:v>
                </c:pt>
                <c:pt idx="90">
                  <c:v>36.333433438857796</c:v>
                </c:pt>
                <c:pt idx="91">
                  <c:v>37.057105298908063</c:v>
                </c:pt>
                <c:pt idx="92">
                  <c:v>38.216307574960368</c:v>
                </c:pt>
                <c:pt idx="93">
                  <c:v>36.709221861166881</c:v>
                </c:pt>
                <c:pt idx="94">
                  <c:v>28.214748594136591</c:v>
                </c:pt>
                <c:pt idx="95">
                  <c:v>16.095065354248348</c:v>
                </c:pt>
                <c:pt idx="96">
                  <c:v>0</c:v>
                </c:pt>
                <c:pt idx="97">
                  <c:v>0</c:v>
                </c:pt>
                <c:pt idx="98">
                  <c:v>6.1634012126162663</c:v>
                </c:pt>
                <c:pt idx="99">
                  <c:v>13.333581957117996</c:v>
                </c:pt>
                <c:pt idx="100">
                  <c:v>23.578086826417227</c:v>
                </c:pt>
                <c:pt idx="101">
                  <c:v>36.366149404080574</c:v>
                </c:pt>
                <c:pt idx="102">
                  <c:v>48.411311452440422</c:v>
                </c:pt>
                <c:pt idx="103">
                  <c:v>53.381571384438338</c:v>
                </c:pt>
                <c:pt idx="104">
                  <c:v>53.357682722545384</c:v>
                </c:pt>
                <c:pt idx="105">
                  <c:v>52.965994745824077</c:v>
                </c:pt>
                <c:pt idx="106">
                  <c:v>52.274886038917501</c:v>
                </c:pt>
                <c:pt idx="107">
                  <c:v>51.403419893677061</c:v>
                </c:pt>
                <c:pt idx="108">
                  <c:v>50.711210306254301</c:v>
                </c:pt>
                <c:pt idx="109">
                  <c:v>50.364597029892778</c:v>
                </c:pt>
                <c:pt idx="110">
                  <c:v>50.466263183245921</c:v>
                </c:pt>
                <c:pt idx="111">
                  <c:v>50.999885790640583</c:v>
                </c:pt>
                <c:pt idx="112">
                  <c:v>50.760575447889359</c:v>
                </c:pt>
                <c:pt idx="113">
                  <c:v>42.728010887910699</c:v>
                </c:pt>
                <c:pt idx="114">
                  <c:v>30.184844890012606</c:v>
                </c:pt>
                <c:pt idx="115">
                  <c:v>16.581050931066454</c:v>
                </c:pt>
                <c:pt idx="116">
                  <c:v>0</c:v>
                </c:pt>
                <c:pt idx="117">
                  <c:v>0</c:v>
                </c:pt>
                <c:pt idx="118">
                  <c:v>9.5224704461778185</c:v>
                </c:pt>
                <c:pt idx="119">
                  <c:v>20.731599512144456</c:v>
                </c:pt>
                <c:pt idx="120">
                  <c:v>34.574994190349237</c:v>
                </c:pt>
                <c:pt idx="121">
                  <c:v>48.678172651140777</c:v>
                </c:pt>
                <c:pt idx="122">
                  <c:v>58.958515662200007</c:v>
                </c:pt>
                <c:pt idx="123">
                  <c:v>60.549424962853898</c:v>
                </c:pt>
                <c:pt idx="124">
                  <c:v>60.562854298797788</c:v>
                </c:pt>
                <c:pt idx="125">
                  <c:v>60.497824041995898</c:v>
                </c:pt>
                <c:pt idx="126">
                  <c:v>60.351787748030681</c:v>
                </c:pt>
                <c:pt idx="127">
                  <c:v>60.117464775519316</c:v>
                </c:pt>
                <c:pt idx="128">
                  <c:v>59.913121530688031</c:v>
                </c:pt>
                <c:pt idx="129">
                  <c:v>59.811395287256559</c:v>
                </c:pt>
                <c:pt idx="130">
                  <c:v>59.873730237421078</c:v>
                </c:pt>
                <c:pt idx="131">
                  <c:v>60.096463522359649</c:v>
                </c:pt>
                <c:pt idx="132">
                  <c:v>54.909367015077564</c:v>
                </c:pt>
                <c:pt idx="133">
                  <c:v>42.419493208929794</c:v>
                </c:pt>
                <c:pt idx="134">
                  <c:v>28.055213203967217</c:v>
                </c:pt>
                <c:pt idx="135">
                  <c:v>14.491944386614625</c:v>
                </c:pt>
                <c:pt idx="136">
                  <c:v>0</c:v>
                </c:pt>
                <c:pt idx="137">
                  <c:v>0</c:v>
                </c:pt>
                <c:pt idx="138">
                  <c:v>14.072237599104225</c:v>
                </c:pt>
                <c:pt idx="139">
                  <c:v>27.560651633997182</c:v>
                </c:pt>
                <c:pt idx="140">
                  <c:v>41.66437272878364</c:v>
                </c:pt>
                <c:pt idx="141">
                  <c:v>53.997068968170716</c:v>
                </c:pt>
                <c:pt idx="142">
                  <c:v>59.600629732908118</c:v>
                </c:pt>
                <c:pt idx="143">
                  <c:v>59.417050802225511</c:v>
                </c:pt>
              </c:numCache>
            </c:numRef>
          </c:yVal>
          <c:smooth val="1"/>
        </c:ser>
        <c:axId val="147093376"/>
        <c:axId val="149237760"/>
      </c:scatterChart>
      <c:valAx>
        <c:axId val="147093376"/>
        <c:scaling>
          <c:orientation val="minMax"/>
          <c:max val="45961"/>
          <c:min val="43101"/>
        </c:scaling>
        <c:axPos val="b"/>
        <c:majorGridlines/>
        <c:numFmt formatCode="mm\-yyyy" sourceLinked="0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149237760"/>
        <c:crosses val="autoZero"/>
        <c:crossBetween val="midCat"/>
        <c:majorUnit val="365"/>
        <c:minorUnit val="90"/>
      </c:valAx>
      <c:valAx>
        <c:axId val="149237760"/>
        <c:scaling>
          <c:orientation val="minMax"/>
          <c:min val="0"/>
        </c:scaling>
        <c:axPos val="l"/>
        <c:majorGridlines/>
        <c:numFmt formatCode="#,##0.00;\-#,##0.00" sourceLinked="0"/>
        <c:tickLblPos val="nextTo"/>
        <c:crossAx val="147093376"/>
        <c:crosses val="autoZero"/>
        <c:crossBetween val="midCat"/>
      </c:valAx>
    </c:plotArea>
    <c:plotVisOnly val="1"/>
  </c:chart>
  <c:printSettings>
    <c:headerFooter/>
    <c:pageMargins b="0.75000000000000422" l="0.70000000000000062" r="0.70000000000000062" t="0.75000000000000422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>
                <a:solidFill>
                  <a:srgbClr val="FF0000"/>
                </a:solidFill>
              </a:rPr>
              <a:t>Size</a:t>
            </a:r>
            <a:r>
              <a:rPr lang="en-GB" baseline="0">
                <a:solidFill>
                  <a:srgbClr val="FF0000"/>
                </a:solidFill>
              </a:rPr>
              <a:t> </a:t>
            </a:r>
            <a:r>
              <a:rPr lang="en-GB" baseline="0"/>
              <a:t>and </a:t>
            </a:r>
            <a:r>
              <a:rPr lang="en-GB" baseline="0">
                <a:solidFill>
                  <a:srgbClr val="92D050"/>
                </a:solidFill>
              </a:rPr>
              <a:t>Magnitude</a:t>
            </a:r>
            <a:endParaRPr lang="en-GB">
              <a:solidFill>
                <a:srgbClr val="92D050"/>
              </a:solidFill>
            </a:endParaRPr>
          </a:p>
        </c:rich>
      </c:tx>
      <c:layout>
        <c:manualLayout>
          <c:xMode val="edge"/>
          <c:yMode val="edge"/>
          <c:x val="0.29065988647561442"/>
          <c:y val="1.2698412698412705E-2"/>
        </c:manualLayout>
      </c:layout>
    </c:title>
    <c:plotArea>
      <c:layout>
        <c:manualLayout>
          <c:layoutTarget val="inner"/>
          <c:xMode val="edge"/>
          <c:yMode val="edge"/>
          <c:x val="8.6455722446458896E-2"/>
          <c:y val="0.12779820517879567"/>
          <c:w val="0.82658620613599776"/>
          <c:h val="0.6867753603692478"/>
        </c:manualLayout>
      </c:layout>
      <c:scatterChart>
        <c:scatterStyle val="smoothMarker"/>
        <c:ser>
          <c:idx val="1"/>
          <c:order val="0"/>
          <c:tx>
            <c:strRef>
              <c:f>BestVisibility!$F$4</c:f>
              <c:strCache>
                <c:ptCount val="1"/>
                <c:pt idx="0">
                  <c:v>Size</c:v>
                </c:pt>
              </c:strCache>
            </c:strRef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BestVisibility!$A$5:$A$148</c:f>
              <c:numCache>
                <c:formatCode>dd/mm/yyyy\ hh:mm</c:formatCode>
                <c:ptCount val="144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BestVisibility!$F$5:$F$148</c:f>
              <c:numCache>
                <c:formatCode>_-* #,##0.0_-;\-* #,##0.0_-;_-* "-"??_-;_-@_-</c:formatCode>
                <c:ptCount val="144"/>
                <c:pt idx="0">
                  <c:v>32.985614529847986</c:v>
                </c:pt>
                <c:pt idx="1">
                  <c:v>34.667496921771892</c:v>
                </c:pt>
                <c:pt idx="2">
                  <c:v>36.740235548546799</c:v>
                </c:pt>
                <c:pt idx="3">
                  <c:v>39.078529974241768</c:v>
                </c:pt>
                <c:pt idx="4">
                  <c:v>41.427555227266744</c:v>
                </c:pt>
                <c:pt idx="5">
                  <c:v>43.387164534198689</c:v>
                </c:pt>
                <c:pt idx="6">
                  <c:v>44.499577868994159</c:v>
                </c:pt>
                <c:pt idx="7">
                  <c:v>44.460376844633004</c:v>
                </c:pt>
                <c:pt idx="8">
                  <c:v>43.305827760519058</c:v>
                </c:pt>
                <c:pt idx="9">
                  <c:v>41.381218810821515</c:v>
                </c:pt>
                <c:pt idx="10">
                  <c:v>39.129337115146939</c:v>
                </c:pt>
                <c:pt idx="11">
                  <c:v>36.908846502149792</c:v>
                </c:pt>
                <c:pt idx="12">
                  <c:v>34.939809061944771</c:v>
                </c:pt>
                <c:pt idx="13">
                  <c:v>33.331027089291752</c:v>
                </c:pt>
                <c:pt idx="14">
                  <c:v>32.125527703603154</c:v>
                </c:pt>
                <c:pt idx="15">
                  <c:v>31.335744514066882</c:v>
                </c:pt>
                <c:pt idx="16">
                  <c:v>30.964535916788623</c:v>
                </c:pt>
                <c:pt idx="17">
                  <c:v>31.015785046508523</c:v>
                </c:pt>
                <c:pt idx="18">
                  <c:v>31.498297703835217</c:v>
                </c:pt>
                <c:pt idx="19">
                  <c:v>32.424737561109517</c:v>
                </c:pt>
                <c:pt idx="20">
                  <c:v>33.805082671878594</c:v>
                </c:pt>
                <c:pt idx="21">
                  <c:v>35.631724182832322</c:v>
                </c:pt>
                <c:pt idx="22">
                  <c:v>37.851395297068578</c:v>
                </c:pt>
                <c:pt idx="23">
                  <c:v>40.320788443075614</c:v>
                </c:pt>
                <c:pt idx="24">
                  <c:v>42.756617476320947</c:v>
                </c:pt>
                <c:pt idx="25">
                  <c:v>44.72599922115586</c:v>
                </c:pt>
                <c:pt idx="26">
                  <c:v>45.753660768365954</c:v>
                </c:pt>
                <c:pt idx="27">
                  <c:v>45.553793268053354</c:v>
                </c:pt>
                <c:pt idx="28">
                  <c:v>44.211640493317702</c:v>
                </c:pt>
                <c:pt idx="29">
                  <c:v>42.11985424060488</c:v>
                </c:pt>
                <c:pt idx="30">
                  <c:v>39.744855557047359</c:v>
                </c:pt>
                <c:pt idx="31">
                  <c:v>37.44809246273465</c:v>
                </c:pt>
                <c:pt idx="32">
                  <c:v>35.443481673618329</c:v>
                </c:pt>
                <c:pt idx="33">
                  <c:v>33.832522561204577</c:v>
                </c:pt>
                <c:pt idx="34">
                  <c:v>32.652301376942155</c:v>
                </c:pt>
                <c:pt idx="35">
                  <c:v>31.910667043954369</c:v>
                </c:pt>
                <c:pt idx="36">
                  <c:v>31.606606173963346</c:v>
                </c:pt>
                <c:pt idx="37">
                  <c:v>31.740309569368787</c:v>
                </c:pt>
                <c:pt idx="38">
                  <c:v>32.316843027220003</c:v>
                </c:pt>
                <c:pt idx="39">
                  <c:v>33.345162279329571</c:v>
                </c:pt>
                <c:pt idx="40">
                  <c:v>34.831889064532668</c:v>
                </c:pt>
                <c:pt idx="41">
                  <c:v>36.766852923194399</c:v>
                </c:pt>
                <c:pt idx="42">
                  <c:v>39.095322386443087</c:v>
                </c:pt>
                <c:pt idx="43">
                  <c:v>41.673063109859527</c:v>
                </c:pt>
                <c:pt idx="44">
                  <c:v>44.213489432702502</c:v>
                </c:pt>
                <c:pt idx="45">
                  <c:v>46.271803724425254</c:v>
                </c:pt>
                <c:pt idx="46">
                  <c:v>47.34745004902183</c:v>
                </c:pt>
                <c:pt idx="47">
                  <c:v>47.12539227326323</c:v>
                </c:pt>
                <c:pt idx="48">
                  <c:v>45.681931465014394</c:v>
                </c:pt>
                <c:pt idx="49">
                  <c:v>43.432901027976428</c:v>
                </c:pt>
                <c:pt idx="50">
                  <c:v>40.884031824939079</c:v>
                </c:pt>
                <c:pt idx="51">
                  <c:v>38.429935844586602</c:v>
                </c:pt>
                <c:pt idx="52">
                  <c:v>36.302670253782864</c:v>
                </c:pt>
                <c:pt idx="53">
                  <c:v>34.609139383047449</c:v>
                </c:pt>
                <c:pt idx="54">
                  <c:v>33.384226727252255</c:v>
                </c:pt>
                <c:pt idx="55">
                  <c:v>32.62995148071434</c:v>
                </c:pt>
                <c:pt idx="56">
                  <c:v>32.338227316985986</c:v>
                </c:pt>
                <c:pt idx="57">
                  <c:v>32.502296240026467</c:v>
                </c:pt>
                <c:pt idx="58">
                  <c:v>33.121279128568986</c:v>
                </c:pt>
                <c:pt idx="59">
                  <c:v>34.199882235275801</c:v>
                </c:pt>
                <c:pt idx="60">
                  <c:v>35.742819313670658</c:v>
                </c:pt>
                <c:pt idx="61">
                  <c:v>37.740965237375221</c:v>
                </c:pt>
                <c:pt idx="62">
                  <c:v>40.143857293866368</c:v>
                </c:pt>
                <c:pt idx="63">
                  <c:v>42.813536237307559</c:v>
                </c:pt>
                <c:pt idx="64">
                  <c:v>45.466557090724812</c:v>
                </c:pt>
                <c:pt idx="65">
                  <c:v>47.647387646197544</c:v>
                </c:pt>
                <c:pt idx="66">
                  <c:v>48.821652286958624</c:v>
                </c:pt>
                <c:pt idx="67">
                  <c:v>48.629046236132289</c:v>
                </c:pt>
                <c:pt idx="68">
                  <c:v>47.123929863855381</c:v>
                </c:pt>
                <c:pt idx="69">
                  <c:v>44.742401257071499</c:v>
                </c:pt>
                <c:pt idx="70">
                  <c:v>42.032451719265474</c:v>
                </c:pt>
                <c:pt idx="71">
                  <c:v>39.423852319735133</c:v>
                </c:pt>
                <c:pt idx="72">
                  <c:v>37.165897680796746</c:v>
                </c:pt>
                <c:pt idx="73">
                  <c:v>35.368469586577504</c:v>
                </c:pt>
                <c:pt idx="74">
                  <c:v>34.061937634929102</c:v>
                </c:pt>
                <c:pt idx="75">
                  <c:v>33.241247765734428</c:v>
                </c:pt>
                <c:pt idx="76">
                  <c:v>32.891455360231227</c:v>
                </c:pt>
                <c:pt idx="77">
                  <c:v>33.000603128666363</c:v>
                </c:pt>
                <c:pt idx="78">
                  <c:v>33.565082458177898</c:v>
                </c:pt>
                <c:pt idx="79">
                  <c:v>34.58995611006047</c:v>
                </c:pt>
                <c:pt idx="80">
                  <c:v>36.084073439834199</c:v>
                </c:pt>
                <c:pt idx="81">
                  <c:v>38.047060575327571</c:v>
                </c:pt>
                <c:pt idx="82">
                  <c:v>40.442312068119364</c:v>
                </c:pt>
                <c:pt idx="83">
                  <c:v>43.14910759499098</c:v>
                </c:pt>
                <c:pt idx="84">
                  <c:v>45.896744620470606</c:v>
                </c:pt>
                <c:pt idx="85">
                  <c:v>48.221052712749156</c:v>
                </c:pt>
                <c:pt idx="86">
                  <c:v>49.542441872952224</c:v>
                </c:pt>
                <c:pt idx="87">
                  <c:v>49.435007337842109</c:v>
                </c:pt>
                <c:pt idx="88">
                  <c:v>47.91805996845131</c:v>
                </c:pt>
                <c:pt idx="89">
                  <c:v>45.449164856742847</c:v>
                </c:pt>
                <c:pt idx="90">
                  <c:v>42.623773552564863</c:v>
                </c:pt>
                <c:pt idx="91">
                  <c:v>39.90669763820538</c:v>
                </c:pt>
                <c:pt idx="92">
                  <c:v>37.559712258125849</c:v>
                </c:pt>
                <c:pt idx="93">
                  <c:v>35.690340221608814</c:v>
                </c:pt>
                <c:pt idx="94">
                  <c:v>34.320821357725904</c:v>
                </c:pt>
                <c:pt idx="95">
                  <c:v>33.437419984017261</c:v>
                </c:pt>
                <c:pt idx="96">
                  <c:v>33.018066275550346</c:v>
                </c:pt>
                <c:pt idx="97">
                  <c:v>33.045783082602732</c:v>
                </c:pt>
                <c:pt idx="98">
                  <c:v>33.514074228967111</c:v>
                </c:pt>
                <c:pt idx="99">
                  <c:v>34.427366673013843</c:v>
                </c:pt>
                <c:pt idx="100">
                  <c:v>35.79678286841461</c:v>
                </c:pt>
                <c:pt idx="101">
                  <c:v>37.628721767663052</c:v>
                </c:pt>
                <c:pt idx="102">
                  <c:v>39.900546048642767</c:v>
                </c:pt>
                <c:pt idx="103">
                  <c:v>42.515535056920676</c:v>
                </c:pt>
                <c:pt idx="104">
                  <c:v>45.235757200263635</c:v>
                </c:pt>
                <c:pt idx="105">
                  <c:v>47.624577400524423</c:v>
                </c:pt>
                <c:pt idx="106">
                  <c:v>49.09526365745009</c:v>
                </c:pt>
                <c:pt idx="107">
                  <c:v>49.163439683035655</c:v>
                </c:pt>
                <c:pt idx="108">
                  <c:v>47.775420603092904</c:v>
                </c:pt>
                <c:pt idx="109">
                  <c:v>45.358879722478342</c:v>
                </c:pt>
                <c:pt idx="110">
                  <c:v>42.527491228703575</c:v>
                </c:pt>
                <c:pt idx="111">
                  <c:v>39.776829180992557</c:v>
                </c:pt>
                <c:pt idx="112">
                  <c:v>37.38842087726939</c:v>
                </c:pt>
                <c:pt idx="113">
                  <c:v>35.476646510750726</c:v>
                </c:pt>
                <c:pt idx="114">
                  <c:v>34.063378483866785</c:v>
                </c:pt>
                <c:pt idx="115">
                  <c:v>33.131954268565018</c:v>
                </c:pt>
                <c:pt idx="116">
                  <c:v>32.657092909941632</c:v>
                </c:pt>
                <c:pt idx="117">
                  <c:v>32.619071433172195</c:v>
                </c:pt>
                <c:pt idx="118">
                  <c:v>33.009221343813721</c:v>
                </c:pt>
                <c:pt idx="119">
                  <c:v>33.830368396106458</c:v>
                </c:pt>
                <c:pt idx="120">
                  <c:v>35.092797463512817</c:v>
                </c:pt>
                <c:pt idx="121">
                  <c:v>36.80346770912687</c:v>
                </c:pt>
                <c:pt idx="122">
                  <c:v>38.943064880282151</c:v>
                </c:pt>
                <c:pt idx="123">
                  <c:v>41.423291347834351</c:v>
                </c:pt>
                <c:pt idx="124">
                  <c:v>44.022579703094962</c:v>
                </c:pt>
                <c:pt idx="125">
                  <c:v>46.329142325176541</c:v>
                </c:pt>
                <c:pt idx="126">
                  <c:v>47.782042047922424</c:v>
                </c:pt>
                <c:pt idx="127">
                  <c:v>47.906628649225986</c:v>
                </c:pt>
                <c:pt idx="128">
                  <c:v>46.631470392987111</c:v>
                </c:pt>
                <c:pt idx="129">
                  <c:v>44.349882706511018</c:v>
                </c:pt>
                <c:pt idx="130">
                  <c:v>41.645435503693378</c:v>
                </c:pt>
                <c:pt idx="131">
                  <c:v>38.997182637198023</c:v>
                </c:pt>
                <c:pt idx="132">
                  <c:v>36.681210272705222</c:v>
                </c:pt>
                <c:pt idx="133">
                  <c:v>34.81246221996291</c:v>
                </c:pt>
                <c:pt idx="134">
                  <c:v>33.415965492015005</c:v>
                </c:pt>
                <c:pt idx="135">
                  <c:v>32.479101772187626</c:v>
                </c:pt>
                <c:pt idx="136">
                  <c:v>31.980778713448434</c:v>
                </c:pt>
                <c:pt idx="137">
                  <c:v>31.905302166783368</c:v>
                </c:pt>
                <c:pt idx="138">
                  <c:v>32.247726228380841</c:v>
                </c:pt>
                <c:pt idx="139">
                  <c:v>33.014106975203013</c:v>
                </c:pt>
                <c:pt idx="140">
                  <c:v>34.217031268043876</c:v>
                </c:pt>
                <c:pt idx="141">
                  <c:v>35.863880663349647</c:v>
                </c:pt>
                <c:pt idx="142">
                  <c:v>37.932210192510702</c:v>
                </c:pt>
                <c:pt idx="143">
                  <c:v>40.325123380886659</c:v>
                </c:pt>
              </c:numCache>
            </c:numRef>
          </c:yVal>
          <c:smooth val="1"/>
        </c:ser>
        <c:axId val="133350144"/>
        <c:axId val="133351680"/>
      </c:scatterChart>
      <c:scatterChart>
        <c:scatterStyle val="smoothMarker"/>
        <c:ser>
          <c:idx val="2"/>
          <c:order val="1"/>
          <c:tx>
            <c:strRef>
              <c:f>BestVisibility!$E$4</c:f>
              <c:strCache>
                <c:ptCount val="1"/>
                <c:pt idx="0">
                  <c:v>Mag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dd/mm/yyyy\ hh:mm</c:formatCode>
                <c:ptCount val="149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BestVisibility!$E$5:$E$153</c:f>
              <c:numCache>
                <c:formatCode>_-* #,##0.00_-;\-* #,##0.00_-;_-* "-"??_-;_-@_-</c:formatCode>
                <c:ptCount val="149"/>
                <c:pt idx="0">
                  <c:v>-1.6881697970148828</c:v>
                </c:pt>
                <c:pt idx="1">
                  <c:v>-1.7974125279259916</c:v>
                </c:pt>
                <c:pt idx="2">
                  <c:v>-1.9248183321931664</c:v>
                </c:pt>
                <c:pt idx="3">
                  <c:v>-2.0601551185628382</c:v>
                </c:pt>
                <c:pt idx="4">
                  <c:v>-2.1883131355300294</c:v>
                </c:pt>
                <c:pt idx="5">
                  <c:v>-2.2901358753639429</c:v>
                </c:pt>
                <c:pt idx="6">
                  <c:v>-2.3466541798660749</c:v>
                </c:pt>
                <c:pt idx="7">
                  <c:v>-2.3463843040668624</c:v>
                </c:pt>
                <c:pt idx="8">
                  <c:v>-2.2909899699473506</c:v>
                </c:pt>
                <c:pt idx="9">
                  <c:v>-2.1940898592286517</c:v>
                </c:pt>
                <c:pt idx="10">
                  <c:v>-2.0744543614923487</c:v>
                </c:pt>
                <c:pt idx="11">
                  <c:v>-1.9495031854120963</c:v>
                </c:pt>
                <c:pt idx="12">
                  <c:v>-1.8324015171610781</c:v>
                </c:pt>
                <c:pt idx="13">
                  <c:v>-1.7320357412642864</c:v>
                </c:pt>
                <c:pt idx="14">
                  <c:v>-1.654091458604247</c:v>
                </c:pt>
                <c:pt idx="15">
                  <c:v>-1.602151371159493</c:v>
                </c:pt>
                <c:pt idx="16">
                  <c:v>-1.5784551985346089</c:v>
                </c:pt>
                <c:pt idx="17">
                  <c:v>-1.5843001120735121</c:v>
                </c:pt>
                <c:pt idx="18">
                  <c:v>-1.620147145354385</c:v>
                </c:pt>
                <c:pt idx="19">
                  <c:v>-1.6854854359326776</c:v>
                </c:pt>
                <c:pt idx="20">
                  <c:v>-1.778460409922356</c:v>
                </c:pt>
                <c:pt idx="21">
                  <c:v>-1.8952250893431601</c:v>
                </c:pt>
                <c:pt idx="22">
                  <c:v>-2.0289711154888836</c:v>
                </c:pt>
                <c:pt idx="23">
                  <c:v>-2.1687490561779503</c:v>
                </c:pt>
                <c:pt idx="24">
                  <c:v>-2.2986858058481139</c:v>
                </c:pt>
                <c:pt idx="25">
                  <c:v>-2.3990716895924553</c:v>
                </c:pt>
                <c:pt idx="26">
                  <c:v>-2.45106235085888</c:v>
                </c:pt>
                <c:pt idx="27">
                  <c:v>-2.4442910638004443</c:v>
                </c:pt>
                <c:pt idx="28">
                  <c:v>-2.382153326942547</c:v>
                </c:pt>
                <c:pt idx="29">
                  <c:v>-2.2797495081465677</c:v>
                </c:pt>
                <c:pt idx="30">
                  <c:v>-2.1565844713734319</c:v>
                </c:pt>
                <c:pt idx="31">
                  <c:v>-2.0302001017522806</c:v>
                </c:pt>
                <c:pt idx="32">
                  <c:v>-1.9136115695116738</c:v>
                </c:pt>
                <c:pt idx="33">
                  <c:v>-1.8154925006753997</c:v>
                </c:pt>
                <c:pt idx="34">
                  <c:v>-1.7413022979733965</c:v>
                </c:pt>
                <c:pt idx="35">
                  <c:v>-1.6943553762594767</c:v>
                </c:pt>
                <c:pt idx="36">
                  <c:v>-1.6765431412536065</c:v>
                </c:pt>
                <c:pt idx="37">
                  <c:v>-1.6887239605961768</c:v>
                </c:pt>
                <c:pt idx="38">
                  <c:v>-1.730860481868437</c:v>
                </c:pt>
                <c:pt idx="39">
                  <c:v>-1.8019533644294017</c:v>
                </c:pt>
                <c:pt idx="40">
                  <c:v>-1.8997619123627942</c:v>
                </c:pt>
                <c:pt idx="41">
                  <c:v>-2.0202470425599852</c:v>
                </c:pt>
                <c:pt idx="42">
                  <c:v>-2.1566635415420961</c:v>
                </c:pt>
                <c:pt idx="43">
                  <c:v>-2.2983691344567783</c:v>
                </c:pt>
                <c:pt idx="44">
                  <c:v>-2.4298968056038404</c:v>
                </c:pt>
                <c:pt idx="45">
                  <c:v>-2.5317280569364504</c:v>
                </c:pt>
                <c:pt idx="46">
                  <c:v>-2.5846661810386609</c:v>
                </c:pt>
                <c:pt idx="47">
                  <c:v>-2.5775239042909521</c:v>
                </c:pt>
                <c:pt idx="48">
                  <c:v>-2.5130579882655475</c:v>
                </c:pt>
                <c:pt idx="49">
                  <c:v>-2.40651194803822</c:v>
                </c:pt>
                <c:pt idx="50">
                  <c:v>-2.278237800824662</c:v>
                </c:pt>
                <c:pt idx="51">
                  <c:v>-2.1468243722584388</c:v>
                </c:pt>
                <c:pt idx="52">
                  <c:v>-2.0261301449177997</c:v>
                </c:pt>
                <c:pt idx="53">
                  <c:v>-1.9253137029838545</c:v>
                </c:pt>
                <c:pt idx="54">
                  <c:v>-1.8499592726038769</c:v>
                </c:pt>
                <c:pt idx="55">
                  <c:v>-1.8032064329388056</c:v>
                </c:pt>
                <c:pt idx="56">
                  <c:v>-1.7865603590410388</c:v>
                </c:pt>
                <c:pt idx="57">
                  <c:v>-1.8003882853766326</c:v>
                </c:pt>
                <c:pt idx="58">
                  <c:v>-1.8441717687034895</c:v>
                </c:pt>
                <c:pt idx="59">
                  <c:v>-1.9165483723057821</c:v>
                </c:pt>
                <c:pt idx="60">
                  <c:v>-2.015117143811584</c:v>
                </c:pt>
                <c:pt idx="61">
                  <c:v>-2.1359304585592169</c:v>
                </c:pt>
                <c:pt idx="62">
                  <c:v>-2.27258391221616</c:v>
                </c:pt>
                <c:pt idx="63">
                  <c:v>-2.41493791688693</c:v>
                </c:pt>
                <c:pt idx="64">
                  <c:v>-2.5479578202557427</c:v>
                </c:pt>
                <c:pt idx="65">
                  <c:v>-2.6520926340720816</c:v>
                </c:pt>
                <c:pt idx="66">
                  <c:v>-2.70731679801129</c:v>
                </c:pt>
                <c:pt idx="67">
                  <c:v>-2.7010644217173283</c:v>
                </c:pt>
                <c:pt idx="68">
                  <c:v>-2.6350921230782003</c:v>
                </c:pt>
                <c:pt idx="69">
                  <c:v>-2.5247216610747456</c:v>
                </c:pt>
                <c:pt idx="70">
                  <c:v>-2.3912036581947431</c:v>
                </c:pt>
                <c:pt idx="71">
                  <c:v>-2.2541296554044972</c:v>
                </c:pt>
                <c:pt idx="72">
                  <c:v>-2.1280105829728013</c:v>
                </c:pt>
                <c:pt idx="73">
                  <c:v>-2.022228442176857</c:v>
                </c:pt>
                <c:pt idx="74">
                  <c:v>-1.9422704690772012</c:v>
                </c:pt>
                <c:pt idx="75">
                  <c:v>-1.8910129524773747</c:v>
                </c:pt>
                <c:pt idx="76">
                  <c:v>-1.8696761073238175</c:v>
                </c:pt>
                <c:pt idx="77">
                  <c:v>-1.8784373284499667</c:v>
                </c:pt>
                <c:pt idx="78">
                  <c:v>-1.9167637867113825</c:v>
                </c:pt>
                <c:pt idx="79">
                  <c:v>-1.9834953712706367</c:v>
                </c:pt>
                <c:pt idx="80">
                  <c:v>-2.0766555705572829</c:v>
                </c:pt>
                <c:pt idx="81">
                  <c:v>-2.1929152891047958</c:v>
                </c:pt>
                <c:pt idx="82">
                  <c:v>-2.3266079842078589</c:v>
                </c:pt>
                <c:pt idx="83">
                  <c:v>-2.4682823903134636</c:v>
                </c:pt>
                <c:pt idx="84">
                  <c:v>-2.6032043722621774</c:v>
                </c:pt>
                <c:pt idx="85">
                  <c:v>-2.7112405283702845</c:v>
                </c:pt>
                <c:pt idx="86">
                  <c:v>-2.7706226090738229</c:v>
                </c:pt>
                <c:pt idx="87">
                  <c:v>-2.7665248181832465</c:v>
                </c:pt>
                <c:pt idx="88">
                  <c:v>-2.6993998184098738</c:v>
                </c:pt>
                <c:pt idx="89">
                  <c:v>-2.5849959205958095</c:v>
                </c:pt>
                <c:pt idx="90">
                  <c:v>-2.4459719781103075</c:v>
                </c:pt>
                <c:pt idx="91">
                  <c:v>-2.3031571109055351</c:v>
                </c:pt>
                <c:pt idx="92">
                  <c:v>-2.1716258751382904</c:v>
                </c:pt>
                <c:pt idx="93">
                  <c:v>-2.0607353645465505</c:v>
                </c:pt>
                <c:pt idx="94">
                  <c:v>-1.975631162224009</c:v>
                </c:pt>
                <c:pt idx="95">
                  <c:v>-1.918772178077617</c:v>
                </c:pt>
                <c:pt idx="96">
                  <c:v>-1.891044632367987</c:v>
                </c:pt>
                <c:pt idx="97">
                  <c:v>-1.8924610851076373</c:v>
                </c:pt>
                <c:pt idx="98">
                  <c:v>-1.9225274997633637</c:v>
                </c:pt>
                <c:pt idx="99">
                  <c:v>-1.9803331345202813</c:v>
                </c:pt>
                <c:pt idx="100">
                  <c:v>-2.0643618873197473</c:v>
                </c:pt>
                <c:pt idx="101">
                  <c:v>-2.1719623845973448</c:v>
                </c:pt>
                <c:pt idx="102">
                  <c:v>-2.2983672235251089</c:v>
                </c:pt>
                <c:pt idx="103">
                  <c:v>-2.4351959350472443</c:v>
                </c:pt>
                <c:pt idx="104">
                  <c:v>-2.5687281836281159</c:v>
                </c:pt>
                <c:pt idx="105">
                  <c:v>-2.6792260427455239</c:v>
                </c:pt>
                <c:pt idx="106">
                  <c:v>-2.743937777274672</c:v>
                </c:pt>
                <c:pt idx="107">
                  <c:v>-2.7455651489389035</c:v>
                </c:pt>
                <c:pt idx="108">
                  <c:v>-2.6819396035189835</c:v>
                </c:pt>
                <c:pt idx="109">
                  <c:v>-2.567719983859134</c:v>
                </c:pt>
                <c:pt idx="110">
                  <c:v>-2.4261503638968196</c:v>
                </c:pt>
                <c:pt idx="111">
                  <c:v>-2.2792338321703749</c:v>
                </c:pt>
                <c:pt idx="112">
                  <c:v>-2.1429409001140729</c:v>
                </c:pt>
                <c:pt idx="113">
                  <c:v>-2.027043136102368</c:v>
                </c:pt>
                <c:pt idx="114">
                  <c:v>-1.9367615534833051</c:v>
                </c:pt>
                <c:pt idx="115">
                  <c:v>-1.8744817431962968</c:v>
                </c:pt>
                <c:pt idx="116">
                  <c:v>-1.8409984927255694</c:v>
                </c:pt>
                <c:pt idx="117">
                  <c:v>-1.8362802017065949</c:v>
                </c:pt>
                <c:pt idx="118">
                  <c:v>-1.8598590892643858</c:v>
                </c:pt>
                <c:pt idx="119">
                  <c:v>-1.9109244032019004</c:v>
                </c:pt>
                <c:pt idx="120">
                  <c:v>-1.9881316342425037</c:v>
                </c:pt>
                <c:pt idx="121">
                  <c:v>-2.0890717302863333</c:v>
                </c:pt>
                <c:pt idx="122">
                  <c:v>-2.2092918449198957</c:v>
                </c:pt>
                <c:pt idx="123">
                  <c:v>-2.3407975598748449</c:v>
                </c:pt>
                <c:pt idx="124">
                  <c:v>-2.4703060642360684</c:v>
                </c:pt>
                <c:pt idx="125">
                  <c:v>-2.5784886819779289</c:v>
                </c:pt>
                <c:pt idx="126">
                  <c:v>-2.6427919829663935</c:v>
                </c:pt>
                <c:pt idx="127">
                  <c:v>-2.6456876139467589</c:v>
                </c:pt>
                <c:pt idx="128">
                  <c:v>-2.5843431672398207</c:v>
                </c:pt>
                <c:pt idx="129">
                  <c:v>-2.4726268799742162</c:v>
                </c:pt>
                <c:pt idx="130">
                  <c:v>-2.3331727377003788</c:v>
                </c:pt>
                <c:pt idx="131">
                  <c:v>-2.1876146675464896</c:v>
                </c:pt>
                <c:pt idx="132">
                  <c:v>-2.0517236998416495</c:v>
                </c:pt>
                <c:pt idx="133">
                  <c:v>-1.9351919783050235</c:v>
                </c:pt>
                <c:pt idx="134">
                  <c:v>-1.8432718322034432</c:v>
                </c:pt>
                <c:pt idx="135">
                  <c:v>-1.7784894428666143</c:v>
                </c:pt>
                <c:pt idx="136">
                  <c:v>-1.7418767795802037</c:v>
                </c:pt>
                <c:pt idx="137">
                  <c:v>-1.7337094752564115</c:v>
                </c:pt>
                <c:pt idx="138">
                  <c:v>-1.7538585011329886</c:v>
                </c:pt>
                <c:pt idx="139">
                  <c:v>-1.8018321169343692</c:v>
                </c:pt>
                <c:pt idx="140">
                  <c:v>-1.8765164663146348</c:v>
                </c:pt>
                <c:pt idx="141">
                  <c:v>-1.9755535842459775</c:v>
                </c:pt>
                <c:pt idx="142">
                  <c:v>-2.0942534451327868</c:v>
                </c:pt>
                <c:pt idx="143">
                  <c:v>-2.2240132510956743</c:v>
                </c:pt>
              </c:numCache>
            </c:numRef>
          </c:yVal>
          <c:smooth val="1"/>
        </c:ser>
        <c:axId val="133359104"/>
        <c:axId val="133357568"/>
      </c:scatterChart>
      <c:valAx>
        <c:axId val="133350144"/>
        <c:scaling>
          <c:orientation val="minMax"/>
          <c:max val="45961"/>
          <c:min val="43101"/>
        </c:scaling>
        <c:axPos val="b"/>
        <c:majorGridlines/>
        <c:numFmt formatCode="mm\-yyyy" sourceLinked="0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133351680"/>
        <c:crosses val="autoZero"/>
        <c:crossBetween val="midCat"/>
        <c:majorUnit val="365"/>
        <c:minorUnit val="90"/>
      </c:valAx>
      <c:valAx>
        <c:axId val="133351680"/>
        <c:scaling>
          <c:orientation val="minMax"/>
          <c:min val="0"/>
        </c:scaling>
        <c:axPos val="l"/>
        <c:majorGridlines/>
        <c:numFmt formatCode="#,##0.00;\-#,##0.00" sourceLinked="0"/>
        <c:tickLblPos val="nextTo"/>
        <c:crossAx val="133350144"/>
        <c:crosses val="autoZero"/>
        <c:crossBetween val="midCat"/>
      </c:valAx>
      <c:valAx>
        <c:axId val="133357568"/>
        <c:scaling>
          <c:orientation val="maxMin"/>
        </c:scaling>
        <c:axPos val="r"/>
        <c:numFmt formatCode="_-* #,##0.00_-;\-* #,##0.00_-;_-* &quot;-&quot;??_-;_-@_-" sourceLinked="1"/>
        <c:tickLblPos val="nextTo"/>
        <c:spPr>
          <a:ln w="6350">
            <a:solidFill>
              <a:schemeClr val="accent5">
                <a:lumMod val="75000"/>
              </a:schemeClr>
            </a:solidFill>
          </a:ln>
        </c:spPr>
        <c:crossAx val="133359104"/>
        <c:crosses val="max"/>
        <c:crossBetween val="midCat"/>
      </c:valAx>
      <c:valAx>
        <c:axId val="133359104"/>
        <c:scaling>
          <c:orientation val="minMax"/>
        </c:scaling>
        <c:delete val="1"/>
        <c:axPos val="t"/>
        <c:numFmt formatCode="dd/mm/yyyy\ hh:mm" sourceLinked="1"/>
        <c:tickLblPos val="none"/>
        <c:crossAx val="133357568"/>
        <c:crosses val="autoZero"/>
        <c:crossBetween val="midCat"/>
      </c:valAx>
    </c:plotArea>
    <c:plotVisOnly val="1"/>
  </c:chart>
  <c:printSettings>
    <c:headerFooter/>
    <c:pageMargins b="0.75000000000000444" l="0.70000000000000062" r="0.70000000000000062" t="0.75000000000000444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2</xdr:row>
      <xdr:rowOff>123825</xdr:rowOff>
    </xdr:from>
    <xdr:to>
      <xdr:col>14</xdr:col>
      <xdr:colOff>523875</xdr:colOff>
      <xdr:row>18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50346</xdr:colOff>
      <xdr:row>18</xdr:row>
      <xdr:rowOff>66675</xdr:rowOff>
    </xdr:from>
    <xdr:to>
      <xdr:col>14</xdr:col>
      <xdr:colOff>545647</xdr:colOff>
      <xdr:row>34</xdr:row>
      <xdr:rowOff>19050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hko.gov.hk/m/article_e.htm?title=ele_00493" TargetMode="External"/><Relationship Id="rId1" Type="http://schemas.openxmlformats.org/officeDocument/2006/relationships/hyperlink" Target="http://www.stjarnhimlen.se/comp/ppcomp.html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AI1048576"/>
  <sheetViews>
    <sheetView tabSelected="1" topLeftCell="W3" zoomScale="70" zoomScaleNormal="70" workbookViewId="0">
      <selection activeCell="AG22" sqref="AG22"/>
    </sheetView>
  </sheetViews>
  <sheetFormatPr defaultRowHeight="15"/>
  <cols>
    <col min="1" max="1" width="18.85546875" bestFit="1" customWidth="1"/>
    <col min="2" max="2" width="14.85546875" bestFit="1" customWidth="1"/>
    <col min="3" max="3" width="17.85546875" style="13" customWidth="1"/>
    <col min="4" max="4" width="10.5703125" bestFit="1" customWidth="1"/>
    <col min="5" max="5" width="10" style="25" bestFit="1" customWidth="1"/>
    <col min="6" max="6" width="10.7109375" style="15" bestFit="1" customWidth="1"/>
    <col min="17" max="17" width="14.5703125" bestFit="1" customWidth="1"/>
    <col min="18" max="18" width="15.7109375" bestFit="1" customWidth="1"/>
    <col min="23" max="23" width="13.140625" bestFit="1" customWidth="1"/>
    <col min="27" max="27" width="11.5703125" bestFit="1" customWidth="1"/>
    <col min="32" max="32" width="13" bestFit="1" customWidth="1"/>
    <col min="34" max="34" width="12" bestFit="1" customWidth="1"/>
    <col min="35" max="35" width="12.5703125" bestFit="1" customWidth="1"/>
  </cols>
  <sheetData>
    <row r="1" spans="1:35">
      <c r="A1" t="s">
        <v>23</v>
      </c>
      <c r="B1" s="21">
        <v>51.883000000000003</v>
      </c>
      <c r="C1" s="22">
        <v>-1.3080000000000001</v>
      </c>
      <c r="E1" s="25" t="s">
        <v>24</v>
      </c>
      <c r="F1" s="15">
        <v>20</v>
      </c>
      <c r="G1" t="s">
        <v>0</v>
      </c>
      <c r="I1" s="28" t="str">
        <f>B3</f>
        <v>Jupiter</v>
      </c>
      <c r="J1" s="28"/>
      <c r="K1" s="28"/>
      <c r="L1" s="28"/>
      <c r="M1" s="28"/>
      <c r="N1" s="28"/>
      <c r="Q1" t="s">
        <v>39</v>
      </c>
    </row>
    <row r="2" spans="1:35" ht="15.75" thickBot="1">
      <c r="A2" s="10"/>
      <c r="B2">
        <f>VLOOKUP(B3,planlookup,2,0)</f>
        <v>5</v>
      </c>
      <c r="C2" s="13">
        <f>VLOOKUP(C3,AA4:AB5,2,0)</f>
        <v>1</v>
      </c>
      <c r="I2" s="28"/>
      <c r="J2" s="28"/>
      <c r="K2" s="28"/>
      <c r="L2" s="28"/>
      <c r="M2" s="28"/>
      <c r="N2" s="28"/>
      <c r="Q2" t="s">
        <v>25</v>
      </c>
      <c r="R2" t="s">
        <v>29</v>
      </c>
      <c r="S2">
        <f>1+46/60</f>
        <v>1.7666666666666666</v>
      </c>
    </row>
    <row r="3" spans="1:35" ht="15.75" thickBot="1">
      <c r="A3" s="8"/>
      <c r="B3" s="23" t="s">
        <v>6</v>
      </c>
      <c r="C3" s="23" t="s">
        <v>19</v>
      </c>
      <c r="D3" s="16"/>
      <c r="Q3" t="s">
        <v>26</v>
      </c>
      <c r="R3" t="s">
        <v>32</v>
      </c>
      <c r="S3">
        <f>8+9.8/60</f>
        <v>8.163333333333334</v>
      </c>
      <c r="X3" t="s">
        <v>11</v>
      </c>
    </row>
    <row r="4" spans="1:35" ht="15.75" thickBot="1">
      <c r="A4" s="11" t="s">
        <v>16</v>
      </c>
      <c r="B4" s="20" t="s">
        <v>18</v>
      </c>
      <c r="C4" s="19" t="s">
        <v>21</v>
      </c>
      <c r="D4" s="9" t="s">
        <v>22</v>
      </c>
      <c r="E4" s="26" t="s">
        <v>10</v>
      </c>
      <c r="F4" s="18" t="s">
        <v>15</v>
      </c>
      <c r="Q4" t="s">
        <v>27</v>
      </c>
      <c r="R4" t="s">
        <v>30</v>
      </c>
      <c r="S4">
        <f>49+53/60</f>
        <v>49.883333333333333</v>
      </c>
      <c r="X4" s="2" t="s">
        <v>1</v>
      </c>
      <c r="Y4" s="6">
        <v>0</v>
      </c>
      <c r="AA4" s="2" t="s">
        <v>19</v>
      </c>
      <c r="AB4" s="6">
        <v>1</v>
      </c>
      <c r="AF4" t="s">
        <v>57</v>
      </c>
      <c r="AG4" t="s">
        <v>63</v>
      </c>
      <c r="AH4">
        <f>VLOOKUP(AG4,planlookup,2,0)</f>
        <v>11</v>
      </c>
    </row>
    <row r="5" spans="1:35" ht="15.75" thickBot="1">
      <c r="A5" s="1">
        <v>43101</v>
      </c>
      <c r="B5" s="12">
        <f>TimeofTransit(B$2,$A5,$B$1, $C$1)/24</f>
        <v>0.34772971683388709</v>
      </c>
      <c r="C5" s="14">
        <f>isvisible(B$2,A5,$B$1,$C$1,$C$2,1,temp,pres)</f>
        <v>22.326324344183945</v>
      </c>
      <c r="D5" s="12">
        <f>isvisible(B$2,A5,$B$1,$C$1,$C$2,2,temp,pres)</f>
        <v>0.34263764778918765</v>
      </c>
      <c r="E5" s="25">
        <f>visualmagnitude($B$2,astrodaysfromdt(A5))</f>
        <v>-1.6881697970148828</v>
      </c>
      <c r="F5" s="15">
        <f>apparentsize($B$2, astrodaysfromdt(A5))</f>
        <v>32.985614529847986</v>
      </c>
      <c r="Q5" t="s">
        <v>28</v>
      </c>
      <c r="R5" t="s">
        <v>31</v>
      </c>
      <c r="S5">
        <f>60+49/60</f>
        <v>60.81666666666667</v>
      </c>
      <c r="W5" s="8"/>
      <c r="X5" s="3" t="s">
        <v>4</v>
      </c>
      <c r="Y5" s="4">
        <v>1</v>
      </c>
      <c r="AA5" s="5" t="s">
        <v>20</v>
      </c>
      <c r="AB5" s="7">
        <v>2</v>
      </c>
      <c r="AF5" t="s">
        <v>16</v>
      </c>
      <c r="AH5" s="10">
        <f ca="1">NOW()</f>
        <v>43201.454203587964</v>
      </c>
    </row>
    <row r="6" spans="1:35">
      <c r="A6" s="1">
        <f t="shared" ref="A6:A37" si="0">DATE(YEAR(A5), IF(unt="m",intvl,0)+MONTH(A5), IF(unt="m", 0,intvl)+DAY(A5))</f>
        <v>43121</v>
      </c>
      <c r="B6" s="12">
        <f t="shared" ref="B6:B69" si="1">TimeofTransit(B$2,$A6,$B$1, $C$1)/24</f>
        <v>0.30131821037636075</v>
      </c>
      <c r="C6" s="14">
        <f t="shared" ref="C6:C36" si="2">isvisible(B$2,A6,$B$1,$C$1,$C$2,1,temp,pres)</f>
        <v>21.555412258790525</v>
      </c>
      <c r="D6" s="12">
        <f t="shared" ref="D6:D36" si="3">isvisible(B$2,A6,$B$1,$C$1,$C$2,2,temp,pres)</f>
        <v>0.30131821037636075</v>
      </c>
      <c r="E6" s="25">
        <f>visualmagnitude($B$2,astrodaysfromdt(A6))</f>
        <v>-1.7974125279259916</v>
      </c>
      <c r="F6" s="15">
        <f>apparentsize($B$2, astrodaysfromdt(A6))</f>
        <v>34.667496921771892</v>
      </c>
      <c r="X6" s="3" t="s">
        <v>2</v>
      </c>
      <c r="Y6" s="4">
        <v>2</v>
      </c>
      <c r="AA6" s="2"/>
      <c r="AB6" s="17"/>
      <c r="AF6" t="s">
        <v>58</v>
      </c>
      <c r="AH6">
        <f ca="1">astrodaysfromdt(AH5)</f>
        <v>6676.4542013888886</v>
      </c>
    </row>
    <row r="7" spans="1:35">
      <c r="A7" s="1">
        <f t="shared" si="0"/>
        <v>43141</v>
      </c>
      <c r="B7" s="12">
        <f t="shared" si="1"/>
        <v>0.25255580846440373</v>
      </c>
      <c r="C7" s="14">
        <f t="shared" si="2"/>
        <v>21.046350801631668</v>
      </c>
      <c r="D7" s="12">
        <f t="shared" si="3"/>
        <v>0.25255580846440373</v>
      </c>
      <c r="E7" s="25">
        <f>visualmagnitude($B$2,astrodaysfromdt(A7))</f>
        <v>-1.9248183321931664</v>
      </c>
      <c r="F7" s="15">
        <f>apparentsize($B$2, astrodaysfromdt(A7))</f>
        <v>36.740235548546799</v>
      </c>
      <c r="X7" s="3" t="s">
        <v>3</v>
      </c>
      <c r="Y7" s="4">
        <v>3</v>
      </c>
      <c r="AA7" s="3"/>
      <c r="AB7" s="4"/>
      <c r="AF7" t="s">
        <v>62</v>
      </c>
      <c r="AH7">
        <f ca="1">juliandate(YEAR(AH5),MONTH(AH5),DAY(AH5),0,0,0)</f>
        <v>2458219.5</v>
      </c>
    </row>
    <row r="8" spans="1:35">
      <c r="A8" s="1">
        <f t="shared" si="0"/>
        <v>43161</v>
      </c>
      <c r="B8" s="12">
        <f t="shared" si="1"/>
        <v>0.20079727318522603</v>
      </c>
      <c r="C8" s="14">
        <f t="shared" si="2"/>
        <v>20.832608130710931</v>
      </c>
      <c r="D8" s="12">
        <f t="shared" si="3"/>
        <v>0.20079727318522603</v>
      </c>
      <c r="E8" s="25">
        <f>visualmagnitude($B$2,astrodaysfromdt(A8))</f>
        <v>-2.0601551185628382</v>
      </c>
      <c r="F8" s="15">
        <f>apparentsize($B$2, astrodaysfromdt(A8))</f>
        <v>39.078529974241768</v>
      </c>
      <c r="Q8" t="s">
        <v>33</v>
      </c>
      <c r="X8" s="3" t="s">
        <v>5</v>
      </c>
      <c r="Y8" s="4">
        <v>4</v>
      </c>
      <c r="AA8" s="3" t="s">
        <v>13</v>
      </c>
      <c r="AB8" s="4">
        <v>149597870.69999999</v>
      </c>
      <c r="AF8" t="s">
        <v>66</v>
      </c>
      <c r="AH8">
        <f ca="1">LSTFromDt(AH6, longi)</f>
        <v>3.4197191448397954</v>
      </c>
    </row>
    <row r="9" spans="1:35" ht="15.75" thickBot="1">
      <c r="A9" s="1">
        <f t="shared" si="0"/>
        <v>43181</v>
      </c>
      <c r="B9" s="12">
        <f t="shared" si="1"/>
        <v>0.14563842965969379</v>
      </c>
      <c r="C9" s="14">
        <f t="shared" si="2"/>
        <v>20.921007107890087</v>
      </c>
      <c r="D9" s="12">
        <f t="shared" si="3"/>
        <v>0.14563842965969379</v>
      </c>
      <c r="E9" s="25">
        <f>visualmagnitude($B$2,astrodaysfromdt(A9))</f>
        <v>-2.1883131355300294</v>
      </c>
      <c r="F9" s="15">
        <f>apparentsize($B$2, astrodaysfromdt(A9))</f>
        <v>41.427555227266744</v>
      </c>
      <c r="Q9" t="s">
        <v>50</v>
      </c>
      <c r="X9" s="3" t="s">
        <v>6</v>
      </c>
      <c r="Y9" s="4">
        <v>5</v>
      </c>
      <c r="AA9" s="5" t="s">
        <v>14</v>
      </c>
      <c r="AB9" s="7">
        <f>6378140/1000</f>
        <v>6378.14</v>
      </c>
    </row>
    <row r="10" spans="1:35">
      <c r="A10" s="1">
        <f t="shared" si="0"/>
        <v>43201</v>
      </c>
      <c r="B10" s="12">
        <f t="shared" si="1"/>
        <v>8.7205633027569243E-2</v>
      </c>
      <c r="C10" s="14">
        <f t="shared" si="2"/>
        <v>21.290760267790418</v>
      </c>
      <c r="D10" s="12">
        <f t="shared" si="3"/>
        <v>8.7205633027569243E-2</v>
      </c>
      <c r="E10" s="25">
        <f>visualmagnitude($B$2,astrodaysfromdt(A10))</f>
        <v>-2.2901358753639429</v>
      </c>
      <c r="F10" s="15">
        <f>apparentsize($B$2, astrodaysfromdt(A10))</f>
        <v>43.387164534198689</v>
      </c>
      <c r="Q10" t="s">
        <v>34</v>
      </c>
      <c r="X10" s="3" t="s">
        <v>7</v>
      </c>
      <c r="Y10" s="4">
        <v>6</v>
      </c>
      <c r="AF10" t="s">
        <v>75</v>
      </c>
      <c r="AH10">
        <f ca="1">Eccentricity(AH4,AH6)</f>
        <v>7.5534610243896377E-2</v>
      </c>
    </row>
    <row r="11" spans="1:35">
      <c r="A11" s="1">
        <f t="shared" si="0"/>
        <v>43221</v>
      </c>
      <c r="B11" s="12">
        <f t="shared" si="1"/>
        <v>2.6409535270468493E-2</v>
      </c>
      <c r="C11" s="14">
        <f t="shared" si="2"/>
        <v>21.868098121818289</v>
      </c>
      <c r="D11" s="12">
        <f t="shared" si="3"/>
        <v>2.6409535270468493E-2</v>
      </c>
      <c r="E11" s="25">
        <f>visualmagnitude($B$2,astrodaysfromdt(A11))</f>
        <v>-2.3466541798660749</v>
      </c>
      <c r="F11" s="15">
        <f>apparentsize($B$2, astrodaysfromdt(A11))</f>
        <v>44.499577868994159</v>
      </c>
      <c r="X11" s="3" t="s">
        <v>8</v>
      </c>
      <c r="Y11" s="4">
        <v>7</v>
      </c>
      <c r="AA11" t="s">
        <v>53</v>
      </c>
      <c r="AB11">
        <v>10</v>
      </c>
      <c r="AF11" t="s">
        <v>59</v>
      </c>
      <c r="AH11">
        <f ca="1">MeanAnomaly(AH4,AH6)*180/PI()</f>
        <v>6.7607167301359379</v>
      </c>
    </row>
    <row r="12" spans="1:35">
      <c r="A12" s="1">
        <f t="shared" si="0"/>
        <v>43241</v>
      </c>
      <c r="B12" s="12">
        <f t="shared" si="1"/>
        <v>0.96488540656732302</v>
      </c>
      <c r="C12" s="14">
        <f t="shared" si="2"/>
        <v>22.534937010731532</v>
      </c>
      <c r="D12" s="12">
        <f t="shared" si="3"/>
        <v>0.96488540656732302</v>
      </c>
      <c r="E12" s="25">
        <f>visualmagnitude($B$2,astrodaysfromdt(A12))</f>
        <v>-2.3463843040668624</v>
      </c>
      <c r="F12" s="15">
        <f>apparentsize($B$2, astrodaysfromdt(A12))</f>
        <v>44.460376844633004</v>
      </c>
      <c r="Q12" t="s">
        <v>35</v>
      </c>
      <c r="X12" s="3" t="s">
        <v>9</v>
      </c>
      <c r="Y12" s="4">
        <v>8</v>
      </c>
      <c r="AA12" t="s">
        <v>54</v>
      </c>
      <c r="AB12">
        <v>1010</v>
      </c>
      <c r="AF12" t="s">
        <v>60</v>
      </c>
      <c r="AH12">
        <f ca="1">ArgOfPerihelion(AH4,AH6)*180/PI()</f>
        <v>73.11534200524369</v>
      </c>
    </row>
    <row r="13" spans="1:35">
      <c r="A13" s="1">
        <f t="shared" si="0"/>
        <v>43261</v>
      </c>
      <c r="B13" s="12">
        <f t="shared" si="1"/>
        <v>0.90447780465185146</v>
      </c>
      <c r="C13" s="14">
        <f t="shared" si="2"/>
        <v>23.051001670896039</v>
      </c>
      <c r="D13" s="12">
        <f t="shared" si="3"/>
        <v>0.90447780465185146</v>
      </c>
      <c r="E13" s="25">
        <f>visualmagnitude($B$2,astrodaysfromdt(A13))</f>
        <v>-2.2909899699473506</v>
      </c>
      <c r="F13" s="15">
        <f>apparentsize($B$2, astrodaysfromdt(A13))</f>
        <v>43.305827760519058</v>
      </c>
      <c r="Q13" t="s">
        <v>36</v>
      </c>
      <c r="X13" s="3" t="s">
        <v>17</v>
      </c>
      <c r="Y13" s="4">
        <v>9</v>
      </c>
      <c r="AF13" t="s">
        <v>61</v>
      </c>
      <c r="AH13">
        <f ca="1">LongOfAscNode(AH4,AH6)*180/PI()</f>
        <v>280.78688681214652</v>
      </c>
    </row>
    <row r="14" spans="1:35">
      <c r="A14" s="1">
        <f t="shared" si="0"/>
        <v>43281</v>
      </c>
      <c r="B14" s="12">
        <f t="shared" si="1"/>
        <v>0.84658834501987623</v>
      </c>
      <c r="C14" s="14">
        <f t="shared" si="2"/>
        <v>23.250469935766191</v>
      </c>
      <c r="D14" s="12">
        <f t="shared" si="3"/>
        <v>0.851905565677337</v>
      </c>
      <c r="E14" s="25">
        <f>visualmagnitude($B$2,astrodaysfromdt(A14))</f>
        <v>-2.1940898592286517</v>
      </c>
      <c r="F14" s="15">
        <f>apparentsize($B$2, astrodaysfromdt(A14))</f>
        <v>41.381218810821515</v>
      </c>
      <c r="X14" s="3" t="s">
        <v>12</v>
      </c>
      <c r="Y14" s="4">
        <v>10</v>
      </c>
      <c r="AB14" s="10"/>
      <c r="AF14" t="s">
        <v>76</v>
      </c>
      <c r="AH14">
        <f ca="1">EccentricAnomaly(AH11,AH10)</f>
        <v>6.7979014997815517</v>
      </c>
    </row>
    <row r="15" spans="1:35">
      <c r="A15" s="1">
        <f t="shared" si="0"/>
        <v>43301</v>
      </c>
      <c r="B15" s="12">
        <f t="shared" si="1"/>
        <v>0.79186788286415677</v>
      </c>
      <c r="C15" s="14">
        <f t="shared" si="2"/>
        <v>21.259554666931024</v>
      </c>
      <c r="D15" s="12">
        <f t="shared" si="3"/>
        <v>0.84132223975982223</v>
      </c>
      <c r="E15" s="25">
        <f>visualmagnitude($B$2,astrodaysfromdt(A15))</f>
        <v>-2.0744543614923487</v>
      </c>
      <c r="F15" s="15">
        <f>apparentsize($B$2, astrodaysfromdt(A15))</f>
        <v>39.129337115146939</v>
      </c>
      <c r="Q15" t="s">
        <v>37</v>
      </c>
      <c r="W15" s="8"/>
      <c r="X15" s="3" t="s">
        <v>63</v>
      </c>
      <c r="Y15" s="4">
        <v>11</v>
      </c>
    </row>
    <row r="16" spans="1:35" ht="15.75" customHeight="1">
      <c r="A16" s="1">
        <f t="shared" si="0"/>
        <v>43321</v>
      </c>
      <c r="B16" s="12">
        <f t="shared" si="1"/>
        <v>0.74033240739213768</v>
      </c>
      <c r="C16" s="14">
        <f t="shared" si="2"/>
        <v>18.120940629217365</v>
      </c>
      <c r="D16" s="12">
        <f t="shared" si="3"/>
        <v>0.81945182170787778</v>
      </c>
      <c r="E16" s="25">
        <f>visualmagnitude($B$2,astrodaysfromdt(A16))</f>
        <v>-1.9495031854120963</v>
      </c>
      <c r="F16" s="15">
        <f>apparentsize($B$2, astrodaysfromdt(A16))</f>
        <v>36.908846502149792</v>
      </c>
      <c r="Q16" t="s">
        <v>38</v>
      </c>
      <c r="W16" s="8"/>
      <c r="X16" s="3"/>
      <c r="Y16" s="4"/>
      <c r="AA16" s="10"/>
      <c r="AF16" t="s">
        <v>64</v>
      </c>
      <c r="AH16">
        <f ca="1">PlanetXYZ(AH4,AH6,6,AH8,lati, 10,1010)</f>
        <v>148.20664823002107</v>
      </c>
      <c r="AI16" t="str">
        <f ca="1">Convert_Degree(AH16/15)</f>
        <v>9° 52' 50"</v>
      </c>
    </row>
    <row r="17" spans="1:35">
      <c r="A17" s="1">
        <f t="shared" si="0"/>
        <v>43341</v>
      </c>
      <c r="B17" s="12">
        <f t="shared" si="1"/>
        <v>0.6916400544339657</v>
      </c>
      <c r="C17" s="14">
        <f t="shared" si="2"/>
        <v>15.067565087977252</v>
      </c>
      <c r="D17" s="12">
        <f t="shared" si="3"/>
        <v>0.79074385815514481</v>
      </c>
      <c r="E17" s="25">
        <f>visualmagnitude($B$2,astrodaysfromdt(A17))</f>
        <v>-1.8324015171610781</v>
      </c>
      <c r="F17" s="15">
        <f>apparentsize($B$2, astrodaysfromdt(A17))</f>
        <v>34.939809061944771</v>
      </c>
      <c r="Q17" t="s">
        <v>49</v>
      </c>
      <c r="X17" s="3"/>
      <c r="Y17" s="4"/>
      <c r="AB17" s="10"/>
      <c r="AF17" t="s">
        <v>65</v>
      </c>
      <c r="AH17">
        <f ca="1">PlanetXYZ(AH4,AH6,7,AH8,lati, 10,1010)</f>
        <v>27.716485285705573</v>
      </c>
      <c r="AI17" t="str">
        <f ca="1">Convert_Degree(AH17)</f>
        <v>27° 42' 59"</v>
      </c>
    </row>
    <row r="18" spans="1:35">
      <c r="A18" s="1">
        <f t="shared" si="0"/>
        <v>43361</v>
      </c>
      <c r="B18" s="12">
        <f t="shared" si="1"/>
        <v>0.64531211831750734</v>
      </c>
      <c r="C18" s="14">
        <f t="shared" si="2"/>
        <v>12.282001600101827</v>
      </c>
      <c r="D18" s="12">
        <f t="shared" si="3"/>
        <v>0.75890131748219369</v>
      </c>
      <c r="E18" s="25">
        <f>visualmagnitude($B$2,astrodaysfromdt(A18))</f>
        <v>-1.7320357412642864</v>
      </c>
      <c r="F18" s="15">
        <f>apparentsize($B$2, astrodaysfromdt(A18))</f>
        <v>33.331027089291752</v>
      </c>
      <c r="X18" s="3"/>
      <c r="Y18" s="4"/>
      <c r="AF18" t="s">
        <v>68</v>
      </c>
      <c r="AH18">
        <f ca="1">PlanetXYZ(AH4,AH6,9,AH8,lati, 10,1010)</f>
        <v>186.24028310030801</v>
      </c>
      <c r="AI18" t="str">
        <f ca="1">Convert_Degree(AH18)</f>
        <v>186° 14' 25"</v>
      </c>
    </row>
    <row r="19" spans="1:35" ht="15.75" thickBot="1">
      <c r="A19" s="1">
        <f t="shared" si="0"/>
        <v>43381</v>
      </c>
      <c r="B19" s="12">
        <f t="shared" si="1"/>
        <v>0.60084589641540542</v>
      </c>
      <c r="C19" s="14">
        <f t="shared" si="2"/>
        <v>9.5717898085767779</v>
      </c>
      <c r="D19" s="12">
        <f t="shared" si="3"/>
        <v>0.72686489136128873</v>
      </c>
      <c r="E19" s="25">
        <f>visualmagnitude($B$2,astrodaysfromdt(A19))</f>
        <v>-1.654091458604247</v>
      </c>
      <c r="F19" s="15">
        <f>apparentsize($B$2, astrodaysfromdt(A19))</f>
        <v>32.125527703603154</v>
      </c>
      <c r="Q19" t="s">
        <v>40</v>
      </c>
      <c r="X19" s="5"/>
      <c r="Y19" s="7"/>
      <c r="AF19" t="s">
        <v>67</v>
      </c>
      <c r="AH19">
        <f ca="1">PlanetXYZ(AH4,AH6,8,AH8,lati, 10,1010)</f>
        <v>65.741425832795699</v>
      </c>
      <c r="AI19" t="str">
        <f ca="1">Convert_Degree(AH19)</f>
        <v>65° 44' 29"</v>
      </c>
    </row>
    <row r="20" spans="1:35">
      <c r="A20" s="1">
        <f t="shared" si="0"/>
        <v>43401</v>
      </c>
      <c r="B20" s="12">
        <f t="shared" si="1"/>
        <v>0.55774909701219022</v>
      </c>
      <c r="C20" s="14">
        <f t="shared" si="2"/>
        <v>6.5461407674303498</v>
      </c>
      <c r="D20" s="12">
        <f t="shared" si="3"/>
        <v>0.69754090585884876</v>
      </c>
      <c r="E20" s="25">
        <f>visualmagnitude($B$2,astrodaysfromdt(A20))</f>
        <v>-1.602151371159493</v>
      </c>
      <c r="F20" s="15">
        <f>apparentsize($B$2, astrodaysfromdt(A20))</f>
        <v>31.335744514066882</v>
      </c>
      <c r="Q20" t="s">
        <v>51</v>
      </c>
      <c r="AF20" t="s">
        <v>69</v>
      </c>
      <c r="AH20">
        <f ca="1">PlanetXYZ(AH4,AH6,4,AH8,lati, 10,1010)</f>
        <v>161.14532826250959</v>
      </c>
      <c r="AI20" t="str">
        <f ca="1">Convert_Degree(AH20)</f>
        <v>161° 8' 43"</v>
      </c>
    </row>
    <row r="21" spans="1:35">
      <c r="A21" s="1">
        <f t="shared" si="0"/>
        <v>43421</v>
      </c>
      <c r="B21" s="12">
        <f t="shared" si="1"/>
        <v>0.51553440722160604</v>
      </c>
      <c r="C21" s="14">
        <f t="shared" si="2"/>
        <v>0</v>
      </c>
      <c r="D21" s="12">
        <f t="shared" si="3"/>
        <v>0</v>
      </c>
      <c r="E21" s="25">
        <f>visualmagnitude($B$2,astrodaysfromdt(A21))</f>
        <v>-1.5784551985346089</v>
      </c>
      <c r="F21" s="15">
        <f>apparentsize($B$2, astrodaysfromdt(A21))</f>
        <v>30.964535916788623</v>
      </c>
      <c r="Q21" t="s">
        <v>41</v>
      </c>
      <c r="AF21" t="s">
        <v>70</v>
      </c>
      <c r="AH21">
        <f ca="1">PlanetXYZ(AH4,AH6,5,AH8,lati, 10,1010)</f>
        <v>10.461604251246591</v>
      </c>
      <c r="AI21" t="str">
        <f ca="1">Convert_Degree(AH21)</f>
        <v>10° 27' 42"</v>
      </c>
    </row>
    <row r="22" spans="1:35">
      <c r="A22" s="1">
        <f t="shared" si="0"/>
        <v>43441</v>
      </c>
      <c r="B22" s="12">
        <f t="shared" si="1"/>
        <v>0.47369985170738227</v>
      </c>
      <c r="C22" s="14">
        <f t="shared" si="2"/>
        <v>0</v>
      </c>
      <c r="D22" s="12">
        <f t="shared" si="3"/>
        <v>0</v>
      </c>
      <c r="E22" s="25">
        <f>visualmagnitude($B$2,astrodaysfromdt(A22))</f>
        <v>-1.5843001120735121</v>
      </c>
      <c r="F22" s="15">
        <f>apparentsize($B$2, astrodaysfromdt(A22))</f>
        <v>31.015785046508523</v>
      </c>
      <c r="Q22" t="s">
        <v>42</v>
      </c>
      <c r="AF22" t="s">
        <v>71</v>
      </c>
      <c r="AH22">
        <f ca="1">PlanetXYZ(AH4,AH6,10,AH8,lati, 10,1010)</f>
        <v>1.9268403867528019</v>
      </c>
    </row>
    <row r="23" spans="1:35">
      <c r="A23" s="1">
        <f t="shared" si="0"/>
        <v>43461</v>
      </c>
      <c r="B23" s="12">
        <f t="shared" si="1"/>
        <v>0.43170856867417062</v>
      </c>
      <c r="C23" s="14">
        <f t="shared" si="2"/>
        <v>11.602929351924079</v>
      </c>
      <c r="D23" s="12">
        <f t="shared" si="3"/>
        <v>0.34250717033323896</v>
      </c>
      <c r="E23" s="25">
        <f>visualmagnitude($B$2,astrodaysfromdt(A23))</f>
        <v>-1.620147145354385</v>
      </c>
      <c r="F23" s="15">
        <f>apparentsize($B$2, astrodaysfromdt(A23))</f>
        <v>31.498297703835217</v>
      </c>
      <c r="AF23" t="s">
        <v>72</v>
      </c>
      <c r="AH23">
        <f ca="1">PlanetXYZ(AH4,AH6,1,AH8,lati, 10,1010)</f>
        <v>-1.4498125049643487</v>
      </c>
    </row>
    <row r="24" spans="1:35">
      <c r="A24" s="1">
        <f t="shared" si="0"/>
        <v>43481</v>
      </c>
      <c r="B24" s="12">
        <f t="shared" si="1"/>
        <v>0.38897436794667045</v>
      </c>
      <c r="C24" s="14">
        <f t="shared" si="2"/>
        <v>14.462281836081093</v>
      </c>
      <c r="D24" s="12">
        <f t="shared" si="3"/>
        <v>0.33731756654961237</v>
      </c>
      <c r="E24" s="25">
        <f>visualmagnitude($B$2,astrodaysfromdt(A24))</f>
        <v>-1.6854854359326776</v>
      </c>
      <c r="F24" s="15">
        <f>apparentsize($B$2, astrodaysfromdt(A24))</f>
        <v>32.424737561109517</v>
      </c>
      <c r="Q24" t="s">
        <v>52</v>
      </c>
      <c r="AF24" t="s">
        <v>73</v>
      </c>
      <c r="AH24">
        <f ca="1">PlanetXYZ(AH4,AH6,2,AH8,lati, 10,1010)</f>
        <v>1.180986569512618</v>
      </c>
    </row>
    <row r="25" spans="1:35">
      <c r="A25" s="1">
        <f t="shared" si="0"/>
        <v>43501</v>
      </c>
      <c r="B25" s="12">
        <f t="shared" si="1"/>
        <v>0.34485628085850079</v>
      </c>
      <c r="C25" s="14">
        <f t="shared" si="2"/>
        <v>15.41075079163806</v>
      </c>
      <c r="D25" s="12">
        <f t="shared" si="3"/>
        <v>0.31892344296420178</v>
      </c>
      <c r="E25" s="25">
        <f>visualmagnitude($B$2,astrodaysfromdt(A25))</f>
        <v>-1.778460409922356</v>
      </c>
      <c r="F25" s="15">
        <f>apparentsize($B$2, astrodaysfromdt(A25))</f>
        <v>33.805082671878594</v>
      </c>
      <c r="Q25" t="s">
        <v>43</v>
      </c>
      <c r="AF25" t="s">
        <v>74</v>
      </c>
      <c r="AH25">
        <f ca="1">PlanetXYZ(AH4,AH6,3,AH8,lati, 10,1010)</f>
        <v>0.46478844553356291</v>
      </c>
    </row>
    <row r="26" spans="1:35">
      <c r="A26" s="1">
        <f t="shared" si="0"/>
        <v>43521</v>
      </c>
      <c r="B26" s="12">
        <f t="shared" si="1"/>
        <v>0.29866695362573875</v>
      </c>
      <c r="C26" s="14">
        <f t="shared" si="2"/>
        <v>15.605398357233883</v>
      </c>
      <c r="D26" s="12">
        <f t="shared" si="3"/>
        <v>0.29213771693434049</v>
      </c>
      <c r="E26" s="25">
        <f>visualmagnitude($B$2,astrodaysfromdt(A26))</f>
        <v>-1.8952250893431601</v>
      </c>
      <c r="F26" s="15">
        <f>apparentsize($B$2, astrodaysfromdt(A26))</f>
        <v>35.631724182832322</v>
      </c>
      <c r="Q26" t="s">
        <v>44</v>
      </c>
      <c r="AF26" t="s">
        <v>80</v>
      </c>
      <c r="AH26">
        <f ca="1">PlanDist(AH4,AH6)</f>
        <v>2.5597379427607567</v>
      </c>
    </row>
    <row r="27" spans="1:35">
      <c r="A27" s="1">
        <f t="shared" si="0"/>
        <v>43541</v>
      </c>
      <c r="B27" s="12">
        <f t="shared" si="1"/>
        <v>0.24970869407162313</v>
      </c>
      <c r="C27" s="14">
        <f t="shared" si="2"/>
        <v>15.526169596220921</v>
      </c>
      <c r="D27" s="12">
        <f t="shared" si="3"/>
        <v>0.24970869407162313</v>
      </c>
      <c r="E27" s="25">
        <f>visualmagnitude($B$2,astrodaysfromdt(A27))</f>
        <v>-2.0289711154888836</v>
      </c>
      <c r="F27" s="15">
        <f>apparentsize($B$2, astrodaysfromdt(A27))</f>
        <v>37.851395297068578</v>
      </c>
      <c r="AF27" t="s">
        <v>77</v>
      </c>
      <c r="AH27">
        <f ca="1">COS(AH14)-AH10</f>
        <v>0.79489786203666224</v>
      </c>
    </row>
    <row r="28" spans="1:35">
      <c r="A28" s="1">
        <f t="shared" si="0"/>
        <v>43561</v>
      </c>
      <c r="B28" s="12">
        <f t="shared" si="1"/>
        <v>0.19736796791427844</v>
      </c>
      <c r="C28" s="14">
        <f t="shared" si="2"/>
        <v>15.495006966438298</v>
      </c>
      <c r="D28" s="12">
        <f t="shared" si="3"/>
        <v>0.19736796791427844</v>
      </c>
      <c r="E28" s="25">
        <f>visualmagnitude($B$2,astrodaysfromdt(A28))</f>
        <v>-2.1687490561779503</v>
      </c>
      <c r="F28" s="15">
        <f>apparentsize($B$2, astrodaysfromdt(A28))</f>
        <v>40.320788443075614</v>
      </c>
      <c r="AF28" t="s">
        <v>78</v>
      </c>
      <c r="AH28">
        <f ca="1">SQRT(1-AH10^2)*SIN(AH14)</f>
        <v>0.49088145626613067</v>
      </c>
    </row>
    <row r="29" spans="1:35">
      <c r="A29" s="1">
        <f t="shared" si="0"/>
        <v>43581</v>
      </c>
      <c r="B29" s="12">
        <f t="shared" si="1"/>
        <v>0.14131168827106347</v>
      </c>
      <c r="C29" s="14">
        <f t="shared" si="2"/>
        <v>15.514534366358685</v>
      </c>
      <c r="D29" s="12">
        <f t="shared" si="3"/>
        <v>0.14131168827106347</v>
      </c>
      <c r="E29" s="25">
        <f>visualmagnitude($B$2,astrodaysfromdt(A29))</f>
        <v>-2.2986858058481139</v>
      </c>
      <c r="F29" s="15">
        <f>apparentsize($B$2, astrodaysfromdt(A29))</f>
        <v>42.756617476320947</v>
      </c>
      <c r="Q29" t="s">
        <v>45</v>
      </c>
      <c r="AF29" t="s">
        <v>79</v>
      </c>
      <c r="AH29">
        <f ca="1">SQRT(AH27^2+AH28^2)</f>
        <v>0.93425222246265682</v>
      </c>
    </row>
    <row r="30" spans="1:35" ht="16.5" customHeight="1">
      <c r="A30" s="1">
        <f t="shared" si="0"/>
        <v>43601</v>
      </c>
      <c r="B30" s="12">
        <f t="shared" si="1"/>
        <v>8.1790891018764952E-2</v>
      </c>
      <c r="C30" s="14">
        <f t="shared" si="2"/>
        <v>15.585960411836826</v>
      </c>
      <c r="D30" s="12">
        <f t="shared" si="3"/>
        <v>8.1790891018764952E-2</v>
      </c>
      <c r="E30" s="25">
        <f>visualmagnitude($B$2,astrodaysfromdt(A30))</f>
        <v>-2.3990716895924553</v>
      </c>
      <c r="F30" s="15">
        <f>apparentsize($B$2, astrodaysfromdt(A30))</f>
        <v>44.72599922115586</v>
      </c>
      <c r="Q30" s="24" t="s">
        <v>46</v>
      </c>
    </row>
    <row r="31" spans="1:35">
      <c r="A31" s="1">
        <f t="shared" si="0"/>
        <v>43621</v>
      </c>
      <c r="B31" s="12">
        <f t="shared" si="1"/>
        <v>1.9907622097378033E-2</v>
      </c>
      <c r="C31" s="14">
        <f t="shared" si="2"/>
        <v>15.71673393194923</v>
      </c>
      <c r="D31" s="12">
        <f t="shared" si="3"/>
        <v>1.9907622097378033E-2</v>
      </c>
      <c r="E31" s="25">
        <f>visualmagnitude($B$2,astrodaysfromdt(A31))</f>
        <v>-2.45106235085888</v>
      </c>
      <c r="F31" s="15">
        <f>apparentsize($B$2, astrodaysfromdt(A31))</f>
        <v>45.753660768365954</v>
      </c>
      <c r="Q31" t="s">
        <v>47</v>
      </c>
    </row>
    <row r="32" spans="1:35" ht="18.75">
      <c r="A32" s="1">
        <f t="shared" si="0"/>
        <v>43641</v>
      </c>
      <c r="B32" s="12">
        <f t="shared" si="1"/>
        <v>0.95752730140960984</v>
      </c>
      <c r="C32" s="14">
        <f t="shared" si="2"/>
        <v>15.89018035952331</v>
      </c>
      <c r="D32" s="12">
        <f t="shared" si="3"/>
        <v>0.95752730140960984</v>
      </c>
      <c r="E32" s="25">
        <f>visualmagnitude($B$2,astrodaysfromdt(A32))</f>
        <v>-2.4442910638004443</v>
      </c>
      <c r="F32" s="15">
        <f>apparentsize($B$2, astrodaysfromdt(A32))</f>
        <v>45.553793268053354</v>
      </c>
      <c r="Q32" s="24" t="s">
        <v>48</v>
      </c>
    </row>
    <row r="33" spans="1:17">
      <c r="A33" s="1">
        <f t="shared" si="0"/>
        <v>43661</v>
      </c>
      <c r="B33" s="12">
        <f t="shared" si="1"/>
        <v>0.89668243431501748</v>
      </c>
      <c r="C33" s="14">
        <f t="shared" si="2"/>
        <v>16.037057304200605</v>
      </c>
      <c r="D33" s="12">
        <f t="shared" si="3"/>
        <v>0.89668243431501748</v>
      </c>
      <c r="E33" s="25">
        <f>visualmagnitude($B$2,astrodaysfromdt(A33))</f>
        <v>-2.382153326942547</v>
      </c>
      <c r="F33" s="15">
        <f>apparentsize($B$2, astrodaysfromdt(A33))</f>
        <v>44.211640493317702</v>
      </c>
    </row>
    <row r="34" spans="1:17">
      <c r="A34" s="1">
        <f t="shared" si="0"/>
        <v>43681</v>
      </c>
      <c r="B34" s="12">
        <f t="shared" si="1"/>
        <v>0.83885374611899988</v>
      </c>
      <c r="C34" s="14">
        <f t="shared" si="2"/>
        <v>16.085067873582606</v>
      </c>
      <c r="D34" s="12">
        <f t="shared" si="3"/>
        <v>0.83885374611899988</v>
      </c>
      <c r="E34" s="25">
        <f>visualmagnitude($B$2,astrodaysfromdt(A34))</f>
        <v>-2.2797495081465677</v>
      </c>
      <c r="F34" s="15">
        <f>apparentsize($B$2, astrodaysfromdt(A34))</f>
        <v>42.11985424060488</v>
      </c>
    </row>
    <row r="35" spans="1:17">
      <c r="A35" s="1">
        <f t="shared" si="0"/>
        <v>43701</v>
      </c>
      <c r="B35" s="12">
        <f t="shared" si="1"/>
        <v>0.78466844276537484</v>
      </c>
      <c r="C35" s="14">
        <f t="shared" si="2"/>
        <v>15.824589324659556</v>
      </c>
      <c r="D35" s="12">
        <f t="shared" si="3"/>
        <v>0.79870439423538198</v>
      </c>
      <c r="E35" s="25">
        <f>visualmagnitude($B$2,astrodaysfromdt(A35))</f>
        <v>-2.1565844713734319</v>
      </c>
      <c r="F35" s="15">
        <f>apparentsize($B$2, astrodaysfromdt(A35))</f>
        <v>39.744855557047359</v>
      </c>
    </row>
    <row r="36" spans="1:17">
      <c r="A36" s="1">
        <f t="shared" si="0"/>
        <v>43721</v>
      </c>
      <c r="B36" s="12">
        <f t="shared" si="1"/>
        <v>0.73406290580029288</v>
      </c>
      <c r="C36" s="14">
        <f t="shared" si="2"/>
        <v>14.962359361642726</v>
      </c>
      <c r="D36" s="12">
        <f t="shared" si="3"/>
        <v>0.76737898483670353</v>
      </c>
      <c r="E36" s="25">
        <f>visualmagnitude($B$2,astrodaysfromdt(A36))</f>
        <v>-2.0302001017522806</v>
      </c>
      <c r="F36" s="15">
        <f>apparentsize($B$2, astrodaysfromdt(A36))</f>
        <v>37.44809246273465</v>
      </c>
    </row>
    <row r="37" spans="1:17">
      <c r="A37" s="1">
        <f t="shared" si="0"/>
        <v>43741</v>
      </c>
      <c r="B37" s="12">
        <f t="shared" si="1"/>
        <v>0.68659473496654166</v>
      </c>
      <c r="C37" s="14">
        <f t="shared" ref="C37:C68" si="4">isvisible(B$2,A37,$B$1,$C$1,$C$2,1,temp,pres)</f>
        <v>13.840679885504652</v>
      </c>
      <c r="D37" s="12">
        <f t="shared" ref="D37:D68" si="5">isvisible(B$2,A37,$B$1,$C$1,$C$2,2,temp,pres)</f>
        <v>0.73512546684410118</v>
      </c>
      <c r="E37" s="25">
        <f>visualmagnitude($B$2,astrodaysfromdt(A37))</f>
        <v>-1.9136115695116738</v>
      </c>
      <c r="F37" s="15">
        <f>apparentsize($B$2, astrodaysfromdt(A37))</f>
        <v>35.443481673618329</v>
      </c>
    </row>
    <row r="38" spans="1:17">
      <c r="A38" s="1">
        <f t="shared" ref="A38:A69" si="6">DATE(YEAR(A37), IF(unt="m",intvl,0)+MONTH(A37), IF(unt="m", 0,intvl)+DAY(A37))</f>
        <v>43761</v>
      </c>
      <c r="B38" s="12">
        <f t="shared" si="1"/>
        <v>0.641676243319106</v>
      </c>
      <c r="C38" s="14">
        <f t="shared" si="4"/>
        <v>12.493904676854788</v>
      </c>
      <c r="D38" s="12">
        <f t="shared" si="5"/>
        <v>0.70477956002880304</v>
      </c>
      <c r="E38" s="25">
        <f>visualmagnitude($B$2,astrodaysfromdt(A38))</f>
        <v>-1.8154925006753997</v>
      </c>
      <c r="F38" s="15">
        <f>apparentsize($B$2, astrodaysfromdt(A38))</f>
        <v>33.832522561204577</v>
      </c>
    </row>
    <row r="39" spans="1:17">
      <c r="A39" s="1">
        <f t="shared" si="6"/>
        <v>43781</v>
      </c>
      <c r="B39" s="12">
        <f t="shared" si="1"/>
        <v>0.59869033002872163</v>
      </c>
      <c r="C39" s="14">
        <f t="shared" si="4"/>
        <v>10.628531598817464</v>
      </c>
      <c r="D39" s="12">
        <f t="shared" si="5"/>
        <v>0.67974573829653717</v>
      </c>
      <c r="E39" s="25">
        <f>visualmagnitude($B$2,astrodaysfromdt(A39))</f>
        <v>-1.7413022979733965</v>
      </c>
      <c r="F39" s="15">
        <f>apparentsize($B$2, astrodaysfromdt(A39))</f>
        <v>32.652301376942155</v>
      </c>
      <c r="P39" s="14"/>
      <c r="Q39" s="12"/>
    </row>
    <row r="40" spans="1:17">
      <c r="A40" s="1">
        <f t="shared" si="6"/>
        <v>43801</v>
      </c>
      <c r="B40" s="12">
        <f t="shared" si="1"/>
        <v>0.55702990949391984</v>
      </c>
      <c r="C40" s="14">
        <f t="shared" si="4"/>
        <v>7.4762863083824307</v>
      </c>
      <c r="D40" s="12">
        <f t="shared" si="5"/>
        <v>0.66455938740304221</v>
      </c>
      <c r="E40" s="25">
        <f>visualmagnitude($B$2,astrodaysfromdt(A40))</f>
        <v>-1.6943553762594767</v>
      </c>
      <c r="F40" s="15">
        <f>apparentsize($B$2, astrodaysfromdt(A40))</f>
        <v>31.910667043954369</v>
      </c>
    </row>
    <row r="41" spans="1:17">
      <c r="A41" s="1">
        <f t="shared" si="6"/>
        <v>43821</v>
      </c>
      <c r="B41" s="12">
        <f t="shared" si="1"/>
        <v>0.51610351961105194</v>
      </c>
      <c r="C41" s="14">
        <f t="shared" si="4"/>
        <v>0</v>
      </c>
      <c r="D41" s="12">
        <f t="shared" si="5"/>
        <v>0</v>
      </c>
      <c r="E41" s="25">
        <f>visualmagnitude($B$2,astrodaysfromdt(A41))</f>
        <v>-1.6765431412536065</v>
      </c>
      <c r="F41" s="15">
        <f>apparentsize($B$2, astrodaysfromdt(A41))</f>
        <v>31.606606173963346</v>
      </c>
    </row>
    <row r="42" spans="1:17">
      <c r="A42" s="1">
        <f t="shared" si="6"/>
        <v>43841</v>
      </c>
      <c r="B42" s="12">
        <f t="shared" si="1"/>
        <v>0.47533118407051594</v>
      </c>
      <c r="C42" s="14">
        <f t="shared" si="4"/>
        <v>0</v>
      </c>
      <c r="D42" s="12">
        <f t="shared" si="5"/>
        <v>0</v>
      </c>
      <c r="E42" s="25">
        <f>visualmagnitude($B$2,astrodaysfromdt(A42))</f>
        <v>-1.6887239605961768</v>
      </c>
      <c r="F42" s="15">
        <f>apparentsize($B$2, astrodaysfromdt(A42))</f>
        <v>31.740309569368787</v>
      </c>
    </row>
    <row r="43" spans="1:17">
      <c r="A43" s="1">
        <f t="shared" si="6"/>
        <v>43861</v>
      </c>
      <c r="B43" s="12">
        <f t="shared" si="1"/>
        <v>0.43413923617182598</v>
      </c>
      <c r="C43" s="14">
        <f t="shared" si="4"/>
        <v>8.0428536832604163</v>
      </c>
      <c r="D43" s="12">
        <f t="shared" si="5"/>
        <v>0.32475422348334576</v>
      </c>
      <c r="E43" s="25">
        <f>visualmagnitude($B$2,astrodaysfromdt(A43))</f>
        <v>-1.730860481868437</v>
      </c>
      <c r="F43" s="15">
        <f>apparentsize($B$2, astrodaysfromdt(A43))</f>
        <v>32.316843027220003</v>
      </c>
    </row>
    <row r="44" spans="1:17">
      <c r="A44" s="1">
        <f t="shared" si="6"/>
        <v>43881</v>
      </c>
      <c r="B44" s="12">
        <f t="shared" si="1"/>
        <v>0.39195450949327371</v>
      </c>
      <c r="C44" s="14">
        <f t="shared" si="4"/>
        <v>10.537575281704578</v>
      </c>
      <c r="D44" s="12">
        <f t="shared" si="5"/>
        <v>0.29971067884314812</v>
      </c>
      <c r="E44" s="25">
        <f>visualmagnitude($B$2,astrodaysfromdt(A44))</f>
        <v>-1.8019533644294017</v>
      </c>
      <c r="F44" s="15">
        <f>apparentsize($B$2, astrodaysfromdt(A44))</f>
        <v>33.345162279329571</v>
      </c>
    </row>
    <row r="45" spans="1:17">
      <c r="A45" s="1">
        <f t="shared" si="6"/>
        <v>43901</v>
      </c>
      <c r="B45" s="12">
        <f t="shared" si="1"/>
        <v>0.34819668628638739</v>
      </c>
      <c r="C45" s="14">
        <f t="shared" si="4"/>
        <v>12.439127598558128</v>
      </c>
      <c r="D45" s="12">
        <f t="shared" si="5"/>
        <v>0.26950917927778661</v>
      </c>
      <c r="E45" s="25">
        <f>visualmagnitude($B$2,astrodaysfromdt(A45))</f>
        <v>-1.8997619123627942</v>
      </c>
      <c r="F45" s="15">
        <f>apparentsize($B$2, astrodaysfromdt(A45))</f>
        <v>34.831889064532668</v>
      </c>
    </row>
    <row r="46" spans="1:17">
      <c r="A46" s="1">
        <f t="shared" si="6"/>
        <v>43921</v>
      </c>
      <c r="B46" s="12">
        <f t="shared" si="1"/>
        <v>0.30227232821556493</v>
      </c>
      <c r="C46" s="14">
        <f t="shared" si="4"/>
        <v>14.151561629690905</v>
      </c>
      <c r="D46" s="12">
        <f t="shared" si="5"/>
        <v>0.23757758997593173</v>
      </c>
      <c r="E46" s="25">
        <f>visualmagnitude($B$2,astrodaysfromdt(A46))</f>
        <v>-2.0202470425599852</v>
      </c>
      <c r="F46" s="15">
        <f>apparentsize($B$2, astrodaysfromdt(A46))</f>
        <v>36.766852923194399</v>
      </c>
    </row>
    <row r="47" spans="1:17">
      <c r="A47" s="1">
        <f t="shared" si="6"/>
        <v>43941</v>
      </c>
      <c r="B47" s="12">
        <f t="shared" si="1"/>
        <v>0.25358554318763799</v>
      </c>
      <c r="C47" s="14">
        <f t="shared" si="4"/>
        <v>15.7752952331549</v>
      </c>
      <c r="D47" s="12">
        <f t="shared" si="5"/>
        <v>0.20683019654597379</v>
      </c>
      <c r="E47" s="25">
        <f>visualmagnitude($B$2,astrodaysfromdt(A47))</f>
        <v>-2.1566635415420961</v>
      </c>
      <c r="F47" s="15">
        <f>apparentsize($B$2, astrodaysfromdt(A47))</f>
        <v>39.095322386443087</v>
      </c>
    </row>
    <row r="48" spans="1:17">
      <c r="A48" s="1">
        <f t="shared" si="6"/>
        <v>43961</v>
      </c>
      <c r="B48" s="12">
        <f t="shared" si="1"/>
        <v>0.20159813901945042</v>
      </c>
      <c r="C48" s="14">
        <f t="shared" si="4"/>
        <v>17.055157481525235</v>
      </c>
      <c r="D48" s="12">
        <f t="shared" si="5"/>
        <v>0.18048812899804881</v>
      </c>
      <c r="E48" s="25">
        <f>visualmagnitude($B$2,astrodaysfromdt(A48))</f>
        <v>-2.2983691344567783</v>
      </c>
      <c r="F48" s="15">
        <f>apparentsize($B$2, astrodaysfromdt(A48))</f>
        <v>41.673063109859527</v>
      </c>
    </row>
    <row r="49" spans="1:6">
      <c r="A49" s="1">
        <f t="shared" si="6"/>
        <v>43981</v>
      </c>
      <c r="B49" s="12">
        <f t="shared" si="1"/>
        <v>0.14598783759084225</v>
      </c>
      <c r="C49" s="14">
        <f t="shared" si="4"/>
        <v>17.231409684808995</v>
      </c>
      <c r="D49" s="12">
        <f t="shared" si="5"/>
        <v>0.14598783759084225</v>
      </c>
      <c r="E49" s="25">
        <f>visualmagnitude($B$2,astrodaysfromdt(A49))</f>
        <v>-2.4298968056038404</v>
      </c>
      <c r="F49" s="15">
        <f>apparentsize($B$2, astrodaysfromdt(A49))</f>
        <v>44.213489432702502</v>
      </c>
    </row>
    <row r="50" spans="1:6">
      <c r="A50" s="1">
        <f t="shared" si="6"/>
        <v>44001</v>
      </c>
      <c r="B50" s="12">
        <f t="shared" si="1"/>
        <v>8.6929422044232832E-2</v>
      </c>
      <c r="C50" s="14">
        <f t="shared" si="4"/>
        <v>16.897489045189445</v>
      </c>
      <c r="D50" s="12">
        <f t="shared" si="5"/>
        <v>8.6929422044232832E-2</v>
      </c>
      <c r="E50" s="25">
        <f>visualmagnitude($B$2,astrodaysfromdt(A50))</f>
        <v>-2.5317280569364504</v>
      </c>
      <c r="F50" s="15">
        <f>apparentsize($B$2, astrodaysfromdt(A50))</f>
        <v>46.271803724425254</v>
      </c>
    </row>
    <row r="51" spans="1:6">
      <c r="A51" s="1">
        <f t="shared" si="6"/>
        <v>44021</v>
      </c>
      <c r="B51" s="12">
        <f t="shared" si="1"/>
        <v>2.5393699887900804E-2</v>
      </c>
      <c r="C51" s="14">
        <f t="shared" si="4"/>
        <v>16.438245172722247</v>
      </c>
      <c r="D51" s="12">
        <f t="shared" si="5"/>
        <v>2.5393699887900804E-2</v>
      </c>
      <c r="E51" s="25">
        <f>visualmagnitude($B$2,astrodaysfromdt(A51))</f>
        <v>-2.5846661810386609</v>
      </c>
      <c r="F51" s="15">
        <f>apparentsize($B$2, astrodaysfromdt(A51))</f>
        <v>47.34745004902183</v>
      </c>
    </row>
    <row r="52" spans="1:6">
      <c r="A52" s="1">
        <f t="shared" si="6"/>
        <v>44041</v>
      </c>
      <c r="B52" s="12">
        <f t="shared" si="1"/>
        <v>0.96315958793062972</v>
      </c>
      <c r="C52" s="14">
        <f t="shared" si="4"/>
        <v>15.96283689891952</v>
      </c>
      <c r="D52" s="12">
        <f t="shared" si="5"/>
        <v>0.96315958793062972</v>
      </c>
      <c r="E52" s="25">
        <f>visualmagnitude($B$2,astrodaysfromdt(A52))</f>
        <v>-2.5775239042909521</v>
      </c>
      <c r="F52" s="15">
        <f>apparentsize($B$2, astrodaysfromdt(A52))</f>
        <v>47.12539227326323</v>
      </c>
    </row>
    <row r="53" spans="1:6">
      <c r="A53" s="1">
        <f t="shared" si="6"/>
        <v>44061</v>
      </c>
      <c r="B53" s="12">
        <f t="shared" si="1"/>
        <v>0.90229916917557684</v>
      </c>
      <c r="C53" s="14">
        <f t="shared" si="4"/>
        <v>15.641187201594771</v>
      </c>
      <c r="D53" s="12">
        <f t="shared" si="5"/>
        <v>0.90229916917557684</v>
      </c>
      <c r="E53" s="25">
        <f>visualmagnitude($B$2,astrodaysfromdt(A53))</f>
        <v>-2.5130579882655475</v>
      </c>
      <c r="F53" s="15">
        <f>apparentsize($B$2, astrodaysfromdt(A53))</f>
        <v>45.681931465014394</v>
      </c>
    </row>
    <row r="54" spans="1:6">
      <c r="A54" s="1">
        <f t="shared" si="6"/>
        <v>44081</v>
      </c>
      <c r="B54" s="12">
        <f t="shared" si="1"/>
        <v>0.84441873201596895</v>
      </c>
      <c r="C54" s="14">
        <f t="shared" si="4"/>
        <v>15.487358262283045</v>
      </c>
      <c r="D54" s="12">
        <f t="shared" si="5"/>
        <v>0.84441873201596895</v>
      </c>
      <c r="E54" s="25">
        <f>visualmagnitude($B$2,astrodaysfromdt(A54))</f>
        <v>-2.40651194803822</v>
      </c>
      <c r="F54" s="15">
        <f>apparentsize($B$2, astrodaysfromdt(A54))</f>
        <v>43.432901027976428</v>
      </c>
    </row>
    <row r="55" spans="1:6">
      <c r="A55" s="1">
        <f t="shared" si="6"/>
        <v>44101</v>
      </c>
      <c r="B55" s="12">
        <f t="shared" si="1"/>
        <v>0.79024583999743447</v>
      </c>
      <c r="C55" s="14">
        <f t="shared" si="4"/>
        <v>15.506238100703476</v>
      </c>
      <c r="D55" s="12">
        <f t="shared" si="5"/>
        <v>0.79024583999743447</v>
      </c>
      <c r="E55" s="25">
        <f>visualmagnitude($B$2,astrodaysfromdt(A55))</f>
        <v>-2.278237800824662</v>
      </c>
      <c r="F55" s="15">
        <f>apparentsize($B$2, astrodaysfromdt(A55))</f>
        <v>40.884031824939079</v>
      </c>
    </row>
    <row r="56" spans="1:6">
      <c r="A56" s="1">
        <f t="shared" si="6"/>
        <v>44121</v>
      </c>
      <c r="B56" s="12">
        <f t="shared" si="1"/>
        <v>0.73973072675747875</v>
      </c>
      <c r="C56" s="14">
        <f t="shared" si="4"/>
        <v>15.697334233858216</v>
      </c>
      <c r="D56" s="12">
        <f t="shared" si="5"/>
        <v>0.73973072675747875</v>
      </c>
      <c r="E56" s="25">
        <f>visualmagnitude($B$2,astrodaysfromdt(A56))</f>
        <v>-2.1468243722584388</v>
      </c>
      <c r="F56" s="15">
        <f>apparentsize($B$2, astrodaysfromdt(A56))</f>
        <v>38.429935844586602</v>
      </c>
    </row>
    <row r="57" spans="1:6">
      <c r="A57" s="1">
        <f t="shared" si="6"/>
        <v>44141</v>
      </c>
      <c r="B57" s="12">
        <f t="shared" si="1"/>
        <v>0.69237048901297149</v>
      </c>
      <c r="C57" s="14">
        <f t="shared" si="4"/>
        <v>16.068600415438507</v>
      </c>
      <c r="D57" s="12">
        <f t="shared" si="5"/>
        <v>0.69237048901297149</v>
      </c>
      <c r="E57" s="25">
        <f>visualmagnitude($B$2,astrodaysfromdt(A57))</f>
        <v>-2.0261301449177997</v>
      </c>
      <c r="F57" s="15">
        <f>apparentsize($B$2, astrodaysfromdt(A57))</f>
        <v>36.302670253782864</v>
      </c>
    </row>
    <row r="58" spans="1:6">
      <c r="A58" s="1">
        <f t="shared" si="6"/>
        <v>44161</v>
      </c>
      <c r="B58" s="12">
        <f t="shared" si="1"/>
        <v>0.64748407966565613</v>
      </c>
      <c r="C58" s="14">
        <f t="shared" si="4"/>
        <v>16.329305649078606</v>
      </c>
      <c r="D58" s="12">
        <f t="shared" si="5"/>
        <v>0.66730084796971345</v>
      </c>
      <c r="E58" s="25">
        <f>visualmagnitude($B$2,astrodaysfromdt(A58))</f>
        <v>-1.9253137029838545</v>
      </c>
      <c r="F58" s="15">
        <f>apparentsize($B$2, astrodaysfromdt(A58))</f>
        <v>34.609139383047449</v>
      </c>
    </row>
    <row r="59" spans="1:6">
      <c r="A59" s="1">
        <f t="shared" si="6"/>
        <v>44181</v>
      </c>
      <c r="B59" s="12">
        <f t="shared" si="1"/>
        <v>0.60436702446383694</v>
      </c>
      <c r="C59" s="14">
        <f t="shared" si="4"/>
        <v>15.029729648641574</v>
      </c>
      <c r="D59" s="12">
        <f t="shared" si="5"/>
        <v>0.66245111267700874</v>
      </c>
      <c r="E59" s="25">
        <f>visualmagnitude($B$2,astrodaysfromdt(A59))</f>
        <v>-1.8499592726038769</v>
      </c>
      <c r="F59" s="15">
        <f>apparentsize($B$2, astrodaysfromdt(A59))</f>
        <v>33.384226727252255</v>
      </c>
    </row>
    <row r="60" spans="1:6">
      <c r="A60" s="1">
        <f t="shared" si="6"/>
        <v>44201</v>
      </c>
      <c r="B60" s="12">
        <f t="shared" si="1"/>
        <v>0.56235807516732073</v>
      </c>
      <c r="C60" s="14">
        <f t="shared" si="4"/>
        <v>10.229863632013577</v>
      </c>
      <c r="D60" s="12">
        <f t="shared" si="5"/>
        <v>0.67298370521551287</v>
      </c>
      <c r="E60" s="25">
        <f>visualmagnitude($B$2,astrodaysfromdt(A60))</f>
        <v>-1.8032064329388056</v>
      </c>
      <c r="F60" s="15">
        <f>apparentsize($B$2, astrodaysfromdt(A60))</f>
        <v>32.62995148071434</v>
      </c>
    </row>
    <row r="61" spans="1:6">
      <c r="A61" s="1">
        <f t="shared" si="6"/>
        <v>44221</v>
      </c>
      <c r="B61" s="12">
        <f t="shared" si="1"/>
        <v>0.52085949222534067</v>
      </c>
      <c r="C61" s="14">
        <f t="shared" si="4"/>
        <v>0</v>
      </c>
      <c r="D61" s="12">
        <f t="shared" si="5"/>
        <v>0</v>
      </c>
      <c r="E61" s="25">
        <f>visualmagnitude($B$2,astrodaysfromdt(A61))</f>
        <v>-1.7865603590410388</v>
      </c>
      <c r="F61" s="15">
        <f>apparentsize($B$2, astrodaysfromdt(A61))</f>
        <v>32.338227316985986</v>
      </c>
    </row>
    <row r="62" spans="1:6">
      <c r="A62" s="1">
        <f t="shared" si="6"/>
        <v>44241</v>
      </c>
      <c r="B62" s="12">
        <f t="shared" si="1"/>
        <v>0.47933512268234463</v>
      </c>
      <c r="C62" s="14">
        <f t="shared" si="4"/>
        <v>0</v>
      </c>
      <c r="D62" s="12">
        <f t="shared" si="5"/>
        <v>0</v>
      </c>
      <c r="E62" s="25">
        <f>visualmagnitude($B$2,astrodaysfromdt(A62))</f>
        <v>-1.8003882853766326</v>
      </c>
      <c r="F62" s="15">
        <f>apparentsize($B$2, astrodaysfromdt(A62))</f>
        <v>32.502296240026467</v>
      </c>
    </row>
    <row r="63" spans="1:6">
      <c r="A63" s="1">
        <f t="shared" si="6"/>
        <v>44261</v>
      </c>
      <c r="B63" s="12">
        <f t="shared" si="1"/>
        <v>0.43729634210676305</v>
      </c>
      <c r="C63" s="14">
        <f t="shared" si="4"/>
        <v>5.9981186610454946</v>
      </c>
      <c r="D63" s="12">
        <f t="shared" si="5"/>
        <v>0.27771588768653305</v>
      </c>
      <c r="E63" s="25">
        <f>visualmagnitude($B$2,astrodaysfromdt(A63))</f>
        <v>-1.8441717687034895</v>
      </c>
      <c r="F63" s="15">
        <f>apparentsize($B$2, astrodaysfromdt(A63))</f>
        <v>33.121279128568986</v>
      </c>
    </row>
    <row r="64" spans="1:6">
      <c r="A64" s="1">
        <f t="shared" si="6"/>
        <v>44281</v>
      </c>
      <c r="B64" s="12">
        <f t="shared" si="1"/>
        <v>0.3942799211306014</v>
      </c>
      <c r="C64" s="14">
        <f t="shared" si="4"/>
        <v>9.0546704429109148</v>
      </c>
      <c r="D64" s="12">
        <f t="shared" si="5"/>
        <v>0.24595011764805016</v>
      </c>
      <c r="E64" s="25">
        <f>visualmagnitude($B$2,astrodaysfromdt(A64))</f>
        <v>-1.9165483723057821</v>
      </c>
      <c r="F64" s="15">
        <f>apparentsize($B$2, astrodaysfromdt(A64))</f>
        <v>34.199882235275801</v>
      </c>
    </row>
    <row r="65" spans="1:6">
      <c r="A65" s="1">
        <f t="shared" si="6"/>
        <v>44301</v>
      </c>
      <c r="B65" s="12">
        <f t="shared" si="1"/>
        <v>0.34982165174311519</v>
      </c>
      <c r="C65" s="14">
        <f t="shared" si="4"/>
        <v>12.290881088466669</v>
      </c>
      <c r="D65" s="12">
        <f t="shared" si="5"/>
        <v>0.21460771769951084</v>
      </c>
      <c r="E65" s="25">
        <f>visualmagnitude($B$2,astrodaysfromdt(A65))</f>
        <v>-2.015117143811584</v>
      </c>
      <c r="F65" s="15">
        <f>apparentsize($B$2, astrodaysfromdt(A65))</f>
        <v>35.742819313670658</v>
      </c>
    </row>
    <row r="66" spans="1:6">
      <c r="A66" s="1">
        <f t="shared" si="6"/>
        <v>44321</v>
      </c>
      <c r="B66" s="12">
        <f t="shared" si="1"/>
        <v>0.30343335643722341</v>
      </c>
      <c r="C66" s="14">
        <f t="shared" si="4"/>
        <v>16.083486239796127</v>
      </c>
      <c r="D66" s="12">
        <f t="shared" si="5"/>
        <v>0.18675448762403912</v>
      </c>
      <c r="E66" s="25">
        <f>visualmagnitude($B$2,astrodaysfromdt(A66))</f>
        <v>-2.1359304585592169</v>
      </c>
      <c r="F66" s="15">
        <f>apparentsize($B$2, astrodaysfromdt(A66))</f>
        <v>37.740965237375221</v>
      </c>
    </row>
    <row r="67" spans="1:6">
      <c r="A67" s="1">
        <f t="shared" si="6"/>
        <v>44341</v>
      </c>
      <c r="B67" s="12">
        <f t="shared" si="1"/>
        <v>0.25459928043246677</v>
      </c>
      <c r="C67" s="14">
        <f t="shared" si="4"/>
        <v>20.575492623433004</v>
      </c>
      <c r="D67" s="12">
        <f t="shared" si="5"/>
        <v>0.16624721852582222</v>
      </c>
      <c r="E67" s="25">
        <f>visualmagnitude($B$2,astrodaysfromdt(A67))</f>
        <v>-2.27258391221616</v>
      </c>
      <c r="F67" s="15">
        <f>apparentsize($B$2, astrodaysfromdt(A67))</f>
        <v>40.143857293866368</v>
      </c>
    </row>
    <row r="68" spans="1:6">
      <c r="A68" s="1">
        <f t="shared" si="6"/>
        <v>44361</v>
      </c>
      <c r="B68" s="12">
        <f t="shared" si="1"/>
        <v>0.20282219789255054</v>
      </c>
      <c r="C68" s="14">
        <f t="shared" si="4"/>
        <v>24.957671146561978</v>
      </c>
      <c r="D68" s="12">
        <f t="shared" si="5"/>
        <v>0.15748533588573568</v>
      </c>
      <c r="E68" s="25">
        <f>visualmagnitude($B$2,astrodaysfromdt(A68))</f>
        <v>-2.41493791688693</v>
      </c>
      <c r="F68" s="15">
        <f>apparentsize($B$2, astrodaysfromdt(A68))</f>
        <v>42.813536237307559</v>
      </c>
    </row>
    <row r="69" spans="1:6">
      <c r="A69" s="1">
        <f t="shared" si="6"/>
        <v>44381</v>
      </c>
      <c r="B69" s="12">
        <f t="shared" si="1"/>
        <v>0.14776417485811447</v>
      </c>
      <c r="C69" s="14">
        <f t="shared" ref="C69:C100" si="7">isvisible(B$2,A69,$B$1,$C$1,$C$2,1,temp,pres)</f>
        <v>26.334005901565543</v>
      </c>
      <c r="D69" s="12">
        <f t="shared" ref="D69:D100" si="8">isvisible(B$2,A69,$B$1,$C$1,$C$2,2,temp,pres)</f>
        <v>0.14776417485811447</v>
      </c>
      <c r="E69" s="25">
        <f>visualmagnitude($B$2,astrodaysfromdt(A69))</f>
        <v>-2.5479578202557427</v>
      </c>
      <c r="F69" s="15">
        <f>apparentsize($B$2, astrodaysfromdt(A69))</f>
        <v>45.466557090724812</v>
      </c>
    </row>
    <row r="70" spans="1:6">
      <c r="A70" s="1">
        <f t="shared" ref="A70:A101" si="9">DATE(YEAR(A69), IF(unt="m",intvl,0)+MONTH(A69), IF(unt="m", 0,intvl)+DAY(A69))</f>
        <v>44401</v>
      </c>
      <c r="B70" s="12">
        <f t="shared" ref="B70:B133" si="10">TimeofTransit(B$2,$A70,$B$1, $C$1)/24</f>
        <v>8.9510239716069695E-2</v>
      </c>
      <c r="C70" s="14">
        <f t="shared" si="7"/>
        <v>25.776031506986335</v>
      </c>
      <c r="D70" s="12">
        <f t="shared" si="8"/>
        <v>8.9510239716069695E-2</v>
      </c>
      <c r="E70" s="25">
        <f>visualmagnitude($B$2,astrodaysfromdt(A70))</f>
        <v>-2.6520926340720816</v>
      </c>
      <c r="F70" s="15">
        <f>apparentsize($B$2, astrodaysfromdt(A70))</f>
        <v>47.647387646197544</v>
      </c>
    </row>
    <row r="71" spans="1:6">
      <c r="A71" s="1">
        <f t="shared" si="9"/>
        <v>44421</v>
      </c>
      <c r="B71" s="12">
        <f t="shared" si="10"/>
        <v>2.8871424324082854E-2</v>
      </c>
      <c r="C71" s="14">
        <f t="shared" si="7"/>
        <v>24.94068417423394</v>
      </c>
      <c r="D71" s="12">
        <f t="shared" si="8"/>
        <v>2.8871424324082854E-2</v>
      </c>
      <c r="E71" s="25">
        <f>visualmagnitude($B$2,astrodaysfromdt(A71))</f>
        <v>-2.70731679801129</v>
      </c>
      <c r="F71" s="15">
        <f>apparentsize($B$2, astrodaysfromdt(A71))</f>
        <v>48.821652286958624</v>
      </c>
    </row>
    <row r="72" spans="1:6">
      <c r="A72" s="1">
        <f t="shared" si="9"/>
        <v>44441</v>
      </c>
      <c r="B72" s="12">
        <f t="shared" si="10"/>
        <v>0.96744952763561931</v>
      </c>
      <c r="C72" s="14">
        <f t="shared" si="7"/>
        <v>24.016548146165277</v>
      </c>
      <c r="D72" s="12">
        <f t="shared" si="8"/>
        <v>0.96744952763561931</v>
      </c>
      <c r="E72" s="25">
        <f>visualmagnitude($B$2,astrodaysfromdt(A72))</f>
        <v>-2.7010644217173283</v>
      </c>
      <c r="F72" s="15">
        <f>apparentsize($B$2, astrodaysfromdt(A72))</f>
        <v>48.629046236132289</v>
      </c>
    </row>
    <row r="73" spans="1:6">
      <c r="A73" s="1">
        <f t="shared" si="9"/>
        <v>44461</v>
      </c>
      <c r="B73" s="12">
        <f t="shared" si="10"/>
        <v>0.90719954702358241</v>
      </c>
      <c r="C73" s="14">
        <f t="shared" si="7"/>
        <v>23.361220511765705</v>
      </c>
      <c r="D73" s="12">
        <f t="shared" si="8"/>
        <v>0.90719954702358241</v>
      </c>
      <c r="E73" s="25">
        <f>visualmagnitude($B$2,astrodaysfromdt(A73))</f>
        <v>-2.6350921230782003</v>
      </c>
      <c r="F73" s="15">
        <f>apparentsize($B$2, astrodaysfromdt(A73))</f>
        <v>47.123929863855381</v>
      </c>
    </row>
    <row r="74" spans="1:6">
      <c r="A74" s="1">
        <f t="shared" si="9"/>
        <v>44481</v>
      </c>
      <c r="B74" s="12">
        <f t="shared" si="10"/>
        <v>0.84969544678936082</v>
      </c>
      <c r="C74" s="14">
        <f t="shared" si="7"/>
        <v>23.082769558774626</v>
      </c>
      <c r="D74" s="12">
        <f t="shared" si="8"/>
        <v>0.84969544678936082</v>
      </c>
      <c r="E74" s="25">
        <f>visualmagnitude($B$2,astrodaysfromdt(A74))</f>
        <v>-2.5247216610747456</v>
      </c>
      <c r="F74" s="15">
        <f>apparentsize($B$2, astrodaysfromdt(A74))</f>
        <v>44.742401257071499</v>
      </c>
    </row>
    <row r="75" spans="1:6">
      <c r="A75" s="1">
        <f t="shared" si="9"/>
        <v>44501</v>
      </c>
      <c r="B75" s="12">
        <f t="shared" si="10"/>
        <v>0.79567321239780764</v>
      </c>
      <c r="C75" s="14">
        <f t="shared" si="7"/>
        <v>23.236949988693357</v>
      </c>
      <c r="D75" s="12">
        <f t="shared" si="8"/>
        <v>0.79567321239780764</v>
      </c>
      <c r="E75" s="25">
        <f>visualmagnitude($B$2,astrodaysfromdt(A75))</f>
        <v>-2.3912036581947431</v>
      </c>
      <c r="F75" s="15">
        <f>apparentsize($B$2, astrodaysfromdt(A75))</f>
        <v>42.032451719265474</v>
      </c>
    </row>
    <row r="76" spans="1:6">
      <c r="A76" s="1">
        <f t="shared" si="9"/>
        <v>44521</v>
      </c>
      <c r="B76" s="12">
        <f t="shared" si="10"/>
        <v>0.74508734163355494</v>
      </c>
      <c r="C76" s="14">
        <f t="shared" si="7"/>
        <v>23.80981739281307</v>
      </c>
      <c r="D76" s="12">
        <f t="shared" si="8"/>
        <v>0.74508734163355494</v>
      </c>
      <c r="E76" s="25">
        <f>visualmagnitude($B$2,astrodaysfromdt(A76))</f>
        <v>-2.2541296554044972</v>
      </c>
      <c r="F76" s="15">
        <f>apparentsize($B$2, astrodaysfromdt(A76))</f>
        <v>39.423852319735133</v>
      </c>
    </row>
    <row r="77" spans="1:6">
      <c r="A77" s="1">
        <f t="shared" si="9"/>
        <v>44541</v>
      </c>
      <c r="B77" s="12">
        <f t="shared" si="10"/>
        <v>0.69742968645439729</v>
      </c>
      <c r="C77" s="14">
        <f t="shared" si="7"/>
        <v>24.755698189240839</v>
      </c>
      <c r="D77" s="12">
        <f t="shared" si="8"/>
        <v>0.69742968645439729</v>
      </c>
      <c r="E77" s="25">
        <f>visualmagnitude($B$2,astrodaysfromdt(A77))</f>
        <v>-2.1280105829728013</v>
      </c>
      <c r="F77" s="15">
        <f>apparentsize($B$2, astrodaysfromdt(A77))</f>
        <v>37.165897680796746</v>
      </c>
    </row>
    <row r="78" spans="1:6">
      <c r="A78" s="1">
        <f t="shared" si="9"/>
        <v>44561</v>
      </c>
      <c r="B78" s="12">
        <f t="shared" si="10"/>
        <v>0.65202222769900009</v>
      </c>
      <c r="C78" s="14">
        <f t="shared" si="7"/>
        <v>25.765300875709727</v>
      </c>
      <c r="D78" s="12">
        <f t="shared" si="8"/>
        <v>0.66887453931455898</v>
      </c>
      <c r="E78" s="25">
        <f>visualmagnitude($B$2,astrodaysfromdt(A78))</f>
        <v>-2.022228442176857</v>
      </c>
      <c r="F78" s="15">
        <f>apparentsize($B$2, astrodaysfromdt(A78))</f>
        <v>35.368469586577504</v>
      </c>
    </row>
    <row r="79" spans="1:6">
      <c r="A79" s="1">
        <f t="shared" si="9"/>
        <v>44581</v>
      </c>
      <c r="B79" s="12">
        <f t="shared" si="10"/>
        <v>0.60818778096451565</v>
      </c>
      <c r="C79" s="14">
        <f t="shared" si="7"/>
        <v>22.619294684522107</v>
      </c>
      <c r="D79" s="12">
        <f t="shared" si="8"/>
        <v>0.68822457595129771</v>
      </c>
      <c r="E79" s="25">
        <f>visualmagnitude($B$2,astrodaysfromdt(A79))</f>
        <v>-1.9422704690772012</v>
      </c>
      <c r="F79" s="15">
        <f>apparentsize($B$2, astrodaysfromdt(A79))</f>
        <v>34.061937634929102</v>
      </c>
    </row>
    <row r="80" spans="1:6">
      <c r="A80" s="1">
        <f t="shared" si="9"/>
        <v>44601</v>
      </c>
      <c r="B80" s="12">
        <f t="shared" si="10"/>
        <v>0.56532074031969803</v>
      </c>
      <c r="C80" s="14">
        <f t="shared" si="7"/>
        <v>13.859322750966079</v>
      </c>
      <c r="D80" s="12">
        <f t="shared" si="8"/>
        <v>0.71322197044042657</v>
      </c>
      <c r="E80" s="25">
        <f>visualmagnitude($B$2,astrodaysfromdt(A80))</f>
        <v>-1.8910129524773747</v>
      </c>
      <c r="F80" s="15">
        <f>apparentsize($B$2, astrodaysfromdt(A80))</f>
        <v>33.241247765734428</v>
      </c>
    </row>
    <row r="81" spans="1:6">
      <c r="A81" s="1">
        <f t="shared" si="9"/>
        <v>44621</v>
      </c>
      <c r="B81" s="12">
        <f t="shared" si="10"/>
        <v>0.52290034403885022</v>
      </c>
      <c r="C81" s="14">
        <f t="shared" si="7"/>
        <v>0</v>
      </c>
      <c r="D81" s="12">
        <f t="shared" si="8"/>
        <v>0</v>
      </c>
      <c r="E81" s="25">
        <f>visualmagnitude($B$2,astrodaysfromdt(A81))</f>
        <v>-1.8696761073238175</v>
      </c>
      <c r="F81" s="15">
        <f>apparentsize($B$2, astrodaysfromdt(A81))</f>
        <v>32.891455360231227</v>
      </c>
    </row>
    <row r="82" spans="1:6">
      <c r="A82" s="1">
        <f t="shared" si="9"/>
        <v>44641</v>
      </c>
      <c r="B82" s="12">
        <f t="shared" si="10"/>
        <v>0.48047552556718515</v>
      </c>
      <c r="C82" s="14">
        <f t="shared" si="7"/>
        <v>0</v>
      </c>
      <c r="D82" s="12">
        <f t="shared" si="8"/>
        <v>0</v>
      </c>
      <c r="E82" s="25">
        <f>visualmagnitude($B$2,astrodaysfromdt(A82))</f>
        <v>-1.8784373284499667</v>
      </c>
      <c r="F82" s="15">
        <f>apparentsize($B$2, astrodaysfromdt(A82))</f>
        <v>33.000603128666363</v>
      </c>
    </row>
    <row r="83" spans="1:6">
      <c r="A83" s="1">
        <f t="shared" si="9"/>
        <v>44661</v>
      </c>
      <c r="B83" s="12">
        <f t="shared" si="10"/>
        <v>0.4376366115845165</v>
      </c>
      <c r="C83" s="14">
        <f t="shared" si="7"/>
        <v>0</v>
      </c>
      <c r="D83" s="12">
        <f t="shared" si="8"/>
        <v>0</v>
      </c>
      <c r="E83" s="25">
        <f>visualmagnitude($B$2,astrodaysfromdt(A83))</f>
        <v>-1.9167637867113825</v>
      </c>
      <c r="F83" s="15">
        <f>apparentsize($B$2, astrodaysfromdt(A83))</f>
        <v>33.565082458177898</v>
      </c>
    </row>
    <row r="84" spans="1:6">
      <c r="A84" s="1">
        <f t="shared" si="9"/>
        <v>44681</v>
      </c>
      <c r="B84" s="12">
        <f t="shared" si="10"/>
        <v>0.39398153121144069</v>
      </c>
      <c r="C84" s="14">
        <f t="shared" si="7"/>
        <v>9.621862324867438</v>
      </c>
      <c r="D84" s="12">
        <f t="shared" si="8"/>
        <v>0.19352032111724393</v>
      </c>
      <c r="E84" s="25">
        <f>visualmagnitude($B$2,astrodaysfromdt(A84))</f>
        <v>-1.9834953712706367</v>
      </c>
      <c r="F84" s="15">
        <f>apparentsize($B$2, astrodaysfromdt(A84))</f>
        <v>34.58995611006047</v>
      </c>
    </row>
    <row r="85" spans="1:6">
      <c r="A85" s="1">
        <f t="shared" si="9"/>
        <v>44701</v>
      </c>
      <c r="B85" s="12">
        <f t="shared" si="10"/>
        <v>0.34908173388579078</v>
      </c>
      <c r="C85" s="14">
        <f t="shared" si="7"/>
        <v>15.42067075730677</v>
      </c>
      <c r="D85" s="12">
        <f t="shared" si="8"/>
        <v>0.17066125643311827</v>
      </c>
      <c r="E85" s="25">
        <f>visualmagnitude($B$2,astrodaysfromdt(A85))</f>
        <v>-2.0766555705572829</v>
      </c>
      <c r="F85" s="15">
        <f>apparentsize($B$2, astrodaysfromdt(A85))</f>
        <v>36.084073439834199</v>
      </c>
    </row>
    <row r="86" spans="1:6">
      <c r="A86" s="1">
        <f t="shared" si="9"/>
        <v>44721</v>
      </c>
      <c r="B86" s="12">
        <f t="shared" si="10"/>
        <v>0.30245502476241831</v>
      </c>
      <c r="C86" s="14">
        <f t="shared" si="7"/>
        <v>23.235765161533312</v>
      </c>
      <c r="D86" s="12">
        <f t="shared" si="8"/>
        <v>0.1584425301393555</v>
      </c>
      <c r="E86" s="25">
        <f>visualmagnitude($B$2,astrodaysfromdt(A86))</f>
        <v>-2.1929152891047958</v>
      </c>
      <c r="F86" s="15">
        <f>apparentsize($B$2, astrodaysfromdt(A86))</f>
        <v>38.047060575327571</v>
      </c>
    </row>
    <row r="87" spans="1:6">
      <c r="A87" s="1">
        <f t="shared" si="9"/>
        <v>44741</v>
      </c>
      <c r="B87" s="12">
        <f t="shared" si="10"/>
        <v>0.25356033919245408</v>
      </c>
      <c r="C87" s="14">
        <f t="shared" si="7"/>
        <v>32.506913782485398</v>
      </c>
      <c r="D87" s="12">
        <f t="shared" si="8"/>
        <v>0.16006216974298107</v>
      </c>
      <c r="E87" s="25">
        <f>visualmagnitude($B$2,astrodaysfromdt(A87))</f>
        <v>-2.3266079842078589</v>
      </c>
      <c r="F87" s="15">
        <f>apparentsize($B$2, astrodaysfromdt(A87))</f>
        <v>40.442312068119364</v>
      </c>
    </row>
    <row r="88" spans="1:6">
      <c r="A88" s="1">
        <f t="shared" si="9"/>
        <v>44761</v>
      </c>
      <c r="B88" s="12">
        <f t="shared" si="10"/>
        <v>0.20184492020542466</v>
      </c>
      <c r="C88" s="14">
        <f t="shared" si="7"/>
        <v>39.461226898888611</v>
      </c>
      <c r="D88" s="12">
        <f t="shared" si="8"/>
        <v>0.17393547993653127</v>
      </c>
      <c r="E88" s="25">
        <f>visualmagnitude($B$2,astrodaysfromdt(A88))</f>
        <v>-2.4682823903134636</v>
      </c>
      <c r="F88" s="15">
        <f>apparentsize($B$2, astrodaysfromdt(A88))</f>
        <v>43.14910759499098</v>
      </c>
    </row>
    <row r="89" spans="1:6">
      <c r="A89" s="1">
        <f t="shared" si="9"/>
        <v>44781</v>
      </c>
      <c r="B89" s="12">
        <f t="shared" si="10"/>
        <v>0.14689199007978301</v>
      </c>
      <c r="C89" s="14">
        <f t="shared" si="7"/>
        <v>40.002424486640095</v>
      </c>
      <c r="D89" s="12">
        <f t="shared" si="8"/>
        <v>0.14689199007978301</v>
      </c>
      <c r="E89" s="25">
        <f>visualmagnitude($B$2,astrodaysfromdt(A89))</f>
        <v>-2.6032043722621774</v>
      </c>
      <c r="F89" s="15">
        <f>apparentsize($B$2, astrodaysfromdt(A89))</f>
        <v>45.896744620470606</v>
      </c>
    </row>
    <row r="90" spans="1:6">
      <c r="A90" s="1">
        <f t="shared" si="9"/>
        <v>44801</v>
      </c>
      <c r="B90" s="12">
        <f t="shared" si="10"/>
        <v>8.8703449626145695E-2</v>
      </c>
      <c r="C90" s="14">
        <f t="shared" si="7"/>
        <v>39.38111837096686</v>
      </c>
      <c r="D90" s="12">
        <f t="shared" si="8"/>
        <v>8.8703449626145695E-2</v>
      </c>
      <c r="E90" s="25">
        <f>visualmagnitude($B$2,astrodaysfromdt(A90))</f>
        <v>-2.7112405283702845</v>
      </c>
      <c r="F90" s="15">
        <f>apparentsize($B$2, astrodaysfromdt(A90))</f>
        <v>48.221052712749156</v>
      </c>
    </row>
    <row r="91" spans="1:6">
      <c r="A91" s="1">
        <f t="shared" si="9"/>
        <v>44821</v>
      </c>
      <c r="B91" s="12">
        <f t="shared" si="10"/>
        <v>2.8035290574698706E-2</v>
      </c>
      <c r="C91" s="14">
        <f t="shared" si="7"/>
        <v>38.412304593615772</v>
      </c>
      <c r="D91" s="12">
        <f t="shared" si="8"/>
        <v>2.8035290574698706E-2</v>
      </c>
      <c r="E91" s="25">
        <f>visualmagnitude($B$2,astrodaysfromdt(A91))</f>
        <v>-2.7706226090738229</v>
      </c>
      <c r="F91" s="15">
        <f>apparentsize($B$2, astrodaysfromdt(A91))</f>
        <v>49.542441872952224</v>
      </c>
    </row>
    <row r="92" spans="1:6">
      <c r="A92" s="1">
        <f t="shared" si="9"/>
        <v>44841</v>
      </c>
      <c r="B92" s="12">
        <f t="shared" si="10"/>
        <v>0.96648741486694945</v>
      </c>
      <c r="C92" s="14">
        <f t="shared" si="7"/>
        <v>37.298786873369778</v>
      </c>
      <c r="D92" s="12">
        <f t="shared" si="8"/>
        <v>0.96648741486694945</v>
      </c>
      <c r="E92" s="25">
        <f>visualmagnitude($B$2,astrodaysfromdt(A92))</f>
        <v>-2.7665248181832465</v>
      </c>
      <c r="F92" s="15">
        <f>apparentsize($B$2, astrodaysfromdt(A92))</f>
        <v>49.435007337842109</v>
      </c>
    </row>
    <row r="93" spans="1:6">
      <c r="A93" s="1">
        <f t="shared" si="9"/>
        <v>44861</v>
      </c>
      <c r="B93" s="12">
        <f t="shared" si="10"/>
        <v>0.90605107126526641</v>
      </c>
      <c r="C93" s="14">
        <f t="shared" si="7"/>
        <v>36.484032982895954</v>
      </c>
      <c r="D93" s="12">
        <f t="shared" si="8"/>
        <v>0.90605107126526641</v>
      </c>
      <c r="E93" s="25">
        <f>visualmagnitude($B$2,astrodaysfromdt(A93))</f>
        <v>-2.6993998184098738</v>
      </c>
      <c r="F93" s="15">
        <f>apparentsize($B$2, astrodaysfromdt(A93))</f>
        <v>47.91805996845131</v>
      </c>
    </row>
    <row r="94" spans="1:6">
      <c r="A94" s="1">
        <f t="shared" si="9"/>
        <v>44881</v>
      </c>
      <c r="B94" s="12">
        <f t="shared" si="10"/>
        <v>0.84833050909526142</v>
      </c>
      <c r="C94" s="14">
        <f t="shared" si="7"/>
        <v>36.133212417013446</v>
      </c>
      <c r="D94" s="12">
        <f t="shared" si="8"/>
        <v>0.84833050909526142</v>
      </c>
      <c r="E94" s="25">
        <f>visualmagnitude($B$2,astrodaysfromdt(A94))</f>
        <v>-2.5849959205958095</v>
      </c>
      <c r="F94" s="15">
        <f>apparentsize($B$2, astrodaysfromdt(A94))</f>
        <v>45.449164856742847</v>
      </c>
    </row>
    <row r="95" spans="1:6">
      <c r="A95" s="1">
        <f t="shared" si="9"/>
        <v>44901</v>
      </c>
      <c r="B95" s="12">
        <f t="shared" si="10"/>
        <v>0.79406616948330822</v>
      </c>
      <c r="C95" s="14">
        <f t="shared" si="7"/>
        <v>36.333433438857796</v>
      </c>
      <c r="D95" s="12">
        <f t="shared" si="8"/>
        <v>0.79406616948330822</v>
      </c>
      <c r="E95" s="25">
        <f>visualmagnitude($B$2,astrodaysfromdt(A95))</f>
        <v>-2.4459719781103075</v>
      </c>
      <c r="F95" s="15">
        <f>apparentsize($B$2, astrodaysfromdt(A95))</f>
        <v>42.623773552564863</v>
      </c>
    </row>
    <row r="96" spans="1:6">
      <c r="A96" s="1">
        <f t="shared" si="9"/>
        <v>44921</v>
      </c>
      <c r="B96" s="12">
        <f t="shared" si="10"/>
        <v>0.74320936022837703</v>
      </c>
      <c r="C96" s="14">
        <f t="shared" si="7"/>
        <v>37.057105298908063</v>
      </c>
      <c r="D96" s="12">
        <f t="shared" si="8"/>
        <v>0.74320936022837703</v>
      </c>
      <c r="E96" s="25">
        <f>visualmagnitude($B$2,astrodaysfromdt(A96))</f>
        <v>-2.3031571109055351</v>
      </c>
      <c r="F96" s="15">
        <f>apparentsize($B$2, astrodaysfromdt(A96))</f>
        <v>39.90669763820538</v>
      </c>
    </row>
    <row r="97" spans="1:6">
      <c r="A97" s="1">
        <f t="shared" si="9"/>
        <v>44941</v>
      </c>
      <c r="B97" s="12">
        <f t="shared" si="10"/>
        <v>0.69526484390709953</v>
      </c>
      <c r="C97" s="14">
        <f t="shared" si="7"/>
        <v>38.216307574960368</v>
      </c>
      <c r="D97" s="12">
        <f t="shared" si="8"/>
        <v>0.69526484390709953</v>
      </c>
      <c r="E97" s="25">
        <f>visualmagnitude($B$2,astrodaysfromdt(A97))</f>
        <v>-2.1716258751382904</v>
      </c>
      <c r="F97" s="15">
        <f>apparentsize($B$2, astrodaysfromdt(A97))</f>
        <v>37.559712258125849</v>
      </c>
    </row>
    <row r="98" spans="1:6">
      <c r="A98" s="1">
        <f t="shared" si="9"/>
        <v>44961</v>
      </c>
      <c r="B98" s="12">
        <f t="shared" si="10"/>
        <v>0.64959108572382906</v>
      </c>
      <c r="C98" s="14">
        <f t="shared" si="7"/>
        <v>36.709221861166881</v>
      </c>
      <c r="D98" s="12">
        <f t="shared" si="8"/>
        <v>0.70648639386427936</v>
      </c>
      <c r="E98" s="25">
        <f>visualmagnitude($B$2,astrodaysfromdt(A98))</f>
        <v>-2.0607353645465505</v>
      </c>
      <c r="F98" s="15">
        <f>apparentsize($B$2, astrodaysfromdt(A98))</f>
        <v>35.690340221608814</v>
      </c>
    </row>
    <row r="99" spans="1:6">
      <c r="A99" s="1">
        <f t="shared" si="9"/>
        <v>44981</v>
      </c>
      <c r="B99" s="12">
        <f t="shared" si="10"/>
        <v>0.60556400334947325</v>
      </c>
      <c r="C99" s="14">
        <f t="shared" si="7"/>
        <v>28.214748594136591</v>
      </c>
      <c r="D99" s="12">
        <f t="shared" si="8"/>
        <v>0.73206567432379888</v>
      </c>
      <c r="E99" s="25">
        <f>visualmagnitude($B$2,astrodaysfromdt(A99))</f>
        <v>-1.975631162224009</v>
      </c>
      <c r="F99" s="15">
        <f>apparentsize($B$2, astrodaysfromdt(A99))</f>
        <v>34.320821357725904</v>
      </c>
    </row>
    <row r="100" spans="1:6">
      <c r="A100" s="1">
        <f t="shared" si="9"/>
        <v>45001</v>
      </c>
      <c r="B100" s="12">
        <f t="shared" si="10"/>
        <v>0.56263504832453359</v>
      </c>
      <c r="C100" s="14">
        <f t="shared" si="7"/>
        <v>16.095065354248348</v>
      </c>
      <c r="D100" s="12">
        <f t="shared" si="8"/>
        <v>0.75661636250355058</v>
      </c>
      <c r="E100" s="25">
        <f>visualmagnitude($B$2,astrodaysfromdt(A100))</f>
        <v>-1.918772178077617</v>
      </c>
      <c r="F100" s="15">
        <f>apparentsize($B$2, astrodaysfromdt(A100))</f>
        <v>33.437419984017261</v>
      </c>
    </row>
    <row r="101" spans="1:6">
      <c r="A101" s="1">
        <f t="shared" si="9"/>
        <v>45021</v>
      </c>
      <c r="B101" s="12">
        <f t="shared" si="10"/>
        <v>0.52033227044861774</v>
      </c>
      <c r="C101" s="14">
        <f t="shared" ref="C101:C132" si="11">isvisible(B$2,A101,$B$1,$C$1,$C$2,1,temp,pres)</f>
        <v>0</v>
      </c>
      <c r="D101" s="12">
        <f t="shared" ref="D101:D132" si="12">isvisible(B$2,A101,$B$1,$C$1,$C$2,2,temp,pres)</f>
        <v>0</v>
      </c>
      <c r="E101" s="25">
        <f>visualmagnitude($B$2,astrodaysfromdt(A101))</f>
        <v>-1.891044632367987</v>
      </c>
      <c r="F101" s="15">
        <f>apparentsize($B$2, astrodaysfromdt(A101))</f>
        <v>33.018066275550346</v>
      </c>
    </row>
    <row r="102" spans="1:6">
      <c r="A102" s="1">
        <f t="shared" ref="A102:A133" si="13">DATE(YEAR(A101), IF(unt="m",intvl,0)+MONTH(A101), IF(unt="m", 0,intvl)+DAY(A101))</f>
        <v>45041</v>
      </c>
      <c r="B102" s="12">
        <f t="shared" si="10"/>
        <v>0.47823617280433317</v>
      </c>
      <c r="C102" s="14">
        <f t="shared" si="11"/>
        <v>0</v>
      </c>
      <c r="D102" s="12">
        <f t="shared" si="12"/>
        <v>0</v>
      </c>
      <c r="E102" s="25">
        <f>visualmagnitude($B$2,astrodaysfromdt(A102))</f>
        <v>-1.8924610851076373</v>
      </c>
      <c r="F102" s="15">
        <f>apparentsize($B$2, astrodaysfromdt(A102))</f>
        <v>33.045783082602732</v>
      </c>
    </row>
    <row r="103" spans="1:6">
      <c r="A103" s="1">
        <f t="shared" si="13"/>
        <v>45061</v>
      </c>
      <c r="B103" s="12">
        <f t="shared" si="10"/>
        <v>0.43594611503335773</v>
      </c>
      <c r="C103" s="14">
        <f t="shared" si="11"/>
        <v>6.1634012126162663</v>
      </c>
      <c r="D103" s="12">
        <f t="shared" si="12"/>
        <v>0.17581004316077098</v>
      </c>
      <c r="E103" s="25">
        <f>visualmagnitude($B$2,astrodaysfromdt(A103))</f>
        <v>-1.9225274997633637</v>
      </c>
      <c r="F103" s="15">
        <f>apparentsize($B$2, astrodaysfromdt(A103))</f>
        <v>33.514074228967111</v>
      </c>
    </row>
    <row r="104" spans="1:6">
      <c r="A104" s="1">
        <f t="shared" si="13"/>
        <v>45081</v>
      </c>
      <c r="B104" s="12">
        <f t="shared" si="10"/>
        <v>0.39304419492940729</v>
      </c>
      <c r="C104" s="14">
        <f t="shared" si="11"/>
        <v>13.333581957117996</v>
      </c>
      <c r="D104" s="12">
        <f t="shared" si="12"/>
        <v>0.1603796187788912</v>
      </c>
      <c r="E104" s="25">
        <f>visualmagnitude($B$2,astrodaysfromdt(A104))</f>
        <v>-1.9803331345202813</v>
      </c>
      <c r="F104" s="15">
        <f>apparentsize($B$2, astrodaysfromdt(A104))</f>
        <v>34.427366673013843</v>
      </c>
    </row>
    <row r="105" spans="1:6">
      <c r="A105" s="1">
        <f t="shared" si="13"/>
        <v>45101</v>
      </c>
      <c r="B105" s="12">
        <f t="shared" si="10"/>
        <v>0.34906054255186647</v>
      </c>
      <c r="C105" s="14">
        <f t="shared" si="11"/>
        <v>23.578086826417227</v>
      </c>
      <c r="D105" s="12">
        <f t="shared" si="12"/>
        <v>0.15828584357388653</v>
      </c>
      <c r="E105" s="25">
        <f>visualmagnitude($B$2,astrodaysfromdt(A105))</f>
        <v>-2.0643618873197473</v>
      </c>
      <c r="F105" s="15">
        <f>apparentsize($B$2, astrodaysfromdt(A105))</f>
        <v>35.79678286841461</v>
      </c>
    </row>
    <row r="106" spans="1:6">
      <c r="A106" s="1">
        <f t="shared" si="13"/>
        <v>45121</v>
      </c>
      <c r="B106" s="12">
        <f t="shared" si="10"/>
        <v>0.30344587778029525</v>
      </c>
      <c r="C106" s="14">
        <f t="shared" si="11"/>
        <v>36.366149404080574</v>
      </c>
      <c r="D106" s="12">
        <f t="shared" si="12"/>
        <v>0.16940920873637375</v>
      </c>
      <c r="E106" s="25">
        <f>visualmagnitude($B$2,astrodaysfromdt(A106))</f>
        <v>-2.1719623845973448</v>
      </c>
      <c r="F106" s="15">
        <f>apparentsize($B$2, astrodaysfromdt(A106))</f>
        <v>37.628721767663052</v>
      </c>
    </row>
    <row r="107" spans="1:6">
      <c r="A107" s="1">
        <f t="shared" si="13"/>
        <v>45141</v>
      </c>
      <c r="B107" s="12">
        <f t="shared" si="10"/>
        <v>0.25556534558779287</v>
      </c>
      <c r="C107" s="14">
        <f t="shared" si="11"/>
        <v>48.411311452440422</v>
      </c>
      <c r="D107" s="12">
        <f t="shared" si="12"/>
        <v>0.18874213025565514</v>
      </c>
      <c r="E107" s="25">
        <f>visualmagnitude($B$2,astrodaysfromdt(A107))</f>
        <v>-2.2983672235251089</v>
      </c>
      <c r="F107" s="15">
        <f>apparentsize($B$2, astrodaysfromdt(A107))</f>
        <v>39.900546048642767</v>
      </c>
    </row>
    <row r="108" spans="1:6">
      <c r="A108" s="1">
        <f t="shared" si="13"/>
        <v>45161</v>
      </c>
      <c r="B108" s="12">
        <f t="shared" si="10"/>
        <v>0.2047447643414945</v>
      </c>
      <c r="C108" s="14">
        <f t="shared" si="11"/>
        <v>53.381571384438338</v>
      </c>
      <c r="D108" s="12">
        <f t="shared" si="12"/>
        <v>0.2047447643414945</v>
      </c>
      <c r="E108" s="25">
        <f>visualmagnitude($B$2,astrodaysfromdt(A108))</f>
        <v>-2.4351959350472443</v>
      </c>
      <c r="F108" s="15">
        <f>apparentsize($B$2, astrodaysfromdt(A108))</f>
        <v>42.515535056920676</v>
      </c>
    </row>
    <row r="109" spans="1:6">
      <c r="A109" s="1">
        <f t="shared" si="13"/>
        <v>45181</v>
      </c>
      <c r="B109" s="12">
        <f t="shared" si="10"/>
        <v>0.15042336190992719</v>
      </c>
      <c r="C109" s="14">
        <f t="shared" si="11"/>
        <v>53.357682722545384</v>
      </c>
      <c r="D109" s="12">
        <f t="shared" si="12"/>
        <v>0.15042336190992719</v>
      </c>
      <c r="E109" s="25">
        <f>visualmagnitude($B$2,astrodaysfromdt(A109))</f>
        <v>-2.5687281836281159</v>
      </c>
      <c r="F109" s="15">
        <f>apparentsize($B$2, astrodaysfromdt(A109))</f>
        <v>45.235757200263635</v>
      </c>
    </row>
    <row r="110" spans="1:6">
      <c r="A110" s="1">
        <f t="shared" si="13"/>
        <v>45201</v>
      </c>
      <c r="B110" s="12">
        <f t="shared" si="10"/>
        <v>9.2463192788014847E-2</v>
      </c>
      <c r="C110" s="14">
        <f t="shared" si="11"/>
        <v>52.965994745824077</v>
      </c>
      <c r="D110" s="12">
        <f t="shared" si="12"/>
        <v>9.2463192788014847E-2</v>
      </c>
      <c r="E110" s="25">
        <f>visualmagnitude($B$2,astrodaysfromdt(A110))</f>
        <v>-2.6792260427455239</v>
      </c>
      <c r="F110" s="15">
        <f>apparentsize($B$2, astrodaysfromdt(A110))</f>
        <v>47.624577400524423</v>
      </c>
    </row>
    <row r="111" spans="1:6">
      <c r="A111" s="1">
        <f t="shared" si="13"/>
        <v>45221</v>
      </c>
      <c r="B111" s="12">
        <f t="shared" si="10"/>
        <v>3.1548201603436965E-2</v>
      </c>
      <c r="C111" s="14">
        <f t="shared" si="11"/>
        <v>52.274886038917501</v>
      </c>
      <c r="D111" s="12">
        <f t="shared" si="12"/>
        <v>3.1548201603436965E-2</v>
      </c>
      <c r="E111" s="25">
        <f>visualmagnitude($B$2,astrodaysfromdt(A111))</f>
        <v>-2.743937777274672</v>
      </c>
      <c r="F111" s="15">
        <f>apparentsize($B$2, astrodaysfromdt(A111))</f>
        <v>49.09526365745009</v>
      </c>
    </row>
    <row r="112" spans="1:6">
      <c r="A112" s="1">
        <f t="shared" si="13"/>
        <v>45241</v>
      </c>
      <c r="B112" s="12">
        <f t="shared" si="10"/>
        <v>0.96934561993399926</v>
      </c>
      <c r="C112" s="14">
        <f t="shared" si="11"/>
        <v>51.403419893677061</v>
      </c>
      <c r="D112" s="12">
        <f t="shared" si="12"/>
        <v>0.96934561993399926</v>
      </c>
      <c r="E112" s="25">
        <f>visualmagnitude($B$2,astrodaysfromdt(A112))</f>
        <v>-2.7455651489389035</v>
      </c>
      <c r="F112" s="15">
        <f>apparentsize($B$2, astrodaysfromdt(A112))</f>
        <v>49.163439683035655</v>
      </c>
    </row>
    <row r="113" spans="1:6">
      <c r="A113" s="1">
        <f t="shared" si="13"/>
        <v>45261</v>
      </c>
      <c r="B113" s="12">
        <f t="shared" si="10"/>
        <v>0.90804474502920451</v>
      </c>
      <c r="C113" s="14">
        <f t="shared" si="11"/>
        <v>50.711210306254301</v>
      </c>
      <c r="D113" s="12">
        <f t="shared" si="12"/>
        <v>0.90804474502920451</v>
      </c>
      <c r="E113" s="25">
        <f>visualmagnitude($B$2,astrodaysfromdt(A113))</f>
        <v>-2.6819396035189835</v>
      </c>
      <c r="F113" s="15">
        <f>apparentsize($B$2, astrodaysfromdt(A113))</f>
        <v>47.775420603092904</v>
      </c>
    </row>
    <row r="114" spans="1:6">
      <c r="A114" s="1">
        <f t="shared" si="13"/>
        <v>45281</v>
      </c>
      <c r="B114" s="12">
        <f t="shared" si="10"/>
        <v>0.84946746187033761</v>
      </c>
      <c r="C114" s="14">
        <f t="shared" si="11"/>
        <v>50.364597029892778</v>
      </c>
      <c r="D114" s="12">
        <f t="shared" si="12"/>
        <v>0.84946746187033761</v>
      </c>
      <c r="E114" s="25">
        <f>visualmagnitude($B$2,astrodaysfromdt(A114))</f>
        <v>-2.567719983859134</v>
      </c>
      <c r="F114" s="15">
        <f>apparentsize($B$2, astrodaysfromdt(A114))</f>
        <v>45.358879722478342</v>
      </c>
    </row>
    <row r="115" spans="1:6">
      <c r="A115" s="1">
        <f t="shared" si="13"/>
        <v>45301</v>
      </c>
      <c r="B115" s="12">
        <f t="shared" si="10"/>
        <v>0.79449472990116232</v>
      </c>
      <c r="C115" s="14">
        <f t="shared" si="11"/>
        <v>50.466263183245921</v>
      </c>
      <c r="D115" s="12">
        <f t="shared" si="12"/>
        <v>0.79449472990116232</v>
      </c>
      <c r="E115" s="25">
        <f>visualmagnitude($B$2,astrodaysfromdt(A115))</f>
        <v>-2.4261503638968196</v>
      </c>
      <c r="F115" s="15">
        <f>apparentsize($B$2, astrodaysfromdt(A115))</f>
        <v>42.527491228703575</v>
      </c>
    </row>
    <row r="116" spans="1:6">
      <c r="A116" s="1">
        <f t="shared" si="13"/>
        <v>45321</v>
      </c>
      <c r="B116" s="12">
        <f t="shared" si="10"/>
        <v>0.74313710989723736</v>
      </c>
      <c r="C116" s="14">
        <f t="shared" si="11"/>
        <v>50.999885790640583</v>
      </c>
      <c r="D116" s="12">
        <f t="shared" si="12"/>
        <v>0.74313710989723736</v>
      </c>
      <c r="E116" s="25">
        <f>visualmagnitude($B$2,astrodaysfromdt(A116))</f>
        <v>-2.2792338321703749</v>
      </c>
      <c r="F116" s="15">
        <f>apparentsize($B$2, astrodaysfromdt(A116))</f>
        <v>39.776829180992557</v>
      </c>
    </row>
    <row r="117" spans="1:6">
      <c r="A117" s="1">
        <f t="shared" si="13"/>
        <v>45341</v>
      </c>
      <c r="B117" s="12">
        <f t="shared" si="10"/>
        <v>0.69491813943753067</v>
      </c>
      <c r="C117" s="14">
        <f t="shared" si="11"/>
        <v>50.760575447889359</v>
      </c>
      <c r="D117" s="12">
        <f t="shared" si="12"/>
        <v>0.72542301200089854</v>
      </c>
      <c r="E117" s="25">
        <f>visualmagnitude($B$2,astrodaysfromdt(A117))</f>
        <v>-2.1429409001140729</v>
      </c>
      <c r="F117" s="15">
        <f>apparentsize($B$2, astrodaysfromdt(A117))</f>
        <v>37.38842087726939</v>
      </c>
    </row>
    <row r="118" spans="1:6">
      <c r="A118" s="1">
        <f t="shared" si="13"/>
        <v>45361</v>
      </c>
      <c r="B118" s="12">
        <f t="shared" si="10"/>
        <v>0.64920320435168999</v>
      </c>
      <c r="C118" s="14">
        <f t="shared" si="11"/>
        <v>42.728010887910699</v>
      </c>
      <c r="D118" s="12">
        <f t="shared" si="12"/>
        <v>0.75029555474394238</v>
      </c>
      <c r="E118" s="25">
        <f>visualmagnitude($B$2,astrodaysfromdt(A118))</f>
        <v>-2.027043136102368</v>
      </c>
      <c r="F118" s="15">
        <f>apparentsize($B$2, astrodaysfromdt(A118))</f>
        <v>35.476646510750726</v>
      </c>
    </row>
    <row r="119" spans="1:6">
      <c r="A119" s="1">
        <f t="shared" si="13"/>
        <v>45381</v>
      </c>
      <c r="B119" s="12">
        <f t="shared" si="10"/>
        <v>0.60537042363947513</v>
      </c>
      <c r="C119" s="14">
        <f t="shared" si="11"/>
        <v>30.184844890012606</v>
      </c>
      <c r="D119" s="12">
        <f t="shared" si="12"/>
        <v>0.77413019741407874</v>
      </c>
      <c r="E119" s="25">
        <f>visualmagnitude($B$2,astrodaysfromdt(A119))</f>
        <v>-1.9367615534833051</v>
      </c>
      <c r="F119" s="15">
        <f>apparentsize($B$2, astrodaysfromdt(A119))</f>
        <v>34.063378483866785</v>
      </c>
    </row>
    <row r="120" spans="1:6">
      <c r="A120" s="1">
        <f t="shared" si="13"/>
        <v>45401</v>
      </c>
      <c r="B120" s="12">
        <f t="shared" si="10"/>
        <v>0.5628655375615701</v>
      </c>
      <c r="C120" s="14">
        <f t="shared" si="11"/>
        <v>16.581050931066454</v>
      </c>
      <c r="D120" s="12">
        <f t="shared" si="12"/>
        <v>0.7976567325088092</v>
      </c>
      <c r="E120" s="25">
        <f>visualmagnitude($B$2,astrodaysfromdt(A120))</f>
        <v>-1.8744817431962968</v>
      </c>
      <c r="F120" s="15">
        <f>apparentsize($B$2, astrodaysfromdt(A120))</f>
        <v>33.131954268565018</v>
      </c>
    </row>
    <row r="121" spans="1:6">
      <c r="A121" s="1">
        <f t="shared" si="13"/>
        <v>45421</v>
      </c>
      <c r="B121" s="12">
        <f t="shared" si="10"/>
        <v>0.52119849974180721</v>
      </c>
      <c r="C121" s="14">
        <f t="shared" si="11"/>
        <v>0</v>
      </c>
      <c r="D121" s="12">
        <f t="shared" si="12"/>
        <v>0</v>
      </c>
      <c r="E121" s="25">
        <f>visualmagnitude($B$2,astrodaysfromdt(A121))</f>
        <v>-1.8409984927255694</v>
      </c>
      <c r="F121" s="15">
        <f>apparentsize($B$2, astrodaysfromdt(A121))</f>
        <v>32.657092909941632</v>
      </c>
    </row>
    <row r="122" spans="1:6">
      <c r="A122" s="1">
        <f t="shared" si="13"/>
        <v>45441</v>
      </c>
      <c r="B122" s="12">
        <f t="shared" si="10"/>
        <v>0.47991724644498229</v>
      </c>
      <c r="C122" s="14">
        <f t="shared" si="11"/>
        <v>0</v>
      </c>
      <c r="D122" s="12">
        <f t="shared" si="12"/>
        <v>0</v>
      </c>
      <c r="E122" s="25">
        <f>visualmagnitude($B$2,astrodaysfromdt(A122))</f>
        <v>-1.8362802017065949</v>
      </c>
      <c r="F122" s="15">
        <f>apparentsize($B$2, astrodaysfromdt(A122))</f>
        <v>32.619071433172195</v>
      </c>
    </row>
    <row r="123" spans="1:6">
      <c r="A123" s="1">
        <f t="shared" si="13"/>
        <v>45461</v>
      </c>
      <c r="B123" s="12">
        <f t="shared" si="10"/>
        <v>0.43857506736771906</v>
      </c>
      <c r="C123" s="14">
        <f t="shared" si="11"/>
        <v>9.5224704461778185</v>
      </c>
      <c r="D123" s="12">
        <f t="shared" si="12"/>
        <v>0.15744929034227004</v>
      </c>
      <c r="E123" s="25">
        <f>visualmagnitude($B$2,astrodaysfromdt(A123))</f>
        <v>-1.8598590892643858</v>
      </c>
      <c r="F123" s="15">
        <f>apparentsize($B$2, astrodaysfromdt(A123))</f>
        <v>33.009221343813721</v>
      </c>
    </row>
    <row r="124" spans="1:6">
      <c r="A124" s="1">
        <f t="shared" si="13"/>
        <v>45481</v>
      </c>
      <c r="B124" s="12">
        <f t="shared" si="10"/>
        <v>0.39669797484400715</v>
      </c>
      <c r="C124" s="14">
        <f t="shared" si="11"/>
        <v>20.731599512144456</v>
      </c>
      <c r="D124" s="12">
        <f t="shared" si="12"/>
        <v>0.16544689762106915</v>
      </c>
      <c r="E124" s="25">
        <f>visualmagnitude($B$2,astrodaysfromdt(A124))</f>
        <v>-1.9109244032019004</v>
      </c>
      <c r="F124" s="15">
        <f>apparentsize($B$2, astrodaysfromdt(A124))</f>
        <v>33.830368396106458</v>
      </c>
    </row>
    <row r="125" spans="1:6">
      <c r="A125" s="1">
        <f t="shared" si="13"/>
        <v>45501</v>
      </c>
      <c r="B125" s="12">
        <f t="shared" si="10"/>
        <v>0.35375489994295867</v>
      </c>
      <c r="C125" s="14">
        <f t="shared" si="11"/>
        <v>34.574994190349237</v>
      </c>
      <c r="D125" s="12">
        <f t="shared" si="12"/>
        <v>0.18322748164765176</v>
      </c>
      <c r="E125" s="25">
        <f>visualmagnitude($B$2,astrodaysfromdt(A125))</f>
        <v>-1.9881316342425037</v>
      </c>
      <c r="F125" s="15">
        <f>apparentsize($B$2, astrodaysfromdt(A125))</f>
        <v>35.092797463512817</v>
      </c>
    </row>
    <row r="126" spans="1:6">
      <c r="A126" s="1">
        <f t="shared" si="13"/>
        <v>45521</v>
      </c>
      <c r="B126" s="12">
        <f t="shared" si="10"/>
        <v>0.30913491624182249</v>
      </c>
      <c r="C126" s="14">
        <f t="shared" si="11"/>
        <v>48.678172651140777</v>
      </c>
      <c r="D126" s="12">
        <f t="shared" si="12"/>
        <v>0.20500502018403244</v>
      </c>
      <c r="E126" s="25">
        <f>visualmagnitude($B$2,astrodaysfromdt(A126))</f>
        <v>-2.0890717302863333</v>
      </c>
      <c r="F126" s="15">
        <f>apparentsize($B$2, astrodaysfromdt(A126))</f>
        <v>36.80346770912687</v>
      </c>
    </row>
    <row r="127" spans="1:6">
      <c r="A127" s="1">
        <f t="shared" si="13"/>
        <v>45541</v>
      </c>
      <c r="B127" s="12">
        <f t="shared" si="10"/>
        <v>0.2621433591802555</v>
      </c>
      <c r="C127" s="14">
        <f t="shared" si="11"/>
        <v>58.958515662200007</v>
      </c>
      <c r="D127" s="12">
        <f t="shared" si="12"/>
        <v>0.22741480100511799</v>
      </c>
      <c r="E127" s="25">
        <f>visualmagnitude($B$2,astrodaysfromdt(A127))</f>
        <v>-2.2092918449198957</v>
      </c>
      <c r="F127" s="15">
        <f>apparentsize($B$2, astrodaysfromdt(A127))</f>
        <v>38.943064880282151</v>
      </c>
    </row>
    <row r="128" spans="1:6">
      <c r="A128" s="1">
        <f t="shared" si="13"/>
        <v>45561</v>
      </c>
      <c r="B128" s="12">
        <f t="shared" si="10"/>
        <v>0.21204624332924946</v>
      </c>
      <c r="C128" s="14">
        <f t="shared" si="11"/>
        <v>60.549424962853898</v>
      </c>
      <c r="D128" s="12">
        <f t="shared" si="12"/>
        <v>0.21204624332924946</v>
      </c>
      <c r="E128" s="25">
        <f>visualmagnitude($B$2,astrodaysfromdt(A128))</f>
        <v>-2.3407975598748449</v>
      </c>
      <c r="F128" s="15">
        <f>apparentsize($B$2, astrodaysfromdt(A128))</f>
        <v>41.423291347834351</v>
      </c>
    </row>
    <row r="129" spans="1:6">
      <c r="A129" s="1">
        <f t="shared" si="13"/>
        <v>45581</v>
      </c>
      <c r="B129" s="12">
        <f t="shared" si="10"/>
        <v>0.15821894215721391</v>
      </c>
      <c r="C129" s="14">
        <f t="shared" si="11"/>
        <v>60.562854298797788</v>
      </c>
      <c r="D129" s="12">
        <f t="shared" si="12"/>
        <v>0.15821894215721391</v>
      </c>
      <c r="E129" s="25">
        <f>visualmagnitude($B$2,astrodaysfromdt(A129))</f>
        <v>-2.4703060642360684</v>
      </c>
      <c r="F129" s="15">
        <f>apparentsize($B$2, astrodaysfromdt(A129))</f>
        <v>44.022579703094962</v>
      </c>
    </row>
    <row r="130" spans="1:6">
      <c r="A130" s="1">
        <f t="shared" si="13"/>
        <v>45601</v>
      </c>
      <c r="B130" s="12">
        <f t="shared" si="10"/>
        <v>0.10046068445532381</v>
      </c>
      <c r="C130" s="14">
        <f t="shared" si="11"/>
        <v>60.497824041995898</v>
      </c>
      <c r="D130" s="12">
        <f t="shared" si="12"/>
        <v>0.10046068445532381</v>
      </c>
      <c r="E130" s="25">
        <f>visualmagnitude($B$2,astrodaysfromdt(A130))</f>
        <v>-2.5784886819779289</v>
      </c>
      <c r="F130" s="15">
        <f>apparentsize($B$2, astrodaysfromdt(A130))</f>
        <v>46.329142325176541</v>
      </c>
    </row>
    <row r="131" spans="1:6">
      <c r="A131" s="1">
        <f t="shared" si="13"/>
        <v>45621</v>
      </c>
      <c r="B131" s="12">
        <f t="shared" si="10"/>
        <v>3.9427070484887285E-2</v>
      </c>
      <c r="C131" s="14">
        <f t="shared" si="11"/>
        <v>60.351787748030681</v>
      </c>
      <c r="D131" s="12">
        <f t="shared" si="12"/>
        <v>3.9427070484887285E-2</v>
      </c>
      <c r="E131" s="25">
        <f>visualmagnitude($B$2,astrodaysfromdt(A131))</f>
        <v>-2.6427919829663935</v>
      </c>
      <c r="F131" s="15">
        <f>apparentsize($B$2, astrodaysfromdt(A131))</f>
        <v>47.782042047922424</v>
      </c>
    </row>
    <row r="132" spans="1:6">
      <c r="A132" s="1">
        <f t="shared" si="13"/>
        <v>45641</v>
      </c>
      <c r="B132" s="12">
        <f t="shared" si="10"/>
        <v>0.9768469765069393</v>
      </c>
      <c r="C132" s="14">
        <f t="shared" si="11"/>
        <v>60.117464775519316</v>
      </c>
      <c r="D132" s="12">
        <f t="shared" si="12"/>
        <v>0.9768469765069393</v>
      </c>
      <c r="E132" s="25">
        <f>visualmagnitude($B$2,astrodaysfromdt(A132))</f>
        <v>-2.6456876139467589</v>
      </c>
      <c r="F132" s="15">
        <f>apparentsize($B$2, astrodaysfromdt(A132))</f>
        <v>47.906628649225986</v>
      </c>
    </row>
    <row r="133" spans="1:6">
      <c r="A133" s="1">
        <f t="shared" si="13"/>
        <v>45661</v>
      </c>
      <c r="B133" s="12">
        <f t="shared" si="10"/>
        <v>0.91507158300193758</v>
      </c>
      <c r="C133" s="14">
        <f t="shared" ref="C133:C148" si="14">isvisible(B$2,A133,$B$1,$C$1,$C$2,1,temp,pres)</f>
        <v>59.913121530688031</v>
      </c>
      <c r="D133" s="12">
        <f t="shared" ref="D133:D148" si="15">isvisible(B$2,A133,$B$1,$C$1,$C$2,2,temp,pres)</f>
        <v>0.91507158300193758</v>
      </c>
      <c r="E133" s="25">
        <f>visualmagnitude($B$2,astrodaysfromdt(A133))</f>
        <v>-2.5843431672398207</v>
      </c>
      <c r="F133" s="15">
        <f>apparentsize($B$2, astrodaysfromdt(A133))</f>
        <v>46.631470392987111</v>
      </c>
    </row>
    <row r="134" spans="1:6">
      <c r="A134" s="1">
        <f t="shared" ref="A134:A148" si="16">DATE(YEAR(A133), IF(unt="m",intvl,0)+MONTH(A133), IF(unt="m", 0,intvl)+DAY(A133))</f>
        <v>45681</v>
      </c>
      <c r="B134" s="12">
        <f t="shared" ref="B134:B148" si="17">TimeofTransit(B$2,$A134,$B$1, $C$1)/24</f>
        <v>0.85610476228511168</v>
      </c>
      <c r="C134" s="14">
        <f t="shared" si="14"/>
        <v>59.811395287256559</v>
      </c>
      <c r="D134" s="12">
        <f t="shared" si="15"/>
        <v>0.85610476228511168</v>
      </c>
      <c r="E134" s="25">
        <f>visualmagnitude($B$2,astrodaysfromdt(A134))</f>
        <v>-2.4726268799742162</v>
      </c>
      <c r="F134" s="15">
        <f>apparentsize($B$2, astrodaysfromdt(A134))</f>
        <v>44.349882706511018</v>
      </c>
    </row>
    <row r="135" spans="1:6">
      <c r="A135" s="1">
        <f t="shared" si="16"/>
        <v>45701</v>
      </c>
      <c r="B135" s="12">
        <f t="shared" si="17"/>
        <v>0.80093871204254896</v>
      </c>
      <c r="C135" s="14">
        <f t="shared" si="14"/>
        <v>59.873730237421078</v>
      </c>
      <c r="D135" s="12">
        <f t="shared" si="15"/>
        <v>0.80093871204254896</v>
      </c>
      <c r="E135" s="25">
        <f>visualmagnitude($B$2,astrodaysfromdt(A135))</f>
        <v>-2.3331727377003788</v>
      </c>
      <c r="F135" s="15">
        <f>apparentsize($B$2, astrodaysfromdt(A135))</f>
        <v>41.645435503693378</v>
      </c>
    </row>
    <row r="136" spans="1:6">
      <c r="A136" s="1">
        <f t="shared" si="16"/>
        <v>45721</v>
      </c>
      <c r="B136" s="12">
        <f t="shared" si="17"/>
        <v>0.74960640595970596</v>
      </c>
      <c r="C136" s="14">
        <f t="shared" si="14"/>
        <v>60.096463522359649</v>
      </c>
      <c r="D136" s="12">
        <f t="shared" si="15"/>
        <v>0.74960640595970596</v>
      </c>
      <c r="E136" s="25">
        <f>visualmagnitude($B$2,astrodaysfromdt(A136))</f>
        <v>-2.1876146675464896</v>
      </c>
      <c r="F136" s="15">
        <f>apparentsize($B$2, astrodaysfromdt(A136))</f>
        <v>38.997182637198023</v>
      </c>
    </row>
    <row r="137" spans="1:6">
      <c r="A137" s="1">
        <f t="shared" si="16"/>
        <v>45741</v>
      </c>
      <c r="B137" s="12">
        <f t="shared" si="17"/>
        <v>0.70159623064410825</v>
      </c>
      <c r="C137" s="14">
        <f t="shared" si="14"/>
        <v>54.909367015077564</v>
      </c>
      <c r="D137" s="12">
        <f t="shared" si="15"/>
        <v>0.76794060659002794</v>
      </c>
      <c r="E137" s="25">
        <f>visualmagnitude($B$2,astrodaysfromdt(A137))</f>
        <v>-2.0517236998416495</v>
      </c>
      <c r="F137" s="15">
        <f>apparentsize($B$2, astrodaysfromdt(A137))</f>
        <v>36.681210272705222</v>
      </c>
    </row>
    <row r="138" spans="1:6">
      <c r="A138" s="1">
        <f t="shared" si="16"/>
        <v>45761</v>
      </c>
      <c r="B138" s="12">
        <f t="shared" si="17"/>
        <v>0.65621181614053181</v>
      </c>
      <c r="C138" s="14">
        <f t="shared" si="14"/>
        <v>42.419493208929794</v>
      </c>
      <c r="D138" s="12">
        <f t="shared" si="15"/>
        <v>0.791496044940736</v>
      </c>
      <c r="E138" s="25">
        <f>visualmagnitude($B$2,astrodaysfromdt(A138))</f>
        <v>-1.9351919783050235</v>
      </c>
      <c r="F138" s="15">
        <f>apparentsize($B$2, astrodaysfromdt(A138))</f>
        <v>34.81246221996291</v>
      </c>
    </row>
    <row r="139" spans="1:6">
      <c r="A139" s="1">
        <f t="shared" si="16"/>
        <v>45781</v>
      </c>
      <c r="B139" s="12">
        <f t="shared" si="17"/>
        <v>0.61275963029031633</v>
      </c>
      <c r="C139" s="14">
        <f t="shared" si="14"/>
        <v>28.055213203967217</v>
      </c>
      <c r="D139" s="12">
        <f t="shared" si="15"/>
        <v>0.81480659509760833</v>
      </c>
      <c r="E139" s="25">
        <f>visualmagnitude($B$2,astrodaysfromdt(A139))</f>
        <v>-1.8432718322034432</v>
      </c>
      <c r="F139" s="15">
        <f>apparentsize($B$2, astrodaysfromdt(A139))</f>
        <v>33.415965492015005</v>
      </c>
    </row>
    <row r="140" spans="1:6">
      <c r="A140" s="1">
        <f t="shared" si="16"/>
        <v>45801</v>
      </c>
      <c r="B140" s="12">
        <f t="shared" si="17"/>
        <v>0.57061234006900474</v>
      </c>
      <c r="C140" s="14">
        <f t="shared" si="14"/>
        <v>14.491944386614625</v>
      </c>
      <c r="D140" s="12">
        <f t="shared" si="15"/>
        <v>0.83592759925434645</v>
      </c>
      <c r="E140" s="25">
        <f>visualmagnitude($B$2,astrodaysfromdt(A140))</f>
        <v>-1.7784894428666143</v>
      </c>
      <c r="F140" s="15">
        <f>apparentsize($B$2, astrodaysfromdt(A140))</f>
        <v>32.479101772187626</v>
      </c>
    </row>
    <row r="141" spans="1:6">
      <c r="A141" s="1">
        <f t="shared" si="16"/>
        <v>45821</v>
      </c>
      <c r="B141" s="12">
        <f t="shared" si="17"/>
        <v>0.52921185624148204</v>
      </c>
      <c r="C141" s="14">
        <f t="shared" si="14"/>
        <v>0</v>
      </c>
      <c r="D141" s="12">
        <f t="shared" si="15"/>
        <v>0</v>
      </c>
      <c r="E141" s="25">
        <f>visualmagnitude($B$2,astrodaysfromdt(A141))</f>
        <v>-1.7418767795802037</v>
      </c>
      <c r="F141" s="15">
        <f>apparentsize($B$2, astrodaysfromdt(A141))</f>
        <v>31.980778713448434</v>
      </c>
    </row>
    <row r="142" spans="1:6">
      <c r="A142" s="1">
        <f t="shared" si="16"/>
        <v>45841</v>
      </c>
      <c r="B142" s="12">
        <f t="shared" si="17"/>
        <v>0.48804971362670574</v>
      </c>
      <c r="C142" s="14">
        <f t="shared" si="14"/>
        <v>0</v>
      </c>
      <c r="D142" s="12">
        <f t="shared" si="15"/>
        <v>0</v>
      </c>
      <c r="E142" s="25">
        <f>visualmagnitude($B$2,astrodaysfromdt(A142))</f>
        <v>-1.7337094752564115</v>
      </c>
      <c r="F142" s="15">
        <f>apparentsize($B$2, astrodaysfromdt(A142))</f>
        <v>31.905302166783368</v>
      </c>
    </row>
    <row r="143" spans="1:6">
      <c r="A143" s="1">
        <f t="shared" si="16"/>
        <v>45861</v>
      </c>
      <c r="B143" s="12">
        <f t="shared" si="17"/>
        <v>0.44664081068511513</v>
      </c>
      <c r="C143" s="14">
        <f t="shared" si="14"/>
        <v>14.072237599104225</v>
      </c>
      <c r="D143" s="12">
        <f t="shared" si="15"/>
        <v>0.17797105850534334</v>
      </c>
      <c r="E143" s="25">
        <f>visualmagnitude($B$2,astrodaysfromdt(A143))</f>
        <v>-1.7538585011329886</v>
      </c>
      <c r="F143" s="15">
        <f>apparentsize($B$2, astrodaysfromdt(A143))</f>
        <v>32.247726228380841</v>
      </c>
    </row>
    <row r="144" spans="1:6">
      <c r="A144" s="1">
        <f t="shared" si="16"/>
        <v>45881</v>
      </c>
      <c r="B144" s="12">
        <f t="shared" si="17"/>
        <v>0.40449559385082162</v>
      </c>
      <c r="C144" s="14">
        <f t="shared" si="14"/>
        <v>27.560651633997182</v>
      </c>
      <c r="D144" s="12">
        <f t="shared" si="15"/>
        <v>0.19915933792440499</v>
      </c>
      <c r="E144" s="25">
        <f>visualmagnitude($B$2,astrodaysfromdt(A144))</f>
        <v>-1.8018321169343692</v>
      </c>
      <c r="F144" s="15">
        <f>apparentsize($B$2, astrodaysfromdt(A144))</f>
        <v>33.014106975203013</v>
      </c>
    </row>
    <row r="145" spans="1:6">
      <c r="A145" s="1">
        <f t="shared" si="16"/>
        <v>45901</v>
      </c>
      <c r="B145" s="12">
        <f t="shared" si="17"/>
        <v>0.36109238045803477</v>
      </c>
      <c r="C145" s="14">
        <f t="shared" si="14"/>
        <v>41.66437272878364</v>
      </c>
      <c r="D145" s="12">
        <f t="shared" si="15"/>
        <v>0.22154960090697884</v>
      </c>
      <c r="E145" s="25">
        <f>visualmagnitude($B$2,astrodaysfromdt(A145))</f>
        <v>-1.8765164663146348</v>
      </c>
      <c r="F145" s="15">
        <f>apparentsize($B$2, astrodaysfromdt(A145))</f>
        <v>34.217031268043876</v>
      </c>
    </row>
    <row r="146" spans="1:6">
      <c r="A146" s="1">
        <f t="shared" si="16"/>
        <v>45921</v>
      </c>
      <c r="B146" s="12">
        <f t="shared" si="17"/>
        <v>0.31585378354228916</v>
      </c>
      <c r="C146" s="14">
        <f t="shared" si="14"/>
        <v>53.997068968170716</v>
      </c>
      <c r="D146" s="12">
        <f t="shared" si="15"/>
        <v>0.24396514300826388</v>
      </c>
      <c r="E146" s="25">
        <f>visualmagnitude($B$2,astrodaysfromdt(A146))</f>
        <v>-1.9755535842459775</v>
      </c>
      <c r="F146" s="15">
        <f>apparentsize($B$2, astrodaysfromdt(A146))</f>
        <v>35.863880663349647</v>
      </c>
    </row>
    <row r="147" spans="1:6">
      <c r="A147" s="1">
        <f t="shared" si="16"/>
        <v>45941</v>
      </c>
      <c r="B147" s="12">
        <f t="shared" si="17"/>
        <v>0.26814019398613737</v>
      </c>
      <c r="C147" s="14">
        <f t="shared" si="14"/>
        <v>59.600629732908118</v>
      </c>
      <c r="D147" s="12">
        <f t="shared" si="15"/>
        <v>0.26700053249077343</v>
      </c>
      <c r="E147" s="25">
        <f>visualmagnitude($B$2,astrodaysfromdt(A147))</f>
        <v>-2.0942534451327868</v>
      </c>
      <c r="F147" s="15">
        <f>apparentsize($B$2, astrodaysfromdt(A147))</f>
        <v>37.932210192510702</v>
      </c>
    </row>
    <row r="148" spans="1:6">
      <c r="A148" s="1">
        <f t="shared" si="16"/>
        <v>45961</v>
      </c>
      <c r="B148" s="12">
        <f t="shared" si="17"/>
        <v>0.21729196426615127</v>
      </c>
      <c r="C148" s="14">
        <f t="shared" si="14"/>
        <v>59.417050802225511</v>
      </c>
      <c r="D148" s="12">
        <f t="shared" si="15"/>
        <v>0.21729196426615127</v>
      </c>
      <c r="E148" s="25">
        <f>visualmagnitude($B$2,astrodaysfromdt(A148))</f>
        <v>-2.2240132510956743</v>
      </c>
      <c r="F148" s="15">
        <f>apparentsize($B$2, astrodaysfromdt(A148))</f>
        <v>40.325123380886659</v>
      </c>
    </row>
    <row r="149" spans="1:6">
      <c r="A149" s="1"/>
      <c r="B149" s="12"/>
      <c r="C149" s="14"/>
    </row>
    <row r="150" spans="1:6">
      <c r="A150" s="1"/>
      <c r="B150" s="12"/>
      <c r="C150" s="14"/>
    </row>
    <row r="151" spans="1:6">
      <c r="A151" s="1"/>
      <c r="B151" s="12"/>
      <c r="C151" s="14"/>
    </row>
    <row r="152" spans="1:6">
      <c r="A152" s="1"/>
      <c r="B152" s="12"/>
      <c r="C152" s="14"/>
    </row>
    <row r="153" spans="1:6">
      <c r="A153" s="1"/>
      <c r="B153" s="12"/>
      <c r="C153" s="14"/>
    </row>
    <row r="154" spans="1:6">
      <c r="A154" s="1"/>
      <c r="B154" s="8"/>
    </row>
    <row r="155" spans="1:6">
      <c r="A155" s="1"/>
      <c r="B155" s="8"/>
    </row>
    <row r="156" spans="1:6">
      <c r="A156" s="1"/>
      <c r="B156" s="8"/>
    </row>
    <row r="157" spans="1:6">
      <c r="A157" s="1"/>
      <c r="B157" s="8"/>
    </row>
    <row r="158" spans="1:6">
      <c r="A158" s="1"/>
      <c r="B158" s="8"/>
    </row>
    <row r="159" spans="1:6">
      <c r="A159" s="1"/>
      <c r="B159" s="8"/>
    </row>
    <row r="160" spans="1:6">
      <c r="A160" s="1"/>
      <c r="B160" s="8"/>
    </row>
    <row r="161" spans="1:2">
      <c r="A161" s="1"/>
      <c r="B161" s="8"/>
    </row>
    <row r="162" spans="1:2">
      <c r="A162" s="1"/>
      <c r="B162" s="8"/>
    </row>
    <row r="163" spans="1:2">
      <c r="A163" s="1"/>
      <c r="B163" s="8"/>
    </row>
    <row r="164" spans="1:2">
      <c r="A164" s="1"/>
      <c r="B164" s="8"/>
    </row>
    <row r="165" spans="1:2">
      <c r="A165" s="1"/>
      <c r="B165" s="8"/>
    </row>
    <row r="166" spans="1:2">
      <c r="A166" s="1"/>
      <c r="B166" s="8"/>
    </row>
    <row r="167" spans="1:2">
      <c r="A167" s="1"/>
      <c r="B167" s="8"/>
    </row>
    <row r="168" spans="1:2">
      <c r="A168" s="1"/>
      <c r="B168" s="8"/>
    </row>
    <row r="169" spans="1:2">
      <c r="A169" s="1"/>
      <c r="B169" s="8"/>
    </row>
    <row r="170" spans="1:2">
      <c r="A170" s="1"/>
      <c r="B170" s="8"/>
    </row>
    <row r="171" spans="1:2">
      <c r="A171" s="1"/>
      <c r="B171" s="8"/>
    </row>
    <row r="172" spans="1:2">
      <c r="A172" s="1"/>
      <c r="B172" s="8"/>
    </row>
    <row r="173" spans="1:2">
      <c r="A173" s="1"/>
      <c r="B173" s="8"/>
    </row>
    <row r="174" spans="1:2">
      <c r="A174" s="1"/>
      <c r="B174" s="8"/>
    </row>
    <row r="175" spans="1:2">
      <c r="A175" s="1"/>
      <c r="B175" s="8"/>
    </row>
    <row r="176" spans="1:2">
      <c r="A176" s="1"/>
      <c r="B176" s="8"/>
    </row>
    <row r="177" spans="1:2">
      <c r="A177" s="1"/>
      <c r="B177" s="8"/>
    </row>
    <row r="178" spans="1:2">
      <c r="A178" s="1"/>
      <c r="B178" s="8"/>
    </row>
    <row r="179" spans="1:2">
      <c r="A179" s="1"/>
      <c r="B179" s="8"/>
    </row>
    <row r="180" spans="1:2">
      <c r="A180" s="1"/>
      <c r="B180" s="8"/>
    </row>
    <row r="181" spans="1:2">
      <c r="A181" s="1"/>
      <c r="B181" s="8"/>
    </row>
    <row r="182" spans="1:2">
      <c r="A182" s="1"/>
      <c r="B182" s="8"/>
    </row>
    <row r="183" spans="1:2">
      <c r="A183" s="1"/>
      <c r="B183" s="8"/>
    </row>
    <row r="184" spans="1:2">
      <c r="A184" s="1"/>
      <c r="B184" s="8"/>
    </row>
    <row r="185" spans="1:2">
      <c r="A185" s="1"/>
      <c r="B185" s="8"/>
    </row>
    <row r="186" spans="1:2">
      <c r="A186" s="1"/>
      <c r="B186" s="8"/>
    </row>
    <row r="187" spans="1:2">
      <c r="A187" s="1"/>
      <c r="B187" s="8"/>
    </row>
    <row r="188" spans="1:2">
      <c r="A188" s="1"/>
      <c r="B188" s="8"/>
    </row>
    <row r="189" spans="1:2">
      <c r="A189" s="1"/>
      <c r="B189" s="8"/>
    </row>
    <row r="190" spans="1:2">
      <c r="A190" s="1"/>
      <c r="B190" s="8"/>
    </row>
    <row r="191" spans="1:2">
      <c r="A191" s="1"/>
      <c r="B191" s="8"/>
    </row>
    <row r="192" spans="1:2">
      <c r="A192" s="1"/>
      <c r="B192" s="8"/>
    </row>
    <row r="193" spans="1:2">
      <c r="A193" s="1"/>
      <c r="B193" s="8"/>
    </row>
    <row r="194" spans="1:2">
      <c r="A194" s="1"/>
      <c r="B194" s="8"/>
    </row>
    <row r="195" spans="1:2">
      <c r="A195" s="1"/>
      <c r="B195" s="8"/>
    </row>
    <row r="196" spans="1:2">
      <c r="A196" s="1"/>
      <c r="B196" s="8"/>
    </row>
    <row r="197" spans="1:2">
      <c r="A197" s="1"/>
      <c r="B197" s="8"/>
    </row>
    <row r="198" spans="1:2">
      <c r="A198" s="1"/>
      <c r="B198" s="8"/>
    </row>
    <row r="199" spans="1:2">
      <c r="A199" s="1"/>
      <c r="B199" s="8"/>
    </row>
    <row r="200" spans="1:2">
      <c r="A200" s="1"/>
      <c r="B200" s="8"/>
    </row>
    <row r="201" spans="1:2">
      <c r="A201" s="1"/>
      <c r="B201" s="8"/>
    </row>
    <row r="202" spans="1:2">
      <c r="A202" s="1"/>
      <c r="B202" s="8"/>
    </row>
    <row r="203" spans="1:2">
      <c r="A203" s="1"/>
      <c r="B203" s="8"/>
    </row>
    <row r="204" spans="1:2">
      <c r="A204" s="1"/>
      <c r="B204" s="8"/>
    </row>
    <row r="205" spans="1:2">
      <c r="A205" s="1"/>
      <c r="B205" s="8"/>
    </row>
    <row r="206" spans="1:2">
      <c r="A206" s="1"/>
      <c r="B206" s="8"/>
    </row>
    <row r="207" spans="1:2">
      <c r="A207" s="1"/>
      <c r="B207" s="8"/>
    </row>
    <row r="208" spans="1:2">
      <c r="A208" s="1"/>
      <c r="B208" s="8"/>
    </row>
    <row r="209" spans="1:2">
      <c r="A209" s="1"/>
      <c r="B209" s="8"/>
    </row>
    <row r="210" spans="1:2">
      <c r="A210" s="1"/>
      <c r="B210" s="8"/>
    </row>
    <row r="211" spans="1:2">
      <c r="A211" s="1"/>
      <c r="B211" s="8"/>
    </row>
    <row r="212" spans="1:2">
      <c r="A212" s="1"/>
      <c r="B212" s="8"/>
    </row>
    <row r="213" spans="1:2">
      <c r="A213" s="1"/>
      <c r="B213" s="8"/>
    </row>
    <row r="214" spans="1:2">
      <c r="A214" s="1"/>
      <c r="B214" s="8"/>
    </row>
    <row r="215" spans="1:2">
      <c r="A215" s="1"/>
      <c r="B215" s="8"/>
    </row>
    <row r="216" spans="1:2">
      <c r="A216" s="1"/>
      <c r="B216" s="8"/>
    </row>
    <row r="217" spans="1:2">
      <c r="A217" s="1"/>
      <c r="B217" s="8"/>
    </row>
    <row r="218" spans="1:2">
      <c r="A218" s="1"/>
      <c r="B218" s="8"/>
    </row>
    <row r="219" spans="1:2">
      <c r="A219" s="1"/>
      <c r="B219" s="8"/>
    </row>
    <row r="220" spans="1:2">
      <c r="A220" s="1"/>
      <c r="B220" s="8"/>
    </row>
    <row r="221" spans="1:2">
      <c r="A221" s="1"/>
      <c r="B221" s="8"/>
    </row>
    <row r="222" spans="1:2">
      <c r="A222" s="1"/>
      <c r="B222" s="8"/>
    </row>
    <row r="223" spans="1:2">
      <c r="A223" s="1"/>
      <c r="B223" s="8"/>
    </row>
    <row r="224" spans="1:2">
      <c r="A224" s="1"/>
      <c r="B224" s="8"/>
    </row>
    <row r="225" spans="1:2">
      <c r="A225" s="1"/>
      <c r="B225" s="8"/>
    </row>
    <row r="226" spans="1:2">
      <c r="A226" s="1"/>
      <c r="B226" s="8"/>
    </row>
    <row r="227" spans="1:2">
      <c r="A227" s="1"/>
      <c r="B227" s="8"/>
    </row>
    <row r="228" spans="1:2">
      <c r="A228" s="1"/>
      <c r="B228" s="8"/>
    </row>
    <row r="229" spans="1:2">
      <c r="A229" s="1"/>
      <c r="B229" s="8"/>
    </row>
    <row r="230" spans="1:2">
      <c r="A230" s="1"/>
      <c r="B230" s="8"/>
    </row>
    <row r="231" spans="1:2">
      <c r="A231" s="1"/>
      <c r="B231" s="8"/>
    </row>
    <row r="232" spans="1:2">
      <c r="A232" s="1"/>
      <c r="B232" s="8"/>
    </row>
    <row r="233" spans="1:2">
      <c r="A233" s="1"/>
      <c r="B233" s="8"/>
    </row>
    <row r="234" spans="1:2">
      <c r="A234" s="1"/>
      <c r="B234" s="8"/>
    </row>
    <row r="235" spans="1:2">
      <c r="A235" s="1"/>
      <c r="B235" s="8"/>
    </row>
    <row r="236" spans="1:2">
      <c r="A236" s="1"/>
      <c r="B236" s="8"/>
    </row>
    <row r="237" spans="1:2">
      <c r="A237" s="1"/>
      <c r="B237" s="8"/>
    </row>
    <row r="238" spans="1:2">
      <c r="A238" s="1"/>
      <c r="B238" s="8"/>
    </row>
    <row r="239" spans="1:2">
      <c r="A239" s="1"/>
      <c r="B239" s="8"/>
    </row>
    <row r="240" spans="1:2">
      <c r="A240" s="1"/>
      <c r="B240" s="8"/>
    </row>
    <row r="241" spans="1:2">
      <c r="A241" s="1"/>
      <c r="B241" s="8"/>
    </row>
    <row r="242" spans="1:2">
      <c r="A242" s="1"/>
      <c r="B242" s="8"/>
    </row>
    <row r="243" spans="1:2">
      <c r="A243" s="1"/>
      <c r="B243" s="8"/>
    </row>
    <row r="244" spans="1:2">
      <c r="A244" s="1"/>
      <c r="B244" s="8"/>
    </row>
    <row r="245" spans="1:2">
      <c r="A245" s="1"/>
      <c r="B245" s="8"/>
    </row>
    <row r="246" spans="1:2">
      <c r="A246" s="1"/>
      <c r="B246" s="8"/>
    </row>
    <row r="247" spans="1:2">
      <c r="A247" s="1"/>
      <c r="B247" s="8"/>
    </row>
    <row r="248" spans="1:2">
      <c r="A248" s="1"/>
      <c r="B248" s="8"/>
    </row>
    <row r="249" spans="1:2">
      <c r="A249" s="1"/>
      <c r="B249" s="8"/>
    </row>
    <row r="250" spans="1:2">
      <c r="A250" s="1"/>
      <c r="B250" s="8"/>
    </row>
    <row r="251" spans="1:2">
      <c r="A251" s="1"/>
      <c r="B251" s="8"/>
    </row>
    <row r="252" spans="1:2">
      <c r="A252" s="1"/>
      <c r="B252" s="8"/>
    </row>
    <row r="253" spans="1:2">
      <c r="A253" s="1"/>
      <c r="B253" s="8"/>
    </row>
    <row r="254" spans="1:2">
      <c r="A254" s="1"/>
      <c r="B254" s="8"/>
    </row>
    <row r="255" spans="1:2">
      <c r="A255" s="1"/>
      <c r="B255" s="8"/>
    </row>
    <row r="256" spans="1:2">
      <c r="A256" s="1"/>
      <c r="B256" s="8"/>
    </row>
    <row r="257" spans="1:2">
      <c r="A257" s="1"/>
      <c r="B257" s="8"/>
    </row>
    <row r="258" spans="1:2">
      <c r="A258" s="1"/>
      <c r="B258" s="8"/>
    </row>
    <row r="259" spans="1:2">
      <c r="A259" s="1"/>
      <c r="B259" s="8"/>
    </row>
    <row r="260" spans="1:2">
      <c r="A260" s="1"/>
      <c r="B260" s="8"/>
    </row>
    <row r="261" spans="1:2">
      <c r="A261" s="1"/>
      <c r="B261" s="8"/>
    </row>
    <row r="262" spans="1:2">
      <c r="A262" s="1"/>
      <c r="B262" s="8"/>
    </row>
    <row r="263" spans="1:2">
      <c r="A263" s="1"/>
      <c r="B263" s="8"/>
    </row>
    <row r="264" spans="1:2">
      <c r="A264" s="1"/>
      <c r="B264" s="8"/>
    </row>
    <row r="265" spans="1:2">
      <c r="A265" s="1"/>
      <c r="B265" s="8"/>
    </row>
    <row r="266" spans="1:2">
      <c r="A266" s="1"/>
      <c r="B266" s="8"/>
    </row>
    <row r="267" spans="1:2">
      <c r="A267" s="1"/>
      <c r="B267" s="8"/>
    </row>
    <row r="268" spans="1:2">
      <c r="A268" s="1"/>
      <c r="B268" s="8"/>
    </row>
    <row r="269" spans="1:2">
      <c r="A269" s="1"/>
      <c r="B269" s="8"/>
    </row>
    <row r="270" spans="1:2">
      <c r="A270" s="1"/>
      <c r="B270" s="8"/>
    </row>
    <row r="271" spans="1:2">
      <c r="A271" s="1"/>
      <c r="B271" s="8"/>
    </row>
    <row r="272" spans="1:2">
      <c r="A272" s="1"/>
      <c r="B272" s="8"/>
    </row>
    <row r="273" spans="1:2">
      <c r="A273" s="1"/>
      <c r="B273" s="8"/>
    </row>
    <row r="274" spans="1:2">
      <c r="A274" s="1"/>
      <c r="B274" s="8"/>
    </row>
    <row r="275" spans="1:2">
      <c r="A275" s="1"/>
      <c r="B275" s="8"/>
    </row>
    <row r="276" spans="1:2">
      <c r="A276" s="1"/>
      <c r="B276" s="8"/>
    </row>
    <row r="277" spans="1:2">
      <c r="A277" s="1"/>
      <c r="B277" s="8"/>
    </row>
    <row r="278" spans="1:2">
      <c r="A278" s="1"/>
      <c r="B278" s="8"/>
    </row>
    <row r="279" spans="1:2">
      <c r="A279" s="1"/>
      <c r="B279" s="8"/>
    </row>
    <row r="280" spans="1:2">
      <c r="A280" s="1"/>
      <c r="B280" s="8"/>
    </row>
    <row r="281" spans="1:2">
      <c r="A281" s="1"/>
      <c r="B281" s="8"/>
    </row>
    <row r="282" spans="1:2">
      <c r="A282" s="1"/>
      <c r="B282" s="8"/>
    </row>
    <row r="283" spans="1:2">
      <c r="A283" s="1"/>
      <c r="B283" s="8"/>
    </row>
    <row r="284" spans="1:2">
      <c r="A284" s="1"/>
      <c r="B284" s="8"/>
    </row>
    <row r="285" spans="1:2">
      <c r="A285" s="1"/>
      <c r="B285" s="8"/>
    </row>
    <row r="286" spans="1:2">
      <c r="A286" s="1"/>
      <c r="B286" s="8"/>
    </row>
    <row r="287" spans="1:2">
      <c r="A287" s="1"/>
      <c r="B287" s="8"/>
    </row>
    <row r="288" spans="1:2">
      <c r="A288" s="1"/>
      <c r="B288" s="8"/>
    </row>
    <row r="289" spans="1:2">
      <c r="A289" s="1"/>
      <c r="B289" s="8"/>
    </row>
    <row r="290" spans="1:2">
      <c r="A290" s="1"/>
      <c r="B290" s="8"/>
    </row>
    <row r="291" spans="1:2">
      <c r="A291" s="1"/>
      <c r="B291" s="8"/>
    </row>
    <row r="292" spans="1:2">
      <c r="A292" s="1"/>
      <c r="B292" s="8"/>
    </row>
    <row r="293" spans="1:2">
      <c r="A293" s="1"/>
      <c r="B293" s="8"/>
    </row>
    <row r="294" spans="1:2">
      <c r="A294" s="1"/>
      <c r="B294" s="8"/>
    </row>
    <row r="295" spans="1:2">
      <c r="A295" s="1"/>
      <c r="B295" s="8"/>
    </row>
    <row r="296" spans="1:2">
      <c r="A296" s="1"/>
      <c r="B296" s="8"/>
    </row>
    <row r="297" spans="1:2">
      <c r="A297" s="1"/>
      <c r="B297" s="8"/>
    </row>
    <row r="298" spans="1:2">
      <c r="A298" s="1"/>
      <c r="B298" s="8"/>
    </row>
    <row r="299" spans="1:2">
      <c r="A299" s="1"/>
      <c r="B299" s="8"/>
    </row>
    <row r="300" spans="1:2">
      <c r="A300" s="1"/>
      <c r="B300" s="8"/>
    </row>
    <row r="301" spans="1:2">
      <c r="A301" s="1"/>
      <c r="B301" s="8"/>
    </row>
    <row r="302" spans="1:2">
      <c r="A302" s="1"/>
      <c r="B302" s="8"/>
    </row>
    <row r="303" spans="1:2">
      <c r="A303" s="1"/>
      <c r="B303" s="8"/>
    </row>
    <row r="304" spans="1:2">
      <c r="A304" s="1"/>
      <c r="B304" s="8"/>
    </row>
    <row r="305" spans="1:2">
      <c r="A305" s="1"/>
      <c r="B305" s="8"/>
    </row>
    <row r="306" spans="1:2">
      <c r="A306" s="1"/>
      <c r="B306" s="8"/>
    </row>
    <row r="307" spans="1:2">
      <c r="A307" s="1"/>
      <c r="B307" s="8"/>
    </row>
    <row r="308" spans="1:2">
      <c r="A308" s="1"/>
      <c r="B308" s="8"/>
    </row>
    <row r="309" spans="1:2">
      <c r="A309" s="1"/>
      <c r="B309" s="8"/>
    </row>
    <row r="310" spans="1:2">
      <c r="A310" s="1"/>
      <c r="B310" s="8"/>
    </row>
    <row r="311" spans="1:2">
      <c r="A311" s="1"/>
      <c r="B311" s="8"/>
    </row>
    <row r="312" spans="1:2">
      <c r="A312" s="1"/>
      <c r="B312" s="8"/>
    </row>
    <row r="313" spans="1:2">
      <c r="A313" s="1"/>
      <c r="B313" s="8"/>
    </row>
    <row r="314" spans="1:2">
      <c r="A314" s="1"/>
      <c r="B314" s="8"/>
    </row>
    <row r="315" spans="1:2">
      <c r="A315" s="1"/>
      <c r="B315" s="8"/>
    </row>
    <row r="316" spans="1:2">
      <c r="A316" s="1"/>
      <c r="B316" s="8"/>
    </row>
    <row r="317" spans="1:2">
      <c r="A317" s="1"/>
      <c r="B317" s="8"/>
    </row>
    <row r="318" spans="1:2">
      <c r="A318" s="1"/>
      <c r="B318" s="8"/>
    </row>
    <row r="319" spans="1:2">
      <c r="A319" s="1"/>
      <c r="B319" s="8"/>
    </row>
    <row r="320" spans="1:2">
      <c r="A320" s="1"/>
      <c r="B320" s="8"/>
    </row>
    <row r="321" spans="1:2">
      <c r="A321" s="1"/>
      <c r="B321" s="8"/>
    </row>
    <row r="322" spans="1:2">
      <c r="A322" s="1"/>
      <c r="B322" s="8"/>
    </row>
    <row r="323" spans="1:2">
      <c r="A323" s="1"/>
      <c r="B323" s="8"/>
    </row>
    <row r="324" spans="1:2">
      <c r="A324" s="1"/>
      <c r="B324" s="8"/>
    </row>
    <row r="325" spans="1:2">
      <c r="A325" s="1"/>
      <c r="B325" s="8"/>
    </row>
    <row r="326" spans="1:2">
      <c r="A326" s="1"/>
      <c r="B326" s="8"/>
    </row>
    <row r="327" spans="1:2">
      <c r="A327" s="1"/>
      <c r="B327" s="8"/>
    </row>
    <row r="328" spans="1:2">
      <c r="A328" s="1"/>
      <c r="B328" s="8"/>
    </row>
    <row r="329" spans="1:2">
      <c r="A329" s="1"/>
      <c r="B329" s="8"/>
    </row>
    <row r="330" spans="1:2">
      <c r="A330" s="1"/>
      <c r="B330" s="8"/>
    </row>
    <row r="331" spans="1:2">
      <c r="A331" s="1"/>
      <c r="B331" s="8"/>
    </row>
    <row r="332" spans="1:2">
      <c r="A332" s="1"/>
      <c r="B332" s="8"/>
    </row>
    <row r="333" spans="1:2">
      <c r="A333" s="1"/>
      <c r="B333" s="8"/>
    </row>
    <row r="334" spans="1:2">
      <c r="A334" s="1"/>
      <c r="B334" s="8"/>
    </row>
    <row r="335" spans="1:2">
      <c r="A335" s="1"/>
      <c r="B335" s="8"/>
    </row>
    <row r="336" spans="1:2">
      <c r="A336" s="1"/>
      <c r="B336" s="8"/>
    </row>
    <row r="337" spans="1:2">
      <c r="A337" s="1"/>
      <c r="B337" s="8"/>
    </row>
    <row r="338" spans="1:2">
      <c r="A338" s="1"/>
      <c r="B338" s="8"/>
    </row>
    <row r="339" spans="1:2">
      <c r="A339" s="1"/>
      <c r="B339" s="8"/>
    </row>
    <row r="340" spans="1:2">
      <c r="A340" s="1"/>
      <c r="B340" s="8"/>
    </row>
    <row r="341" spans="1:2">
      <c r="A341" s="1"/>
      <c r="B341" s="8"/>
    </row>
    <row r="342" spans="1:2">
      <c r="A342" s="1"/>
      <c r="B342" s="8"/>
    </row>
    <row r="343" spans="1:2">
      <c r="A343" s="1"/>
      <c r="B343" s="8"/>
    </row>
    <row r="344" spans="1:2">
      <c r="A344" s="1"/>
      <c r="B344" s="8"/>
    </row>
    <row r="345" spans="1:2">
      <c r="A345" s="1"/>
      <c r="B345" s="8"/>
    </row>
    <row r="346" spans="1:2">
      <c r="A346" s="1"/>
      <c r="B346" s="8"/>
    </row>
    <row r="347" spans="1:2">
      <c r="A347" s="1"/>
      <c r="B347" s="8"/>
    </row>
    <row r="348" spans="1:2">
      <c r="A348" s="1"/>
      <c r="B348" s="8"/>
    </row>
    <row r="349" spans="1:2">
      <c r="A349" s="1"/>
      <c r="B349" s="8"/>
    </row>
    <row r="350" spans="1:2">
      <c r="A350" s="1"/>
      <c r="B350" s="8"/>
    </row>
    <row r="351" spans="1:2">
      <c r="A351" s="1"/>
      <c r="B351" s="8"/>
    </row>
    <row r="352" spans="1:2">
      <c r="A352" s="1"/>
      <c r="B352" s="8"/>
    </row>
    <row r="353" spans="1:2">
      <c r="A353" s="1"/>
      <c r="B353" s="8"/>
    </row>
    <row r="354" spans="1:2">
      <c r="A354" s="1"/>
      <c r="B354" s="8"/>
    </row>
    <row r="355" spans="1:2">
      <c r="A355" s="1"/>
      <c r="B355" s="8"/>
    </row>
    <row r="356" spans="1:2">
      <c r="A356" s="1"/>
      <c r="B356" s="8"/>
    </row>
    <row r="357" spans="1:2">
      <c r="A357" s="1"/>
      <c r="B357" s="8"/>
    </row>
    <row r="358" spans="1:2">
      <c r="A358" s="1"/>
      <c r="B358" s="8"/>
    </row>
    <row r="359" spans="1:2">
      <c r="A359" s="1"/>
      <c r="B359" s="8"/>
    </row>
    <row r="360" spans="1:2">
      <c r="A360" s="1"/>
      <c r="B360" s="8"/>
    </row>
    <row r="361" spans="1:2">
      <c r="A361" s="1"/>
      <c r="B361" s="8"/>
    </row>
    <row r="362" spans="1:2">
      <c r="A362" s="1"/>
      <c r="B362" s="8"/>
    </row>
    <row r="363" spans="1:2">
      <c r="A363" s="1"/>
      <c r="B363" s="8"/>
    </row>
    <row r="364" spans="1:2">
      <c r="A364" s="1"/>
      <c r="B364" s="8"/>
    </row>
    <row r="365" spans="1:2">
      <c r="A365" s="1"/>
      <c r="B365" s="8"/>
    </row>
    <row r="366" spans="1:2">
      <c r="A366" s="1"/>
      <c r="B366" s="8"/>
    </row>
    <row r="367" spans="1:2">
      <c r="A367" s="1"/>
      <c r="B367" s="8"/>
    </row>
    <row r="368" spans="1:2">
      <c r="A368" s="1"/>
      <c r="B368" s="8"/>
    </row>
    <row r="369" spans="1:2">
      <c r="A369" s="1"/>
      <c r="B369" s="8"/>
    </row>
    <row r="370" spans="1:2">
      <c r="A370" s="1"/>
      <c r="B370" s="8"/>
    </row>
    <row r="371" spans="1:2">
      <c r="A371" s="1"/>
      <c r="B371" s="8"/>
    </row>
    <row r="372" spans="1:2">
      <c r="A372" s="1"/>
      <c r="B372" s="8"/>
    </row>
    <row r="373" spans="1:2">
      <c r="A373" s="1"/>
      <c r="B373" s="8"/>
    </row>
    <row r="374" spans="1:2">
      <c r="A374" s="1"/>
      <c r="B374" s="8"/>
    </row>
    <row r="375" spans="1:2">
      <c r="A375" s="1"/>
      <c r="B375" s="8"/>
    </row>
    <row r="376" spans="1:2">
      <c r="A376" s="1"/>
      <c r="B376" s="8"/>
    </row>
    <row r="377" spans="1:2">
      <c r="A377" s="1"/>
      <c r="B377" s="8"/>
    </row>
    <row r="378" spans="1:2">
      <c r="A378" s="1"/>
      <c r="B378" s="8"/>
    </row>
    <row r="379" spans="1:2">
      <c r="A379" s="1"/>
      <c r="B379" s="8"/>
    </row>
    <row r="380" spans="1:2">
      <c r="A380" s="1"/>
      <c r="B380" s="8"/>
    </row>
    <row r="381" spans="1:2">
      <c r="A381" s="1"/>
      <c r="B381" s="8"/>
    </row>
    <row r="382" spans="1:2">
      <c r="A382" s="1"/>
      <c r="B382" s="8"/>
    </row>
    <row r="383" spans="1:2">
      <c r="A383" s="1"/>
      <c r="B383" s="8"/>
    </row>
    <row r="384" spans="1:2">
      <c r="A384" s="1"/>
      <c r="B384" s="8"/>
    </row>
    <row r="385" spans="1:2">
      <c r="A385" s="1"/>
      <c r="B385" s="8"/>
    </row>
    <row r="386" spans="1:2">
      <c r="A386" s="1"/>
      <c r="B386" s="8"/>
    </row>
    <row r="387" spans="1:2">
      <c r="A387" s="1"/>
      <c r="B387" s="8"/>
    </row>
    <row r="388" spans="1:2">
      <c r="A388" s="1"/>
      <c r="B388" s="8"/>
    </row>
    <row r="389" spans="1:2">
      <c r="A389" s="1"/>
      <c r="B389" s="8"/>
    </row>
    <row r="390" spans="1:2">
      <c r="A390" s="1"/>
      <c r="B390" s="8"/>
    </row>
    <row r="391" spans="1:2">
      <c r="A391" s="1"/>
      <c r="B391" s="8"/>
    </row>
    <row r="1048576" spans="3:4">
      <c r="C1048576" s="14"/>
      <c r="D1048576" s="14"/>
    </row>
  </sheetData>
  <dataConsolidate/>
  <mergeCells count="1">
    <mergeCell ref="I1:N2"/>
  </mergeCells>
  <dataValidations disablePrompts="1" count="2">
    <dataValidation type="list" allowBlank="1" showInputMessage="1" showErrorMessage="1" sqref="C3">
      <formula1>$AA$4:$AA$5</formula1>
    </dataValidation>
    <dataValidation type="list" allowBlank="1" showInputMessage="1" showErrorMessage="1" sqref="B3">
      <formula1>$X$4:$X$18</formula1>
    </dataValidation>
  </dataValidations>
  <hyperlinks>
    <hyperlink ref="Q30" r:id="rId1"/>
    <hyperlink ref="Q32" r:id="rId2"/>
  </hyperlinks>
  <pageMargins left="0.70866141732283472" right="0.70866141732283472" top="0.74803149606299213" bottom="0.74803149606299213" header="0.31496062992125984" footer="0.31496062992125984"/>
  <pageSetup paperSize="9" scale="55" orientation="landscape" horizontalDpi="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F67"/>
  <sheetViews>
    <sheetView workbookViewId="0">
      <selection activeCell="A67" sqref="A67"/>
    </sheetView>
  </sheetViews>
  <sheetFormatPr defaultRowHeight="15"/>
  <cols>
    <col min="1" max="1" width="10.7109375" bestFit="1" customWidth="1"/>
    <col min="18" max="18" width="8.140625" bestFit="1" customWidth="1"/>
  </cols>
  <sheetData>
    <row r="1" spans="1:32">
      <c r="B1" t="s">
        <v>55</v>
      </c>
      <c r="C1">
        <f>lati</f>
        <v>51.883000000000003</v>
      </c>
      <c r="E1" t="s">
        <v>56</v>
      </c>
      <c r="F1">
        <f>longi</f>
        <v>-1.3080000000000001</v>
      </c>
      <c r="R1">
        <f>planetno</f>
        <v>5</v>
      </c>
    </row>
    <row r="3" spans="1:32">
      <c r="B3">
        <v>-9</v>
      </c>
      <c r="C3">
        <f>B3+1</f>
        <v>-8</v>
      </c>
      <c r="D3">
        <f t="shared" ref="D3:N3" si="0">C3+1</f>
        <v>-7</v>
      </c>
      <c r="E3">
        <f t="shared" si="0"/>
        <v>-6</v>
      </c>
      <c r="F3">
        <f t="shared" si="0"/>
        <v>-5</v>
      </c>
      <c r="G3">
        <f t="shared" si="0"/>
        <v>-4</v>
      </c>
      <c r="H3">
        <f t="shared" si="0"/>
        <v>-3</v>
      </c>
      <c r="I3">
        <f t="shared" si="0"/>
        <v>-2</v>
      </c>
      <c r="J3">
        <f>I3+1</f>
        <v>-1</v>
      </c>
      <c r="K3">
        <f t="shared" si="0"/>
        <v>0</v>
      </c>
      <c r="L3">
        <f t="shared" si="0"/>
        <v>1</v>
      </c>
      <c r="M3">
        <f t="shared" si="0"/>
        <v>2</v>
      </c>
      <c r="N3">
        <f t="shared" si="0"/>
        <v>3</v>
      </c>
      <c r="P3">
        <f>F1</f>
        <v>-1.3080000000000001</v>
      </c>
      <c r="R3">
        <v>60</v>
      </c>
      <c r="S3">
        <f t="shared" ref="S3:AD3" si="1">R3-1</f>
        <v>59</v>
      </c>
      <c r="T3">
        <f t="shared" si="1"/>
        <v>58</v>
      </c>
      <c r="U3">
        <f t="shared" si="1"/>
        <v>57</v>
      </c>
      <c r="V3">
        <f t="shared" si="1"/>
        <v>56</v>
      </c>
      <c r="W3">
        <f t="shared" si="1"/>
        <v>55</v>
      </c>
      <c r="X3">
        <f t="shared" si="1"/>
        <v>54</v>
      </c>
      <c r="Y3">
        <f t="shared" si="1"/>
        <v>53</v>
      </c>
      <c r="Z3">
        <f t="shared" si="1"/>
        <v>52</v>
      </c>
      <c r="AA3">
        <f t="shared" si="1"/>
        <v>51</v>
      </c>
      <c r="AB3">
        <f t="shared" si="1"/>
        <v>50</v>
      </c>
      <c r="AC3">
        <f t="shared" si="1"/>
        <v>49</v>
      </c>
      <c r="AD3">
        <f t="shared" si="1"/>
        <v>48</v>
      </c>
      <c r="AF3">
        <f>lati</f>
        <v>51.883000000000003</v>
      </c>
    </row>
    <row r="4" spans="1:32">
      <c r="A4" s="10">
        <v>43101</v>
      </c>
      <c r="B4">
        <f t="shared" ref="B4:N13" si="2">TimeofTransit(planetno, $A4,$C$1,B$3)-$P4</f>
        <v>0.51280000000000037</v>
      </c>
      <c r="C4">
        <f t="shared" si="2"/>
        <v>0.44613333333333394</v>
      </c>
      <c r="D4">
        <f t="shared" si="2"/>
        <v>0.37946666666666751</v>
      </c>
      <c r="E4">
        <f t="shared" si="2"/>
        <v>0.31280000000000108</v>
      </c>
      <c r="F4">
        <f t="shared" si="2"/>
        <v>0.24613333333333465</v>
      </c>
      <c r="G4">
        <f t="shared" si="2"/>
        <v>0.17946666666666822</v>
      </c>
      <c r="H4">
        <f t="shared" si="2"/>
        <v>0.11280000000000001</v>
      </c>
      <c r="I4">
        <f t="shared" si="2"/>
        <v>4.6133333333333582E-2</v>
      </c>
      <c r="J4">
        <f t="shared" si="2"/>
        <v>-2.0533333333332848E-2</v>
      </c>
      <c r="K4">
        <f t="shared" si="2"/>
        <v>-8.7199999999999278E-2</v>
      </c>
      <c r="L4">
        <f t="shared" si="2"/>
        <v>-0.15386666666666571</v>
      </c>
      <c r="M4">
        <f t="shared" si="2"/>
        <v>-0.22053333333333214</v>
      </c>
      <c r="N4">
        <f t="shared" si="2"/>
        <v>-0.28719999999999857</v>
      </c>
      <c r="P4">
        <f t="shared" ref="P4:P67" si="3">TimeofTransit(planetno,$A4,$C$1,P$3)</f>
        <v>8.3455132040132902</v>
      </c>
      <c r="R4" s="27">
        <f t="shared" ref="R4:AD13" si="4">(riseset(planetno, $A4,R$3, longi, 1,-0.8333,pres,temp)-$AF4)*60</f>
        <v>30.916631219774775</v>
      </c>
      <c r="S4" s="27">
        <f t="shared" si="4"/>
        <v>26.22298277234524</v>
      </c>
      <c r="T4" s="27">
        <f t="shared" si="4"/>
        <v>21.835359206682039</v>
      </c>
      <c r="U4" s="27">
        <f t="shared" si="4"/>
        <v>17.720191515659618</v>
      </c>
      <c r="V4" s="27">
        <f t="shared" si="4"/>
        <v>13.848813126133273</v>
      </c>
      <c r="W4" s="27">
        <f t="shared" si="4"/>
        <v>10.19656014692476</v>
      </c>
      <c r="X4" s="27">
        <f t="shared" si="4"/>
        <v>6.7420691962536772</v>
      </c>
      <c r="Y4" s="27">
        <f t="shared" si="4"/>
        <v>3.4667225863001327</v>
      </c>
      <c r="Z4" s="27">
        <f t="shared" si="4"/>
        <v>0.35420504815336429</v>
      </c>
      <c r="AA4" s="27">
        <f t="shared" si="4"/>
        <v>-2.6098539860909753</v>
      </c>
      <c r="AB4" s="27">
        <f t="shared" si="4"/>
        <v>-5.438171684907438</v>
      </c>
      <c r="AC4" s="27">
        <f t="shared" si="4"/>
        <v>-8.1420509994480206</v>
      </c>
      <c r="AD4" s="27">
        <f t="shared" si="4"/>
        <v>-10.731578539918836</v>
      </c>
      <c r="AF4">
        <f t="shared" ref="AF4:AF35" si="5">riseset(planetno, ($A4),AF$3, longi, 1,-0.8333,pres,temp)</f>
        <v>3.6701257433154542</v>
      </c>
    </row>
    <row r="5" spans="1:32">
      <c r="A5" s="10">
        <f>DATE(YEAR(A4), MONTH(A4)+1, 1)</f>
        <v>43132</v>
      </c>
      <c r="B5">
        <f t="shared" si="2"/>
        <v>0.51280000000000125</v>
      </c>
      <c r="C5">
        <f t="shared" si="2"/>
        <v>0.44613333333333394</v>
      </c>
      <c r="D5">
        <f t="shared" si="2"/>
        <v>0.37946666666666751</v>
      </c>
      <c r="E5">
        <f t="shared" si="2"/>
        <v>0.31280000000000108</v>
      </c>
      <c r="F5">
        <f t="shared" si="2"/>
        <v>0.24613333333333465</v>
      </c>
      <c r="G5">
        <f t="shared" si="2"/>
        <v>0.17946666666666733</v>
      </c>
      <c r="H5">
        <f t="shared" si="2"/>
        <v>0.1128000000000009</v>
      </c>
      <c r="I5">
        <f t="shared" si="2"/>
        <v>4.613333333333447E-2</v>
      </c>
      <c r="J5">
        <f t="shared" si="2"/>
        <v>-2.0533333333332848E-2</v>
      </c>
      <c r="K5">
        <f t="shared" si="2"/>
        <v>-8.7199999999999278E-2</v>
      </c>
      <c r="L5">
        <f t="shared" si="2"/>
        <v>-0.15386666666666571</v>
      </c>
      <c r="M5">
        <f t="shared" si="2"/>
        <v>-0.22053333333333214</v>
      </c>
      <c r="N5">
        <f t="shared" si="2"/>
        <v>-0.28719999999999946</v>
      </c>
      <c r="P5">
        <f t="shared" si="3"/>
        <v>6.5960138310210743</v>
      </c>
      <c r="R5" s="27">
        <f t="shared" si="4"/>
        <v>33.825317748353108</v>
      </c>
      <c r="S5" s="27">
        <f t="shared" si="4"/>
        <v>28.662330203416637</v>
      </c>
      <c r="T5" s="27">
        <f t="shared" si="4"/>
        <v>23.846009239211234</v>
      </c>
      <c r="U5" s="27">
        <f t="shared" si="4"/>
        <v>19.336980498403378</v>
      </c>
      <c r="V5" s="27">
        <f t="shared" si="4"/>
        <v>15.101869971421564</v>
      </c>
      <c r="W5" s="27">
        <f t="shared" si="4"/>
        <v>11.112149409588383</v>
      </c>
      <c r="X5" s="27">
        <f t="shared" si="4"/>
        <v>7.3432483116062208</v>
      </c>
      <c r="Y5" s="27">
        <f t="shared" si="4"/>
        <v>3.7738611705985292</v>
      </c>
      <c r="Z5" s="27">
        <f t="shared" si="4"/>
        <v>0.38540019031314543</v>
      </c>
      <c r="AA5" s="27">
        <f t="shared" si="4"/>
        <v>-2.838441978158226</v>
      </c>
      <c r="AB5" s="27">
        <f t="shared" si="4"/>
        <v>-5.9120451588839806</v>
      </c>
      <c r="AC5" s="27">
        <f t="shared" si="4"/>
        <v>-8.8481491281000402</v>
      </c>
      <c r="AD5" s="27">
        <f t="shared" si="4"/>
        <v>-11.658089745957554</v>
      </c>
      <c r="AF5">
        <f t="shared" si="5"/>
        <v>2.0281968199347205</v>
      </c>
    </row>
    <row r="6" spans="1:32">
      <c r="A6" s="10">
        <f t="shared" ref="A6:A67" si="6">DATE(YEAR(A5), MONTH(A5)+1, 1)</f>
        <v>43160</v>
      </c>
      <c r="B6">
        <f t="shared" si="2"/>
        <v>0.51280000000000037</v>
      </c>
      <c r="C6">
        <f t="shared" si="2"/>
        <v>0.44613333333333394</v>
      </c>
      <c r="D6">
        <f t="shared" si="2"/>
        <v>0.37946666666666751</v>
      </c>
      <c r="E6">
        <f t="shared" si="2"/>
        <v>0.31280000000000108</v>
      </c>
      <c r="F6">
        <f t="shared" si="2"/>
        <v>0.24613333333333376</v>
      </c>
      <c r="G6">
        <f t="shared" si="2"/>
        <v>0.17946666666666733</v>
      </c>
      <c r="H6">
        <f t="shared" si="2"/>
        <v>0.1128000000000009</v>
      </c>
      <c r="I6">
        <f t="shared" si="2"/>
        <v>4.613333333333447E-2</v>
      </c>
      <c r="J6">
        <f t="shared" si="2"/>
        <v>-2.0533333333332848E-2</v>
      </c>
      <c r="K6">
        <f t="shared" si="2"/>
        <v>-8.7199999999999278E-2</v>
      </c>
      <c r="L6">
        <f t="shared" si="2"/>
        <v>-0.15386666666666571</v>
      </c>
      <c r="M6">
        <f t="shared" si="2"/>
        <v>-0.22053333333333303</v>
      </c>
      <c r="N6">
        <f t="shared" si="2"/>
        <v>-0.28719999999999946</v>
      </c>
      <c r="P6">
        <f t="shared" si="3"/>
        <v>4.8831411834933398</v>
      </c>
      <c r="R6" s="27">
        <f t="shared" si="4"/>
        <v>34.928747426403589</v>
      </c>
      <c r="S6" s="27">
        <f t="shared" si="4"/>
        <v>29.585757003656052</v>
      </c>
      <c r="T6" s="27">
        <f t="shared" si="4"/>
        <v>24.605737354110744</v>
      </c>
      <c r="U6" s="27">
        <f t="shared" si="4"/>
        <v>19.946883118197452</v>
      </c>
      <c r="V6" s="27">
        <f t="shared" si="4"/>
        <v>15.573868705828069</v>
      </c>
      <c r="W6" s="27">
        <f t="shared" si="4"/>
        <v>11.456577953508749</v>
      </c>
      <c r="X6" s="27">
        <f t="shared" si="4"/>
        <v>7.5691328802879987</v>
      </c>
      <c r="Y6" s="27">
        <f t="shared" si="4"/>
        <v>3.8891399329849641</v>
      </c>
      <c r="Z6" s="27">
        <f t="shared" si="4"/>
        <v>0.39709722355306454</v>
      </c>
      <c r="AA6" s="27">
        <f t="shared" si="4"/>
        <v>-2.9240771622002271</v>
      </c>
      <c r="AB6" s="27">
        <f t="shared" si="4"/>
        <v>-6.0894245108378442</v>
      </c>
      <c r="AC6" s="27">
        <f t="shared" si="4"/>
        <v>-9.1122534932142685</v>
      </c>
      <c r="AD6" s="27">
        <f t="shared" si="4"/>
        <v>-12.004392436898268</v>
      </c>
      <c r="AF6">
        <f t="shared" si="5"/>
        <v>0.35505325955663025</v>
      </c>
    </row>
    <row r="7" spans="1:32">
      <c r="A7" s="10">
        <f t="shared" si="6"/>
        <v>43191</v>
      </c>
      <c r="B7">
        <f t="shared" si="2"/>
        <v>0.51280000000000037</v>
      </c>
      <c r="C7">
        <f t="shared" si="2"/>
        <v>0.44613333333333394</v>
      </c>
      <c r="D7">
        <f t="shared" si="2"/>
        <v>0.37946666666666706</v>
      </c>
      <c r="E7">
        <f t="shared" si="2"/>
        <v>0.31280000000000063</v>
      </c>
      <c r="F7">
        <f t="shared" si="2"/>
        <v>0.24613333333333376</v>
      </c>
      <c r="G7">
        <f t="shared" si="2"/>
        <v>0.17946666666666733</v>
      </c>
      <c r="H7">
        <f t="shared" si="2"/>
        <v>0.11280000000000046</v>
      </c>
      <c r="I7">
        <f t="shared" si="2"/>
        <v>4.6133333333334026E-2</v>
      </c>
      <c r="J7">
        <f t="shared" si="2"/>
        <v>-2.0533333333332848E-2</v>
      </c>
      <c r="K7">
        <f t="shared" si="2"/>
        <v>-8.7199999999999722E-2</v>
      </c>
      <c r="L7">
        <f t="shared" si="2"/>
        <v>-0.15386666666666615</v>
      </c>
      <c r="M7">
        <f t="shared" si="2"/>
        <v>-0.22053333333333303</v>
      </c>
      <c r="N7">
        <f t="shared" si="2"/>
        <v>-0.28719999999999946</v>
      </c>
      <c r="P7">
        <f t="shared" si="3"/>
        <v>2.8030636484452316</v>
      </c>
      <c r="R7" s="27">
        <f t="shared" si="4"/>
        <v>34.246552578688778</v>
      </c>
      <c r="S7" s="27">
        <f t="shared" si="4"/>
        <v>29.014980835929478</v>
      </c>
      <c r="T7" s="27">
        <f t="shared" si="4"/>
        <v>24.136239490920488</v>
      </c>
      <c r="U7" s="27">
        <f t="shared" si="4"/>
        <v>19.570042011952467</v>
      </c>
      <c r="V7" s="27">
        <f t="shared" si="4"/>
        <v>15.282280785157241</v>
      </c>
      <c r="W7" s="27">
        <f t="shared" si="4"/>
        <v>11.24382971298779</v>
      </c>
      <c r="X7" s="27">
        <f t="shared" si="4"/>
        <v>7.429625336449277</v>
      </c>
      <c r="Y7" s="27">
        <f t="shared" si="4"/>
        <v>3.8179514089674882</v>
      </c>
      <c r="Z7" s="27">
        <f t="shared" si="4"/>
        <v>0.38987467434353107</v>
      </c>
      <c r="AA7" s="27">
        <f t="shared" si="4"/>
        <v>-2.8712052425832724</v>
      </c>
      <c r="AB7" s="27">
        <f t="shared" si="4"/>
        <v>-5.979918634272039</v>
      </c>
      <c r="AC7" s="27">
        <f t="shared" si="4"/>
        <v>-8.9492208739658707</v>
      </c>
      <c r="AD7" s="27">
        <f t="shared" si="4"/>
        <v>-11.790634597414851</v>
      </c>
      <c r="AF7">
        <f t="shared" si="5"/>
        <v>22.250483855070769</v>
      </c>
    </row>
    <row r="8" spans="1:32">
      <c r="A8" s="10">
        <f t="shared" si="6"/>
        <v>43221</v>
      </c>
      <c r="B8">
        <f t="shared" si="2"/>
        <v>0.51280000000000037</v>
      </c>
      <c r="C8">
        <f t="shared" si="2"/>
        <v>0.44613333333333371</v>
      </c>
      <c r="D8">
        <f t="shared" si="2"/>
        <v>0.37946666666666706</v>
      </c>
      <c r="E8">
        <f t="shared" si="2"/>
        <v>0.31280000000000041</v>
      </c>
      <c r="F8">
        <f t="shared" si="2"/>
        <v>0.24613333333333376</v>
      </c>
      <c r="G8">
        <f t="shared" si="2"/>
        <v>0.17946666666666711</v>
      </c>
      <c r="H8">
        <f t="shared" si="2"/>
        <v>0.11280000000000046</v>
      </c>
      <c r="I8">
        <f t="shared" si="2"/>
        <v>4.6133333333333804E-2</v>
      </c>
      <c r="J8">
        <f t="shared" si="2"/>
        <v>-2.0533333333332848E-2</v>
      </c>
      <c r="K8">
        <f t="shared" si="2"/>
        <v>-8.7199999999999611E-2</v>
      </c>
      <c r="L8">
        <f t="shared" si="2"/>
        <v>-0.15386666666666621</v>
      </c>
      <c r="M8">
        <f t="shared" si="2"/>
        <v>-0.22053333333333291</v>
      </c>
      <c r="N8">
        <f t="shared" si="2"/>
        <v>-0.28719999999999957</v>
      </c>
      <c r="P8">
        <f t="shared" si="3"/>
        <v>0.63382884649124382</v>
      </c>
      <c r="R8" s="27">
        <f t="shared" si="4"/>
        <v>32.086226780595553</v>
      </c>
      <c r="S8" s="27">
        <f t="shared" si="4"/>
        <v>27.204723543796518</v>
      </c>
      <c r="T8" s="27">
        <f t="shared" si="4"/>
        <v>22.645196586815217</v>
      </c>
      <c r="U8" s="27">
        <f t="shared" si="4"/>
        <v>18.371841659173285</v>
      </c>
      <c r="V8" s="27">
        <f t="shared" si="4"/>
        <v>14.354171629444608</v>
      </c>
      <c r="W8" s="27">
        <f t="shared" si="4"/>
        <v>10.566022246495734</v>
      </c>
      <c r="X8" s="27">
        <f t="shared" si="4"/>
        <v>6.9847806108053589</v>
      </c>
      <c r="Y8" s="27">
        <f t="shared" si="4"/>
        <v>3.5907785814323034</v>
      </c>
      <c r="Z8" s="27">
        <f t="shared" si="4"/>
        <v>0.36681025633050979</v>
      </c>
      <c r="AA8" s="27">
        <f t="shared" si="4"/>
        <v>-2.7022558999774304</v>
      </c>
      <c r="AB8" s="27">
        <f t="shared" si="4"/>
        <v>-5.6297918162918137</v>
      </c>
      <c r="AC8" s="27">
        <f t="shared" si="4"/>
        <v>-8.4276674527525586</v>
      </c>
      <c r="AD8" s="27">
        <f t="shared" si="4"/>
        <v>-11.106463347787567</v>
      </c>
      <c r="AF8">
        <f t="shared" si="5"/>
        <v>20.002187412360957</v>
      </c>
    </row>
    <row r="9" spans="1:32">
      <c r="A9" s="10">
        <f t="shared" si="6"/>
        <v>43252</v>
      </c>
      <c r="B9">
        <f t="shared" si="2"/>
        <v>0.51279999999999859</v>
      </c>
      <c r="C9">
        <f t="shared" si="2"/>
        <v>0.44613333333333216</v>
      </c>
      <c r="D9">
        <f t="shared" si="2"/>
        <v>0.37946666666666573</v>
      </c>
      <c r="E9">
        <f t="shared" si="2"/>
        <v>0.3127999999999993</v>
      </c>
      <c r="F9">
        <f t="shared" si="2"/>
        <v>0.24613333333333287</v>
      </c>
      <c r="G9">
        <f t="shared" si="2"/>
        <v>0.17946666666666644</v>
      </c>
      <c r="H9">
        <f t="shared" si="2"/>
        <v>0.11280000000000001</v>
      </c>
      <c r="I9">
        <f t="shared" si="2"/>
        <v>4.6133333333333582E-2</v>
      </c>
      <c r="J9">
        <f t="shared" si="2"/>
        <v>-2.0533333333332848E-2</v>
      </c>
      <c r="K9">
        <f t="shared" si="2"/>
        <v>-8.7199999999999278E-2</v>
      </c>
      <c r="L9">
        <f t="shared" si="2"/>
        <v>-0.15386666666666571</v>
      </c>
      <c r="M9">
        <f t="shared" si="2"/>
        <v>-0.22053333333333214</v>
      </c>
      <c r="N9">
        <f t="shared" si="2"/>
        <v>-0.28719999999999857</v>
      </c>
      <c r="P9">
        <f t="shared" si="3"/>
        <v>22.354010387762795</v>
      </c>
      <c r="R9" s="27">
        <f t="shared" si="4"/>
        <v>29.627862904025122</v>
      </c>
      <c r="S9" s="27">
        <f t="shared" si="4"/>
        <v>25.139925481151124</v>
      </c>
      <c r="T9" s="27">
        <f t="shared" si="4"/>
        <v>20.941008457651051</v>
      </c>
      <c r="U9" s="27">
        <f t="shared" si="4"/>
        <v>16.999864209350974</v>
      </c>
      <c r="V9" s="27">
        <f t="shared" si="4"/>
        <v>13.289727931334525</v>
      </c>
      <c r="W9" s="27">
        <f t="shared" si="4"/>
        <v>9.7875111546727567</v>
      </c>
      <c r="X9" s="27">
        <f t="shared" si="4"/>
        <v>6.4731686135453259</v>
      </c>
      <c r="Y9" s="27">
        <f t="shared" si="4"/>
        <v>3.3291953604971525</v>
      </c>
      <c r="Z9" s="27">
        <f t="shared" si="4"/>
        <v>0.34022311980507425</v>
      </c>
      <c r="AA9" s="27">
        <f t="shared" si="4"/>
        <v>-2.5073067936158822</v>
      </c>
      <c r="AB9" s="27">
        <f t="shared" si="4"/>
        <v>-5.2254108087333151</v>
      </c>
      <c r="AC9" s="27">
        <f t="shared" si="4"/>
        <v>-7.8247833278962986</v>
      </c>
      <c r="AD9" s="27">
        <f t="shared" si="4"/>
        <v>-10.314979467171739</v>
      </c>
      <c r="AF9">
        <f t="shared" si="5"/>
        <v>17.629665112741304</v>
      </c>
    </row>
    <row r="10" spans="1:32">
      <c r="A10" s="10">
        <f t="shared" si="6"/>
        <v>43282</v>
      </c>
      <c r="B10">
        <f t="shared" si="2"/>
        <v>0.51280000000000214</v>
      </c>
      <c r="C10">
        <f t="shared" si="2"/>
        <v>0.44613333333333571</v>
      </c>
      <c r="D10">
        <f t="shared" si="2"/>
        <v>0.37946666666666928</v>
      </c>
      <c r="E10">
        <f t="shared" si="2"/>
        <v>0.3127999999999993</v>
      </c>
      <c r="F10">
        <f t="shared" si="2"/>
        <v>0.24613333333333642</v>
      </c>
      <c r="G10">
        <f t="shared" si="2"/>
        <v>0.17946666666666644</v>
      </c>
      <c r="H10">
        <f t="shared" si="2"/>
        <v>0.11280000000000001</v>
      </c>
      <c r="I10">
        <f t="shared" si="2"/>
        <v>4.6133333333333582E-2</v>
      </c>
      <c r="J10">
        <f t="shared" si="2"/>
        <v>-2.0533333333332848E-2</v>
      </c>
      <c r="K10">
        <f t="shared" si="2"/>
        <v>-8.7199999999999278E-2</v>
      </c>
      <c r="L10">
        <f t="shared" si="2"/>
        <v>-0.15386666666666571</v>
      </c>
      <c r="M10">
        <f t="shared" si="2"/>
        <v>-0.22053333333333214</v>
      </c>
      <c r="N10">
        <f t="shared" si="2"/>
        <v>-0.28719999999999857</v>
      </c>
      <c r="P10">
        <f t="shared" si="3"/>
        <v>20.25059496629579</v>
      </c>
      <c r="R10" s="27">
        <f t="shared" si="4"/>
        <v>28.497191061538949</v>
      </c>
      <c r="S10" s="27">
        <f t="shared" si="4"/>
        <v>24.188669689322957</v>
      </c>
      <c r="T10" s="27">
        <f t="shared" si="4"/>
        <v>20.154718381211083</v>
      </c>
      <c r="U10" s="27">
        <f t="shared" si="4"/>
        <v>16.366012619663231</v>
      </c>
      <c r="V10" s="27">
        <f t="shared" si="4"/>
        <v>12.797371853666029</v>
      </c>
      <c r="W10" s="27">
        <f t="shared" si="4"/>
        <v>9.4270265113447138</v>
      </c>
      <c r="X10" s="27">
        <f t="shared" si="4"/>
        <v>6.2360397109725696</v>
      </c>
      <c r="Y10" s="27">
        <f t="shared" si="4"/>
        <v>3.2078459288381111</v>
      </c>
      <c r="Z10" s="27">
        <f t="shared" si="4"/>
        <v>0.32787926946181045</v>
      </c>
      <c r="AA10" s="27">
        <f t="shared" si="4"/>
        <v>-2.4167287937386916</v>
      </c>
      <c r="AB10" s="27">
        <f t="shared" si="4"/>
        <v>-5.0373972297762037</v>
      </c>
      <c r="AC10" s="27">
        <f t="shared" si="4"/>
        <v>-7.5443001645665575</v>
      </c>
      <c r="AD10" s="27">
        <f t="shared" si="4"/>
        <v>-9.946537174187462</v>
      </c>
      <c r="AF10">
        <f t="shared" si="5"/>
        <v>15.482655925351969</v>
      </c>
    </row>
    <row r="11" spans="1:32">
      <c r="A11" s="10">
        <f t="shared" si="6"/>
        <v>43313</v>
      </c>
      <c r="B11">
        <f t="shared" si="2"/>
        <v>0.51280000000000214</v>
      </c>
      <c r="C11">
        <f t="shared" si="2"/>
        <v>0.44613333333333571</v>
      </c>
      <c r="D11">
        <f t="shared" si="2"/>
        <v>0.37946666666666928</v>
      </c>
      <c r="E11">
        <f t="shared" si="2"/>
        <v>0.3127999999999993</v>
      </c>
      <c r="F11">
        <f t="shared" si="2"/>
        <v>0.24613333333333642</v>
      </c>
      <c r="G11">
        <f t="shared" si="2"/>
        <v>0.17946666666666644</v>
      </c>
      <c r="H11">
        <f t="shared" si="2"/>
        <v>0.11280000000000001</v>
      </c>
      <c r="I11">
        <f t="shared" si="2"/>
        <v>4.6133333333333582E-2</v>
      </c>
      <c r="J11">
        <f t="shared" si="2"/>
        <v>-2.0533333333332848E-2</v>
      </c>
      <c r="K11">
        <f t="shared" si="2"/>
        <v>-8.7199999999999278E-2</v>
      </c>
      <c r="L11">
        <f t="shared" si="2"/>
        <v>-0.15386666666666571</v>
      </c>
      <c r="M11">
        <f t="shared" si="2"/>
        <v>-0.22053333333333214</v>
      </c>
      <c r="N11">
        <f t="shared" si="2"/>
        <v>-0.28719999999999857</v>
      </c>
      <c r="P11">
        <f t="shared" si="3"/>
        <v>18.253952622683681</v>
      </c>
      <c r="R11" s="27">
        <f t="shared" si="4"/>
        <v>29.322720918785024</v>
      </c>
      <c r="S11" s="27">
        <f t="shared" si="4"/>
        <v>24.883299303773256</v>
      </c>
      <c r="T11" s="27">
        <f t="shared" si="4"/>
        <v>20.728956208789171</v>
      </c>
      <c r="U11" s="27">
        <f t="shared" si="4"/>
        <v>16.82897311805668</v>
      </c>
      <c r="V11" s="27">
        <f t="shared" si="4"/>
        <v>13.157020303774658</v>
      </c>
      <c r="W11" s="27">
        <f t="shared" si="4"/>
        <v>9.6903709053471943</v>
      </c>
      <c r="X11" s="27">
        <f t="shared" si="4"/>
        <v>6.4092830999221917</v>
      </c>
      <c r="Y11" s="27">
        <f t="shared" si="4"/>
        <v>3.2965087846409347</v>
      </c>
      <c r="Z11" s="27">
        <f t="shared" si="4"/>
        <v>0.33689879549164914</v>
      </c>
      <c r="AA11" s="27">
        <f t="shared" si="4"/>
        <v>-2.4829172926387599</v>
      </c>
      <c r="AB11" s="27">
        <f t="shared" si="4"/>
        <v>-5.1747930979358614</v>
      </c>
      <c r="AC11" s="27">
        <f t="shared" si="4"/>
        <v>-7.749281374828243</v>
      </c>
      <c r="AD11" s="27">
        <f t="shared" si="4"/>
        <v>-10.215813320781777</v>
      </c>
      <c r="AF11">
        <f t="shared" si="5"/>
        <v>13.517901073318789</v>
      </c>
    </row>
    <row r="12" spans="1:32">
      <c r="A12" s="10">
        <f t="shared" si="6"/>
        <v>43344</v>
      </c>
      <c r="B12">
        <f t="shared" si="2"/>
        <v>0.51279999999999859</v>
      </c>
      <c r="C12">
        <f t="shared" si="2"/>
        <v>0.44613333333333216</v>
      </c>
      <c r="D12">
        <f t="shared" si="2"/>
        <v>0.37946666666666573</v>
      </c>
      <c r="E12">
        <f t="shared" si="2"/>
        <v>0.3127999999999993</v>
      </c>
      <c r="F12">
        <f t="shared" si="2"/>
        <v>0.24613333333333287</v>
      </c>
      <c r="G12">
        <f t="shared" si="2"/>
        <v>0.17946666666666644</v>
      </c>
      <c r="H12">
        <f t="shared" si="2"/>
        <v>0.11280000000000001</v>
      </c>
      <c r="I12">
        <f t="shared" si="2"/>
        <v>4.6133333333330029E-2</v>
      </c>
      <c r="J12">
        <f t="shared" si="2"/>
        <v>-2.0533333333332848E-2</v>
      </c>
      <c r="K12">
        <f t="shared" si="2"/>
        <v>-8.7200000000002831E-2</v>
      </c>
      <c r="L12">
        <f t="shared" si="2"/>
        <v>-0.15386666666666926</v>
      </c>
      <c r="M12">
        <f t="shared" si="2"/>
        <v>-0.22053333333333569</v>
      </c>
      <c r="N12">
        <f t="shared" si="2"/>
        <v>-0.28720000000000212</v>
      </c>
      <c r="P12">
        <f t="shared" si="3"/>
        <v>16.429258781844396</v>
      </c>
      <c r="R12" s="27">
        <f t="shared" si="4"/>
        <v>32.013920963924853</v>
      </c>
      <c r="S12" s="27">
        <f t="shared" si="4"/>
        <v>27.144064273799025</v>
      </c>
      <c r="T12" s="27">
        <f t="shared" si="4"/>
        <v>22.595182885922576</v>
      </c>
      <c r="U12" s="27">
        <f t="shared" si="4"/>
        <v>18.331614458878924</v>
      </c>
      <c r="V12" s="27">
        <f t="shared" si="4"/>
        <v>14.322987138740757</v>
      </c>
      <c r="W12" s="27">
        <f t="shared" si="4"/>
        <v>10.543231454837034</v>
      </c>
      <c r="X12" s="27">
        <f t="shared" si="4"/>
        <v>6.9698132771059917</v>
      </c>
      <c r="Y12" s="27">
        <f t="shared" si="4"/>
        <v>3.5831305608490638</v>
      </c>
      <c r="Z12" s="27">
        <f t="shared" si="4"/>
        <v>0.36603334925285225</v>
      </c>
      <c r="AA12" s="27">
        <f t="shared" si="4"/>
        <v>-2.6965621662532513</v>
      </c>
      <c r="AB12" s="27">
        <f t="shared" si="4"/>
        <v>-5.6179869061235976</v>
      </c>
      <c r="AC12" s="27">
        <f t="shared" si="4"/>
        <v>-8.4100753634526981</v>
      </c>
      <c r="AD12" s="27">
        <f t="shared" si="4"/>
        <v>-11.083377217071124</v>
      </c>
      <c r="AF12">
        <f t="shared" si="5"/>
        <v>11.7949319750011</v>
      </c>
    </row>
    <row r="13" spans="1:32">
      <c r="A13" s="10">
        <f t="shared" si="6"/>
        <v>43374</v>
      </c>
      <c r="B13">
        <f t="shared" si="2"/>
        <v>0.51280000000000037</v>
      </c>
      <c r="C13">
        <f t="shared" si="2"/>
        <v>0.44613333333333394</v>
      </c>
      <c r="D13">
        <f t="shared" si="2"/>
        <v>0.37946666666666751</v>
      </c>
      <c r="E13">
        <f t="shared" si="2"/>
        <v>0.31280000000000108</v>
      </c>
      <c r="F13">
        <f t="shared" si="2"/>
        <v>0.24613333333333287</v>
      </c>
      <c r="G13">
        <f t="shared" si="2"/>
        <v>0.17946666666666644</v>
      </c>
      <c r="H13">
        <f t="shared" si="2"/>
        <v>0.11280000000000001</v>
      </c>
      <c r="I13">
        <f t="shared" si="2"/>
        <v>4.6133333333333582E-2</v>
      </c>
      <c r="J13">
        <f t="shared" si="2"/>
        <v>-2.0533333333332848E-2</v>
      </c>
      <c r="K13">
        <f t="shared" si="2"/>
        <v>-8.7199999999999278E-2</v>
      </c>
      <c r="L13">
        <f t="shared" si="2"/>
        <v>-0.15386666666666571</v>
      </c>
      <c r="M13">
        <f t="shared" si="2"/>
        <v>-0.22053333333333391</v>
      </c>
      <c r="N13">
        <f t="shared" si="2"/>
        <v>-0.28720000000000034</v>
      </c>
      <c r="P13">
        <f t="shared" si="3"/>
        <v>14.789480745548129</v>
      </c>
      <c r="R13" s="27">
        <f t="shared" si="4"/>
        <v>35.885075565519386</v>
      </c>
      <c r="S13" s="27">
        <f t="shared" si="4"/>
        <v>30.385156964263018</v>
      </c>
      <c r="T13" s="27">
        <f t="shared" si="4"/>
        <v>25.262762933230967</v>
      </c>
      <c r="U13" s="27">
        <f t="shared" si="4"/>
        <v>20.473868797857619</v>
      </c>
      <c r="V13" s="27">
        <f t="shared" si="4"/>
        <v>15.981377012824858</v>
      </c>
      <c r="W13" s="27">
        <f t="shared" si="4"/>
        <v>11.753736550330665</v>
      </c>
      <c r="X13" s="27">
        <f t="shared" si="4"/>
        <v>7.7638929810725443</v>
      </c>
      <c r="Y13" s="27">
        <f t="shared" si="4"/>
        <v>3.9884774502718656</v>
      </c>
      <c r="Z13" s="27">
        <f t="shared" si="4"/>
        <v>0.40717147940121379</v>
      </c>
      <c r="AA13" s="27">
        <f t="shared" si="4"/>
        <v>-2.9977966732395345</v>
      </c>
      <c r="AB13" s="27">
        <f t="shared" si="4"/>
        <v>-6.242055757672631</v>
      </c>
      <c r="AC13" s="27">
        <f t="shared" si="4"/>
        <v>-9.3394184202103503</v>
      </c>
      <c r="AD13" s="27">
        <f t="shared" si="4"/>
        <v>-12.302148251765708</v>
      </c>
      <c r="AF13">
        <f t="shared" si="5"/>
        <v>10.295339761620674</v>
      </c>
    </row>
    <row r="14" spans="1:32">
      <c r="A14" s="10">
        <f t="shared" si="6"/>
        <v>43405</v>
      </c>
      <c r="B14">
        <f t="shared" ref="B14:N29" si="7">TimeofTransit(planetno, $A14,$C$1,B$3)-$P14</f>
        <v>0.51280000000000037</v>
      </c>
      <c r="C14">
        <f t="shared" si="7"/>
        <v>0.44613333333333394</v>
      </c>
      <c r="D14">
        <f t="shared" si="7"/>
        <v>0.37946666666666751</v>
      </c>
      <c r="E14">
        <f t="shared" si="7"/>
        <v>0.31280000000000108</v>
      </c>
      <c r="F14">
        <f t="shared" si="7"/>
        <v>0.24613333333333465</v>
      </c>
      <c r="G14">
        <f t="shared" si="7"/>
        <v>0.17946666666666822</v>
      </c>
      <c r="H14">
        <f t="shared" si="7"/>
        <v>0.11280000000000179</v>
      </c>
      <c r="I14">
        <f t="shared" si="7"/>
        <v>4.6133333333335358E-2</v>
      </c>
      <c r="J14">
        <f t="shared" si="7"/>
        <v>-2.0533333333332848E-2</v>
      </c>
      <c r="K14">
        <f t="shared" si="7"/>
        <v>-8.7199999999999278E-2</v>
      </c>
      <c r="L14">
        <f t="shared" si="7"/>
        <v>-0.15386666666666571</v>
      </c>
      <c r="M14">
        <f t="shared" si="7"/>
        <v>-0.22053333333333214</v>
      </c>
      <c r="N14">
        <f t="shared" si="7"/>
        <v>-0.28719999999999857</v>
      </c>
      <c r="P14">
        <f t="shared" si="3"/>
        <v>13.182031295607072</v>
      </c>
      <c r="R14" s="27">
        <f t="shared" ref="R14:AD23" si="8">(riseset(planetno, $A14,R$3, longi, 1,-0.8333,pres,temp)-$AF14)*60</f>
        <v>40.555101820858148</v>
      </c>
      <c r="S14" s="27">
        <f t="shared" si="8"/>
        <v>34.275589882640496</v>
      </c>
      <c r="T14" s="27">
        <f t="shared" si="8"/>
        <v>28.450876493643875</v>
      </c>
      <c r="U14" s="27">
        <f t="shared" si="8"/>
        <v>23.024380729431044</v>
      </c>
      <c r="V14" s="27">
        <f t="shared" si="8"/>
        <v>17.949141938089603</v>
      </c>
      <c r="W14" s="27">
        <f t="shared" si="8"/>
        <v>13.185734924151369</v>
      </c>
      <c r="X14" s="27">
        <f t="shared" si="8"/>
        <v>8.7007292645658296</v>
      </c>
      <c r="Y14" s="27">
        <f t="shared" si="8"/>
        <v>4.4655283345113617</v>
      </c>
      <c r="Z14" s="27">
        <f t="shared" si="8"/>
        <v>0.45547948477185685</v>
      </c>
      <c r="AA14" s="27">
        <f t="shared" si="8"/>
        <v>-3.3508182071753367</v>
      </c>
      <c r="AB14" s="27">
        <f t="shared" si="8"/>
        <v>-6.9720596425255366</v>
      </c>
      <c r="AC14" s="27">
        <f t="shared" si="8"/>
        <v>-10.424668983360732</v>
      </c>
      <c r="AD14" s="27">
        <f t="shared" si="8"/>
        <v>-13.723150546832308</v>
      </c>
      <c r="AF14">
        <f t="shared" si="5"/>
        <v>8.8471183416296135</v>
      </c>
    </row>
    <row r="15" spans="1:32">
      <c r="A15" s="10">
        <f t="shared" si="6"/>
        <v>43435</v>
      </c>
      <c r="B15">
        <f t="shared" si="7"/>
        <v>0.51280000000000214</v>
      </c>
      <c r="C15">
        <f t="shared" si="7"/>
        <v>0.44613333333333394</v>
      </c>
      <c r="D15">
        <f t="shared" si="7"/>
        <v>0.37946666666666751</v>
      </c>
      <c r="E15">
        <f t="shared" si="7"/>
        <v>0.31280000000000108</v>
      </c>
      <c r="F15">
        <f t="shared" si="7"/>
        <v>0.24613333333333465</v>
      </c>
      <c r="G15">
        <f t="shared" si="7"/>
        <v>0.17946666666666822</v>
      </c>
      <c r="H15">
        <f t="shared" si="7"/>
        <v>0.11280000000000179</v>
      </c>
      <c r="I15">
        <f t="shared" si="7"/>
        <v>4.6133333333335358E-2</v>
      </c>
      <c r="J15">
        <f t="shared" si="7"/>
        <v>-2.0533333333332848E-2</v>
      </c>
      <c r="K15">
        <f t="shared" si="7"/>
        <v>-8.7199999999999278E-2</v>
      </c>
      <c r="L15">
        <f t="shared" si="7"/>
        <v>-0.15386666666666571</v>
      </c>
      <c r="M15">
        <f t="shared" si="7"/>
        <v>-0.22053333333333214</v>
      </c>
      <c r="N15">
        <f t="shared" si="7"/>
        <v>-0.28719999999999857</v>
      </c>
      <c r="P15">
        <f t="shared" si="3"/>
        <v>11.669793389707406</v>
      </c>
      <c r="R15" s="27">
        <f t="shared" si="8"/>
        <v>45.044676558810224</v>
      </c>
      <c r="S15" s="27">
        <f t="shared" si="8"/>
        <v>37.992547415456563</v>
      </c>
      <c r="T15" s="27">
        <f t="shared" si="8"/>
        <v>31.48065287872793</v>
      </c>
      <c r="U15" s="27">
        <f t="shared" si="8"/>
        <v>25.43704743602218</v>
      </c>
      <c r="V15" s="27">
        <f t="shared" si="8"/>
        <v>19.803035156469679</v>
      </c>
      <c r="W15" s="27">
        <f t="shared" si="8"/>
        <v>14.530046465790747</v>
      </c>
      <c r="X15" s="27">
        <f t="shared" si="8"/>
        <v>9.5774015066524498</v>
      </c>
      <c r="Y15" s="27">
        <f t="shared" si="8"/>
        <v>4.910669503903069</v>
      </c>
      <c r="Z15" s="27">
        <f t="shared" si="8"/>
        <v>0.50044023272139526</v>
      </c>
      <c r="AA15" s="27">
        <f t="shared" si="8"/>
        <v>-3.6786125518728596</v>
      </c>
      <c r="AB15" s="27">
        <f t="shared" si="8"/>
        <v>-7.6484564046565318</v>
      </c>
      <c r="AC15" s="27">
        <f t="shared" si="8"/>
        <v>-11.42826970371237</v>
      </c>
      <c r="AD15" s="27">
        <f t="shared" si="8"/>
        <v>-15.034894395652909</v>
      </c>
      <c r="AF15">
        <f t="shared" si="5"/>
        <v>7.4776592418509704</v>
      </c>
    </row>
    <row r="16" spans="1:32">
      <c r="A16" s="10">
        <f t="shared" si="6"/>
        <v>43466</v>
      </c>
      <c r="B16">
        <f t="shared" si="7"/>
        <v>0.51280000000000037</v>
      </c>
      <c r="C16">
        <f t="shared" si="7"/>
        <v>0.44613333333333394</v>
      </c>
      <c r="D16">
        <f t="shared" si="7"/>
        <v>0.37946666666666751</v>
      </c>
      <c r="E16">
        <f t="shared" si="7"/>
        <v>0.31280000000000108</v>
      </c>
      <c r="F16">
        <f t="shared" si="7"/>
        <v>0.24613333333333465</v>
      </c>
      <c r="G16">
        <f t="shared" si="7"/>
        <v>0.17946666666666822</v>
      </c>
      <c r="H16">
        <f t="shared" si="7"/>
        <v>0.11280000000000179</v>
      </c>
      <c r="I16">
        <f t="shared" si="7"/>
        <v>4.6133333333335358E-2</v>
      </c>
      <c r="J16">
        <f t="shared" si="7"/>
        <v>-2.0533333333332848E-2</v>
      </c>
      <c r="K16">
        <f t="shared" si="7"/>
        <v>-8.7199999999999278E-2</v>
      </c>
      <c r="L16">
        <f t="shared" si="7"/>
        <v>-0.15386666666666571</v>
      </c>
      <c r="M16">
        <f t="shared" si="7"/>
        <v>-0.22053333333333214</v>
      </c>
      <c r="N16">
        <f t="shared" si="7"/>
        <v>-0.28719999999999857</v>
      </c>
      <c r="P16">
        <f t="shared" si="3"/>
        <v>10.106850527357903</v>
      </c>
      <c r="R16" s="27">
        <f t="shared" si="8"/>
        <v>48.936362352904794</v>
      </c>
      <c r="S16" s="27">
        <f t="shared" si="8"/>
        <v>41.193562645738297</v>
      </c>
      <c r="T16" s="27">
        <f t="shared" si="8"/>
        <v>34.075550595607055</v>
      </c>
      <c r="U16" s="27">
        <f t="shared" si="8"/>
        <v>27.493700256334748</v>
      </c>
      <c r="V16" s="27">
        <f t="shared" si="8"/>
        <v>21.376931882491697</v>
      </c>
      <c r="W16" s="27">
        <f t="shared" si="8"/>
        <v>15.667256737754656</v>
      </c>
      <c r="X16" s="27">
        <f t="shared" si="8"/>
        <v>10.316681828516323</v>
      </c>
      <c r="Y16" s="27">
        <f t="shared" si="8"/>
        <v>5.2849969656041296</v>
      </c>
      <c r="Z16" s="27">
        <f t="shared" si="8"/>
        <v>0.53815369076550823</v>
      </c>
      <c r="AA16" s="27">
        <f t="shared" si="8"/>
        <v>-3.9529473067609189</v>
      </c>
      <c r="AB16" s="27">
        <f t="shared" si="8"/>
        <v>-8.2133798230372967</v>
      </c>
      <c r="AC16" s="27">
        <f t="shared" si="8"/>
        <v>-12.264906946563912</v>
      </c>
      <c r="AD16" s="27">
        <f t="shared" si="8"/>
        <v>-16.126542071266456</v>
      </c>
      <c r="AF16">
        <f t="shared" si="5"/>
        <v>6.0303701707855577</v>
      </c>
    </row>
    <row r="17" spans="1:32">
      <c r="A17" s="10">
        <f t="shared" si="6"/>
        <v>43497</v>
      </c>
      <c r="B17">
        <f t="shared" si="7"/>
        <v>0.51280000000000037</v>
      </c>
      <c r="C17">
        <f t="shared" si="7"/>
        <v>0.44613333333333394</v>
      </c>
      <c r="D17">
        <f t="shared" si="7"/>
        <v>0.37946666666666751</v>
      </c>
      <c r="E17">
        <f t="shared" si="7"/>
        <v>0.31280000000000108</v>
      </c>
      <c r="F17">
        <f t="shared" si="7"/>
        <v>0.24613333333333465</v>
      </c>
      <c r="G17">
        <f t="shared" si="7"/>
        <v>0.17946666666666822</v>
      </c>
      <c r="H17">
        <f t="shared" si="7"/>
        <v>0.11280000000000001</v>
      </c>
      <c r="I17">
        <f t="shared" si="7"/>
        <v>4.6133333333333582E-2</v>
      </c>
      <c r="J17">
        <f t="shared" si="7"/>
        <v>-2.0533333333332848E-2</v>
      </c>
      <c r="K17">
        <f t="shared" si="7"/>
        <v>-8.7199999999999278E-2</v>
      </c>
      <c r="L17">
        <f t="shared" si="7"/>
        <v>-0.15386666666666571</v>
      </c>
      <c r="M17">
        <f t="shared" si="7"/>
        <v>-0.22053333333333214</v>
      </c>
      <c r="N17">
        <f t="shared" si="7"/>
        <v>-0.28719999999999857</v>
      </c>
      <c r="P17">
        <f t="shared" si="3"/>
        <v>8.4917545608177871</v>
      </c>
      <c r="R17" s="27">
        <f t="shared" si="8"/>
        <v>51.551282764862293</v>
      </c>
      <c r="S17" s="27">
        <f t="shared" si="8"/>
        <v>43.332262088997652</v>
      </c>
      <c r="T17" s="27">
        <f t="shared" si="8"/>
        <v>35.801144647746725</v>
      </c>
      <c r="U17" s="27">
        <f t="shared" si="8"/>
        <v>28.855935720706025</v>
      </c>
      <c r="V17" s="27">
        <f t="shared" si="8"/>
        <v>22.415864079698729</v>
      </c>
      <c r="W17" s="27">
        <f t="shared" si="8"/>
        <v>16.415715915963176</v>
      </c>
      <c r="X17" s="27">
        <f t="shared" si="8"/>
        <v>10.801983739662546</v>
      </c>
      <c r="Y17" s="27">
        <f t="shared" si="8"/>
        <v>5.5301632524895439</v>
      </c>
      <c r="Z17" s="27">
        <f t="shared" si="8"/>
        <v>0.56280388306108264</v>
      </c>
      <c r="AA17" s="27">
        <f t="shared" si="8"/>
        <v>-4.1319300154580496</v>
      </c>
      <c r="AB17" s="27">
        <f t="shared" si="8"/>
        <v>-8.5813424561905194</v>
      </c>
      <c r="AC17" s="27">
        <f t="shared" si="8"/>
        <v>-12.809035728677518</v>
      </c>
      <c r="AD17" s="27">
        <f t="shared" si="8"/>
        <v>-16.835555969318268</v>
      </c>
      <c r="AF17">
        <f t="shared" si="5"/>
        <v>4.4888243380979604</v>
      </c>
    </row>
    <row r="18" spans="1:32">
      <c r="A18" s="10">
        <f t="shared" si="6"/>
        <v>43525</v>
      </c>
      <c r="B18">
        <f t="shared" si="7"/>
        <v>0.51280000000000037</v>
      </c>
      <c r="C18">
        <f t="shared" si="7"/>
        <v>0.44613333333333305</v>
      </c>
      <c r="D18">
        <f t="shared" si="7"/>
        <v>0.37946666666666662</v>
      </c>
      <c r="E18">
        <f t="shared" si="7"/>
        <v>0.31280000000000019</v>
      </c>
      <c r="F18">
        <f t="shared" si="7"/>
        <v>0.24613333333333376</v>
      </c>
      <c r="G18">
        <f t="shared" si="7"/>
        <v>0.17946666666666644</v>
      </c>
      <c r="H18">
        <f t="shared" si="7"/>
        <v>0.11280000000000001</v>
      </c>
      <c r="I18">
        <f t="shared" si="7"/>
        <v>4.6133333333333582E-2</v>
      </c>
      <c r="J18">
        <f t="shared" si="7"/>
        <v>-2.0533333333332848E-2</v>
      </c>
      <c r="K18">
        <f t="shared" si="7"/>
        <v>-8.7200000000000166E-2</v>
      </c>
      <c r="L18">
        <f t="shared" si="7"/>
        <v>-0.1538666666666666</v>
      </c>
      <c r="M18">
        <f t="shared" si="7"/>
        <v>-0.22053333333333303</v>
      </c>
      <c r="N18">
        <f t="shared" si="7"/>
        <v>-0.28719999999999946</v>
      </c>
      <c r="P18">
        <f t="shared" si="3"/>
        <v>6.9388451042244927</v>
      </c>
      <c r="R18" s="27">
        <f t="shared" si="8"/>
        <v>52.767787629780507</v>
      </c>
      <c r="S18" s="27">
        <f t="shared" si="8"/>
        <v>44.323647118142503</v>
      </c>
      <c r="T18" s="27">
        <f t="shared" si="8"/>
        <v>36.598675461419042</v>
      </c>
      <c r="U18" s="27">
        <f t="shared" si="8"/>
        <v>29.483974443365433</v>
      </c>
      <c r="V18" s="27">
        <f t="shared" si="8"/>
        <v>22.893842007377067</v>
      </c>
      <c r="W18" s="27">
        <f t="shared" si="8"/>
        <v>16.759433550195595</v>
      </c>
      <c r="X18" s="27">
        <f t="shared" si="8"/>
        <v>11.024499238788881</v>
      </c>
      <c r="Y18" s="27">
        <f t="shared" si="8"/>
        <v>5.6424183923571114</v>
      </c>
      <c r="Z18" s="27">
        <f t="shared" si="8"/>
        <v>0.57407666848367178</v>
      </c>
      <c r="AA18" s="27">
        <f t="shared" si="8"/>
        <v>-4.2136906847946598</v>
      </c>
      <c r="AB18" s="27">
        <f t="shared" si="8"/>
        <v>-8.7492644662478369</v>
      </c>
      <c r="AC18" s="27">
        <f t="shared" si="8"/>
        <v>-13.057130234465379</v>
      </c>
      <c r="AD18" s="27">
        <f t="shared" si="8"/>
        <v>-17.158566711851169</v>
      </c>
      <c r="AF18">
        <f t="shared" si="5"/>
        <v>2.9690109574066303</v>
      </c>
    </row>
    <row r="19" spans="1:32">
      <c r="A19" s="10">
        <f t="shared" si="6"/>
        <v>43556</v>
      </c>
      <c r="B19">
        <f t="shared" si="7"/>
        <v>0.51280000000000037</v>
      </c>
      <c r="C19">
        <f t="shared" si="7"/>
        <v>0.44613333333333305</v>
      </c>
      <c r="D19">
        <f t="shared" si="7"/>
        <v>0.37946666666666662</v>
      </c>
      <c r="E19">
        <f t="shared" si="7"/>
        <v>0.31280000000000019</v>
      </c>
      <c r="F19">
        <f t="shared" si="7"/>
        <v>0.24613333333333376</v>
      </c>
      <c r="G19">
        <f t="shared" si="7"/>
        <v>0.17946666666666644</v>
      </c>
      <c r="H19">
        <f t="shared" si="7"/>
        <v>0.11280000000000001</v>
      </c>
      <c r="I19">
        <f t="shared" si="7"/>
        <v>4.6133333333333582E-2</v>
      </c>
      <c r="J19">
        <f t="shared" si="7"/>
        <v>-2.0533333333332848E-2</v>
      </c>
      <c r="K19">
        <f t="shared" si="7"/>
        <v>-8.7200000000000166E-2</v>
      </c>
      <c r="L19">
        <f t="shared" si="7"/>
        <v>-0.1538666666666666</v>
      </c>
      <c r="M19">
        <f t="shared" si="7"/>
        <v>-0.22053333333333303</v>
      </c>
      <c r="N19">
        <f t="shared" si="7"/>
        <v>-0.28719999999999946</v>
      </c>
      <c r="P19">
        <f t="shared" si="3"/>
        <v>5.0591002720385863</v>
      </c>
      <c r="R19" s="27">
        <f t="shared" si="8"/>
        <v>53.203388862694894</v>
      </c>
      <c r="S19" s="27">
        <f t="shared" si="8"/>
        <v>44.678064576827026</v>
      </c>
      <c r="T19" s="27">
        <f t="shared" si="8"/>
        <v>36.88341464555041</v>
      </c>
      <c r="U19" s="27">
        <f t="shared" si="8"/>
        <v>29.707954483109617</v>
      </c>
      <c r="V19" s="27">
        <f t="shared" si="8"/>
        <v>23.064146944584092</v>
      </c>
      <c r="W19" s="27">
        <f t="shared" si="8"/>
        <v>16.881803571472631</v>
      </c>
      <c r="X19" s="27">
        <f t="shared" si="8"/>
        <v>11.103664196780052</v>
      </c>
      <c r="Y19" s="27">
        <f t="shared" si="8"/>
        <v>5.6823314915253498</v>
      </c>
      <c r="Z19" s="27">
        <f t="shared" si="8"/>
        <v>0.57808263542130867</v>
      </c>
      <c r="AA19" s="27">
        <f t="shared" si="8"/>
        <v>-4.2427317650833007</v>
      </c>
      <c r="AB19" s="27">
        <f t="shared" si="8"/>
        <v>-8.8088841204818014</v>
      </c>
      <c r="AC19" s="27">
        <f t="shared" si="8"/>
        <v>-13.145180478389404</v>
      </c>
      <c r="AD19" s="27">
        <f t="shared" si="8"/>
        <v>-17.273164826532501</v>
      </c>
      <c r="AF19">
        <f t="shared" si="5"/>
        <v>1.1009458910506873</v>
      </c>
    </row>
    <row r="20" spans="1:32">
      <c r="A20" s="10">
        <f t="shared" si="6"/>
        <v>43586</v>
      </c>
      <c r="B20">
        <f t="shared" si="7"/>
        <v>0.51280000000000037</v>
      </c>
      <c r="C20">
        <f t="shared" si="7"/>
        <v>0.44613333333333349</v>
      </c>
      <c r="D20">
        <f t="shared" si="7"/>
        <v>0.37946666666666706</v>
      </c>
      <c r="E20">
        <f t="shared" si="7"/>
        <v>0.31280000000000019</v>
      </c>
      <c r="F20">
        <f t="shared" si="7"/>
        <v>0.24613333333333376</v>
      </c>
      <c r="G20">
        <f t="shared" si="7"/>
        <v>0.17946666666666689</v>
      </c>
      <c r="H20">
        <f t="shared" si="7"/>
        <v>0.11280000000000046</v>
      </c>
      <c r="I20">
        <f t="shared" si="7"/>
        <v>4.6133333333333582E-2</v>
      </c>
      <c r="J20">
        <f t="shared" si="7"/>
        <v>-2.0533333333332848E-2</v>
      </c>
      <c r="K20">
        <f t="shared" si="7"/>
        <v>-8.7199999999999722E-2</v>
      </c>
      <c r="L20">
        <f t="shared" si="7"/>
        <v>-0.15386666666666615</v>
      </c>
      <c r="M20">
        <f t="shared" si="7"/>
        <v>-0.22053333333333303</v>
      </c>
      <c r="N20">
        <f t="shared" si="7"/>
        <v>-0.28719999999999946</v>
      </c>
      <c r="P20">
        <f t="shared" si="3"/>
        <v>3.0414945861996596</v>
      </c>
      <c r="R20" s="27">
        <f t="shared" si="8"/>
        <v>53.071497732034771</v>
      </c>
      <c r="S20" s="27">
        <f t="shared" si="8"/>
        <v>44.570786609712201</v>
      </c>
      <c r="T20" s="27">
        <f t="shared" si="8"/>
        <v>36.797248623407413</v>
      </c>
      <c r="U20" s="27">
        <f t="shared" si="8"/>
        <v>29.640188837868209</v>
      </c>
      <c r="V20" s="27">
        <f t="shared" si="8"/>
        <v>23.012629690658386</v>
      </c>
      <c r="W20" s="27">
        <f t="shared" si="8"/>
        <v>16.844792093555156</v>
      </c>
      <c r="X20" s="27">
        <f t="shared" si="8"/>
        <v>11.079723387650233</v>
      </c>
      <c r="Y20" s="27">
        <f t="shared" si="8"/>
        <v>5.6702624542838009</v>
      </c>
      <c r="Z20" s="27">
        <f t="shared" si="8"/>
        <v>0.57687141961736188</v>
      </c>
      <c r="AA20" s="27">
        <f t="shared" si="8"/>
        <v>-4.2339518841436075</v>
      </c>
      <c r="AB20" s="27">
        <f t="shared" si="8"/>
        <v>-8.7908609599134735</v>
      </c>
      <c r="AC20" s="27">
        <f t="shared" si="8"/>
        <v>-13.118564584694496</v>
      </c>
      <c r="AD20" s="27">
        <f t="shared" si="8"/>
        <v>-17.238526267015999</v>
      </c>
      <c r="AF20">
        <f t="shared" si="5"/>
        <v>23.079813297627418</v>
      </c>
    </row>
    <row r="21" spans="1:32">
      <c r="A21" s="10">
        <f t="shared" si="6"/>
        <v>43617</v>
      </c>
      <c r="B21">
        <f t="shared" si="7"/>
        <v>0.51280000000000059</v>
      </c>
      <c r="C21">
        <f t="shared" si="7"/>
        <v>0.44613333333333371</v>
      </c>
      <c r="D21">
        <f t="shared" si="7"/>
        <v>0.37946666666666706</v>
      </c>
      <c r="E21">
        <f t="shared" si="7"/>
        <v>0.31280000000000041</v>
      </c>
      <c r="F21">
        <f t="shared" si="7"/>
        <v>0.24613333333333376</v>
      </c>
      <c r="G21">
        <f t="shared" si="7"/>
        <v>0.17946666666666711</v>
      </c>
      <c r="H21">
        <f t="shared" si="7"/>
        <v>0.11280000000000046</v>
      </c>
      <c r="I21">
        <f t="shared" si="7"/>
        <v>4.6133333333333804E-2</v>
      </c>
      <c r="J21">
        <f t="shared" si="7"/>
        <v>-2.0533333333332848E-2</v>
      </c>
      <c r="K21">
        <f t="shared" si="7"/>
        <v>-8.71999999999995E-2</v>
      </c>
      <c r="L21">
        <f t="shared" si="7"/>
        <v>-0.15386666666666615</v>
      </c>
      <c r="M21">
        <f t="shared" si="7"/>
        <v>-0.2205333333333328</v>
      </c>
      <c r="N21">
        <f t="shared" si="7"/>
        <v>-0.28719999999999951</v>
      </c>
      <c r="P21">
        <f t="shared" si="3"/>
        <v>0.77738776264044418</v>
      </c>
      <c r="R21" s="27">
        <f t="shared" si="8"/>
        <v>52.3846566385172</v>
      </c>
      <c r="S21" s="27">
        <f t="shared" si="8"/>
        <v>44.011668943054545</v>
      </c>
      <c r="T21" s="27">
        <f t="shared" si="8"/>
        <v>36.347867048251956</v>
      </c>
      <c r="U21" s="27">
        <f t="shared" si="8"/>
        <v>29.286576924786729</v>
      </c>
      <c r="V21" s="27">
        <f t="shared" si="8"/>
        <v>22.743679899606448</v>
      </c>
      <c r="W21" s="27">
        <f t="shared" si="8"/>
        <v>16.651494095135391</v>
      </c>
      <c r="X21" s="27">
        <f t="shared" si="8"/>
        <v>10.954645859276226</v>
      </c>
      <c r="Y21" s="27">
        <f t="shared" si="8"/>
        <v>5.6071893632163494</v>
      </c>
      <c r="Z21" s="27">
        <f t="shared" si="8"/>
        <v>0.5705398871288736</v>
      </c>
      <c r="AA21" s="27">
        <f t="shared" si="8"/>
        <v>-4.1880448616395682</v>
      </c>
      <c r="AB21" s="27">
        <f t="shared" si="8"/>
        <v>-8.696603871963049</v>
      </c>
      <c r="AC21" s="27">
        <f t="shared" si="8"/>
        <v>-12.979342648031604</v>
      </c>
      <c r="AD21" s="27">
        <f t="shared" si="8"/>
        <v>-17.057307875929837</v>
      </c>
      <c r="AF21">
        <f t="shared" si="5"/>
        <v>20.797206304531127</v>
      </c>
    </row>
    <row r="22" spans="1:32">
      <c r="A22" s="10">
        <f t="shared" si="6"/>
        <v>43647</v>
      </c>
      <c r="B22">
        <f t="shared" si="7"/>
        <v>0.51280000000000214</v>
      </c>
      <c r="C22">
        <f t="shared" si="7"/>
        <v>0.44613333333333571</v>
      </c>
      <c r="D22">
        <f t="shared" si="7"/>
        <v>0.37946666666666928</v>
      </c>
      <c r="E22">
        <f t="shared" si="7"/>
        <v>0.31280000000000285</v>
      </c>
      <c r="F22">
        <f t="shared" si="7"/>
        <v>0.24613333333333287</v>
      </c>
      <c r="G22">
        <f t="shared" si="7"/>
        <v>0.17946666666666644</v>
      </c>
      <c r="H22">
        <f t="shared" si="7"/>
        <v>0.11280000000000001</v>
      </c>
      <c r="I22">
        <f t="shared" si="7"/>
        <v>4.6133333333333582E-2</v>
      </c>
      <c r="J22">
        <f t="shared" si="7"/>
        <v>-2.0533333333332848E-2</v>
      </c>
      <c r="K22">
        <f t="shared" si="7"/>
        <v>-8.7199999999999278E-2</v>
      </c>
      <c r="L22">
        <f t="shared" si="7"/>
        <v>-0.15386666666666571</v>
      </c>
      <c r="M22">
        <f t="shared" si="7"/>
        <v>-0.22053333333333214</v>
      </c>
      <c r="N22">
        <f t="shared" si="7"/>
        <v>-0.28719999999999857</v>
      </c>
      <c r="P22">
        <f t="shared" si="3"/>
        <v>22.536709862793099</v>
      </c>
      <c r="R22" s="27">
        <f t="shared" si="8"/>
        <v>51.331227492157154</v>
      </c>
      <c r="S22" s="27">
        <f t="shared" si="8"/>
        <v>43.152681305602911</v>
      </c>
      <c r="T22" s="27">
        <f t="shared" si="8"/>
        <v>35.656515675564719</v>
      </c>
      <c r="U22" s="27">
        <f t="shared" si="8"/>
        <v>28.741936158896095</v>
      </c>
      <c r="V22" s="27">
        <f t="shared" si="8"/>
        <v>22.329033797380973</v>
      </c>
      <c r="W22" s="27">
        <f t="shared" si="8"/>
        <v>16.353232756962015</v>
      </c>
      <c r="X22" s="27">
        <f t="shared" si="8"/>
        <v>10.76150935583172</v>
      </c>
      <c r="Y22" s="27">
        <f t="shared" si="8"/>
        <v>5.5097339568212789</v>
      </c>
      <c r="Z22" s="27">
        <f t="shared" si="8"/>
        <v>0.56075140020524827</v>
      </c>
      <c r="AA22" s="27">
        <f t="shared" si="8"/>
        <v>-4.1170373588563081</v>
      </c>
      <c r="AB22" s="27">
        <f t="shared" si="8"/>
        <v>-8.5507442109280873</v>
      </c>
      <c r="AC22" s="27">
        <f t="shared" si="8"/>
        <v>-12.763813531757719</v>
      </c>
      <c r="AD22" s="27">
        <f t="shared" si="8"/>
        <v>-16.776660246966131</v>
      </c>
      <c r="AF22">
        <f t="shared" si="5"/>
        <v>18.527717288136728</v>
      </c>
    </row>
    <row r="23" spans="1:32">
      <c r="A23" s="10">
        <f t="shared" si="6"/>
        <v>43678</v>
      </c>
      <c r="B23">
        <f t="shared" si="7"/>
        <v>0.51280000000000214</v>
      </c>
      <c r="C23">
        <f t="shared" si="7"/>
        <v>0.44613333333333216</v>
      </c>
      <c r="D23">
        <f t="shared" si="7"/>
        <v>0.37946666666666573</v>
      </c>
      <c r="E23">
        <f t="shared" si="7"/>
        <v>0.3127999999999993</v>
      </c>
      <c r="F23">
        <f t="shared" si="7"/>
        <v>0.24613333333333287</v>
      </c>
      <c r="G23">
        <f t="shared" si="7"/>
        <v>0.17946666666666644</v>
      </c>
      <c r="H23">
        <f t="shared" si="7"/>
        <v>0.11280000000000001</v>
      </c>
      <c r="I23">
        <f t="shared" si="7"/>
        <v>4.6133333333333582E-2</v>
      </c>
      <c r="J23">
        <f t="shared" si="7"/>
        <v>-2.0533333333332848E-2</v>
      </c>
      <c r="K23">
        <f t="shared" si="7"/>
        <v>-8.7199999999999278E-2</v>
      </c>
      <c r="L23">
        <f t="shared" si="7"/>
        <v>-0.15386666666666571</v>
      </c>
      <c r="M23">
        <f t="shared" si="7"/>
        <v>-0.22053333333333214</v>
      </c>
      <c r="N23">
        <f t="shared" si="7"/>
        <v>-0.28719999999999857</v>
      </c>
      <c r="P23">
        <f t="shared" si="3"/>
        <v>20.335243447207599</v>
      </c>
      <c r="R23" s="27">
        <f t="shared" si="8"/>
        <v>50.729319794212699</v>
      </c>
      <c r="S23" s="27">
        <f t="shared" si="8"/>
        <v>42.66110119179686</v>
      </c>
      <c r="T23" s="27">
        <f t="shared" si="8"/>
        <v>35.260360053047251</v>
      </c>
      <c r="U23" s="27">
        <f t="shared" si="8"/>
        <v>28.42951196122101</v>
      </c>
      <c r="V23" s="27">
        <f t="shared" si="8"/>
        <v>22.090961453818991</v>
      </c>
      <c r="W23" s="27">
        <f t="shared" si="8"/>
        <v>16.181848991442251</v>
      </c>
      <c r="X23" s="27">
        <f t="shared" si="8"/>
        <v>10.650455392388238</v>
      </c>
      <c r="Y23" s="27">
        <f t="shared" si="8"/>
        <v>5.453663184054065</v>
      </c>
      <c r="Z23" s="27">
        <f t="shared" si="8"/>
        <v>0.55511661527859246</v>
      </c>
      <c r="AA23" s="27">
        <f t="shared" si="8"/>
        <v>-4.0761421539711051</v>
      </c>
      <c r="AB23" s="27">
        <f t="shared" si="8"/>
        <v>-8.4667036771448068</v>
      </c>
      <c r="AC23" s="27">
        <f t="shared" si="8"/>
        <v>-12.639583327753101</v>
      </c>
      <c r="AD23" s="27">
        <f t="shared" si="8"/>
        <v>-16.614839206304097</v>
      </c>
      <c r="AF23">
        <f t="shared" si="5"/>
        <v>16.309549913244194</v>
      </c>
    </row>
    <row r="24" spans="1:32">
      <c r="A24" s="10">
        <f t="shared" si="6"/>
        <v>43709</v>
      </c>
      <c r="B24">
        <f t="shared" si="7"/>
        <v>0.51280000000000214</v>
      </c>
      <c r="C24">
        <f t="shared" si="7"/>
        <v>0.44613333333333216</v>
      </c>
      <c r="D24">
        <f t="shared" si="7"/>
        <v>0.37946666666666573</v>
      </c>
      <c r="E24">
        <f t="shared" si="7"/>
        <v>0.3127999999999993</v>
      </c>
      <c r="F24">
        <f t="shared" si="7"/>
        <v>0.24613333333333287</v>
      </c>
      <c r="G24">
        <f t="shared" si="7"/>
        <v>0.17946666666666644</v>
      </c>
      <c r="H24">
        <f t="shared" si="7"/>
        <v>0.11280000000000001</v>
      </c>
      <c r="I24">
        <f t="shared" si="7"/>
        <v>4.6133333333333582E-2</v>
      </c>
      <c r="J24">
        <f t="shared" si="7"/>
        <v>-2.0533333333332848E-2</v>
      </c>
      <c r="K24">
        <f t="shared" si="7"/>
        <v>-8.7199999999999278E-2</v>
      </c>
      <c r="L24">
        <f t="shared" si="7"/>
        <v>-0.15386666666666571</v>
      </c>
      <c r="M24">
        <f t="shared" si="7"/>
        <v>-0.22053333333333214</v>
      </c>
      <c r="N24">
        <f t="shared" si="7"/>
        <v>-0.28719999999999857</v>
      </c>
      <c r="P24">
        <f t="shared" si="3"/>
        <v>18.33638534881646</v>
      </c>
      <c r="R24" s="27">
        <f t="shared" ref="R24:AD33" si="9">(riseset(planetno, $A24,R$3, longi, 1,-0.8333,pres,temp)-$AF24)*60</f>
        <v>51.388774830802788</v>
      </c>
      <c r="S24" s="27">
        <f t="shared" si="9"/>
        <v>43.199651271605291</v>
      </c>
      <c r="T24" s="27">
        <f t="shared" si="9"/>
        <v>35.694348655222399</v>
      </c>
      <c r="U24" s="27">
        <f t="shared" si="9"/>
        <v>28.77176004815361</v>
      </c>
      <c r="V24" s="27">
        <f t="shared" si="9"/>
        <v>22.351751857042395</v>
      </c>
      <c r="W24" s="27">
        <f t="shared" si="9"/>
        <v>16.369581956407266</v>
      </c>
      <c r="X24" s="27">
        <f t="shared" si="9"/>
        <v>10.772100500520452</v>
      </c>
      <c r="Y24" s="27">
        <f t="shared" si="9"/>
        <v>5.5150801131587457</v>
      </c>
      <c r="Z24" s="27">
        <f t="shared" si="9"/>
        <v>0.561288543908951</v>
      </c>
      <c r="AA24" s="27">
        <f t="shared" si="9"/>
        <v>-4.1209350137626544</v>
      </c>
      <c r="AB24" s="27">
        <f t="shared" si="9"/>
        <v>-8.5587526142445824</v>
      </c>
      <c r="AC24" s="27">
        <f t="shared" si="9"/>
        <v>-12.775649874485318</v>
      </c>
      <c r="AD24" s="27">
        <f t="shared" si="9"/>
        <v>-16.792075994453413</v>
      </c>
      <c r="AF24">
        <f t="shared" si="5"/>
        <v>14.328980401874901</v>
      </c>
    </row>
    <row r="25" spans="1:32">
      <c r="A25" s="10">
        <f t="shared" si="6"/>
        <v>43739</v>
      </c>
      <c r="B25">
        <f t="shared" si="7"/>
        <v>0.51279999999999859</v>
      </c>
      <c r="C25">
        <f t="shared" si="7"/>
        <v>0.44613333333333216</v>
      </c>
      <c r="D25">
        <f t="shared" si="7"/>
        <v>0.37946666666666573</v>
      </c>
      <c r="E25">
        <f t="shared" si="7"/>
        <v>0.3127999999999993</v>
      </c>
      <c r="F25">
        <f t="shared" si="7"/>
        <v>0.24613333333333287</v>
      </c>
      <c r="G25">
        <f t="shared" si="7"/>
        <v>0.17946666666666644</v>
      </c>
      <c r="H25">
        <f t="shared" si="7"/>
        <v>0.11280000000000001</v>
      </c>
      <c r="I25">
        <f t="shared" si="7"/>
        <v>4.6133333333333582E-2</v>
      </c>
      <c r="J25">
        <f t="shared" si="7"/>
        <v>-2.0533333333332848E-2</v>
      </c>
      <c r="K25">
        <f t="shared" si="7"/>
        <v>-8.7199999999999278E-2</v>
      </c>
      <c r="L25">
        <f t="shared" si="7"/>
        <v>-0.15386666666666926</v>
      </c>
      <c r="M25">
        <f t="shared" si="7"/>
        <v>-0.22053333333333214</v>
      </c>
      <c r="N25">
        <f t="shared" si="7"/>
        <v>-0.28720000000000212</v>
      </c>
      <c r="P25">
        <f t="shared" si="3"/>
        <v>16.589199967003179</v>
      </c>
      <c r="R25" s="27">
        <f t="shared" si="9"/>
        <v>53.055304174613909</v>
      </c>
      <c r="S25" s="27">
        <f t="shared" si="9"/>
        <v>44.557613106376017</v>
      </c>
      <c r="T25" s="27">
        <f t="shared" si="9"/>
        <v>36.78666635227188</v>
      </c>
      <c r="U25" s="27">
        <f t="shared" si="9"/>
        <v>29.631865535836717</v>
      </c>
      <c r="V25" s="27">
        <f t="shared" si="9"/>
        <v>23.006301562220699</v>
      </c>
      <c r="W25" s="27">
        <f t="shared" si="9"/>
        <v>16.840245456710008</v>
      </c>
      <c r="X25" s="27">
        <f t="shared" si="9"/>
        <v>11.076782220157</v>
      </c>
      <c r="Y25" s="27">
        <f t="shared" si="9"/>
        <v>5.6687796723479522</v>
      </c>
      <c r="Z25" s="27">
        <f t="shared" si="9"/>
        <v>0.57672260446537393</v>
      </c>
      <c r="AA25" s="27">
        <f t="shared" si="9"/>
        <v>-4.2328731040615963</v>
      </c>
      <c r="AB25" s="27">
        <f t="shared" si="9"/>
        <v>-8.7886463767875256</v>
      </c>
      <c r="AC25" s="27">
        <f t="shared" si="9"/>
        <v>-13.11529406179389</v>
      </c>
      <c r="AD25" s="27">
        <f t="shared" si="9"/>
        <v>-17.2342697960935</v>
      </c>
      <c r="AF25">
        <f t="shared" si="5"/>
        <v>12.627085078228053</v>
      </c>
    </row>
    <row r="26" spans="1:32">
      <c r="A26" s="10">
        <f t="shared" si="6"/>
        <v>43770</v>
      </c>
      <c r="B26">
        <f t="shared" si="7"/>
        <v>0.51280000000000037</v>
      </c>
      <c r="C26">
        <f t="shared" si="7"/>
        <v>0.44613333333333394</v>
      </c>
      <c r="D26">
        <f t="shared" si="7"/>
        <v>0.37946666666666751</v>
      </c>
      <c r="E26">
        <f t="shared" si="7"/>
        <v>0.31280000000000108</v>
      </c>
      <c r="F26">
        <f t="shared" si="7"/>
        <v>0.24613333333333465</v>
      </c>
      <c r="G26">
        <f t="shared" si="7"/>
        <v>0.17946666666666822</v>
      </c>
      <c r="H26">
        <f t="shared" si="7"/>
        <v>0.11280000000000179</v>
      </c>
      <c r="I26">
        <f t="shared" si="7"/>
        <v>4.6133333333333582E-2</v>
      </c>
      <c r="J26">
        <f t="shared" si="7"/>
        <v>-2.0533333333332848E-2</v>
      </c>
      <c r="K26">
        <f t="shared" si="7"/>
        <v>-8.7199999999999278E-2</v>
      </c>
      <c r="L26">
        <f t="shared" si="7"/>
        <v>-0.15386666666666571</v>
      </c>
      <c r="M26">
        <f t="shared" si="7"/>
        <v>-0.22053333333333214</v>
      </c>
      <c r="N26">
        <f t="shared" si="7"/>
        <v>-0.28719999999999857</v>
      </c>
      <c r="P26">
        <f t="shared" si="3"/>
        <v>14.931122854286096</v>
      </c>
      <c r="R26" s="27">
        <f t="shared" si="9"/>
        <v>54.963794796700576</v>
      </c>
      <c r="S26" s="27">
        <f t="shared" si="9"/>
        <v>46.107201343895028</v>
      </c>
      <c r="T26" s="27">
        <f t="shared" si="9"/>
        <v>38.029518369804869</v>
      </c>
      <c r="U26" s="27">
        <f t="shared" si="9"/>
        <v>30.608153622569851</v>
      </c>
      <c r="V26" s="27">
        <f t="shared" si="9"/>
        <v>23.747761127203759</v>
      </c>
      <c r="W26" s="27">
        <f t="shared" si="9"/>
        <v>17.372477040505423</v>
      </c>
      <c r="X26" s="27">
        <f t="shared" si="9"/>
        <v>11.420801247058883</v>
      </c>
      <c r="Y26" s="27">
        <f t="shared" si="9"/>
        <v>5.8420946006924623</v>
      </c>
      <c r="Z26" s="27">
        <f t="shared" si="9"/>
        <v>0.59410611725855489</v>
      </c>
      <c r="AA26" s="27">
        <f t="shared" si="9"/>
        <v>-4.3588191782573205</v>
      </c>
      <c r="AB26" s="27">
        <f t="shared" si="9"/>
        <v>-9.0470686082377938</v>
      </c>
      <c r="AC26" s="27">
        <f t="shared" si="9"/>
        <v>-13.49676573923773</v>
      </c>
      <c r="AD26" s="27">
        <f t="shared" si="9"/>
        <v>-17.730542042540378</v>
      </c>
      <c r="AF26">
        <f t="shared" si="5"/>
        <v>11.019259669002491</v>
      </c>
    </row>
    <row r="27" spans="1:32">
      <c r="A27" s="10">
        <f t="shared" si="6"/>
        <v>43800</v>
      </c>
      <c r="B27">
        <f t="shared" si="7"/>
        <v>0.51280000000000037</v>
      </c>
      <c r="C27">
        <f t="shared" si="7"/>
        <v>0.44613333333333394</v>
      </c>
      <c r="D27">
        <f t="shared" si="7"/>
        <v>0.37946666666666751</v>
      </c>
      <c r="E27">
        <f t="shared" si="7"/>
        <v>0.31280000000000108</v>
      </c>
      <c r="F27">
        <f t="shared" si="7"/>
        <v>0.24613333333333465</v>
      </c>
      <c r="G27">
        <f t="shared" si="7"/>
        <v>0.17946666666666822</v>
      </c>
      <c r="H27">
        <f t="shared" si="7"/>
        <v>0.11280000000000179</v>
      </c>
      <c r="I27">
        <f t="shared" si="7"/>
        <v>4.6133333333335358E-2</v>
      </c>
      <c r="J27">
        <f t="shared" si="7"/>
        <v>-2.0533333333332848E-2</v>
      </c>
      <c r="K27">
        <f t="shared" si="7"/>
        <v>-8.7199999999999278E-2</v>
      </c>
      <c r="L27">
        <f t="shared" si="7"/>
        <v>-0.15386666666666571</v>
      </c>
      <c r="M27">
        <f t="shared" si="7"/>
        <v>-0.22053333333333214</v>
      </c>
      <c r="N27">
        <f t="shared" si="7"/>
        <v>-0.28719999999999857</v>
      </c>
      <c r="P27">
        <f t="shared" si="3"/>
        <v>13.418175266845662</v>
      </c>
      <c r="R27" s="27">
        <f t="shared" si="9"/>
        <v>55.970011444103562</v>
      </c>
      <c r="S27" s="27">
        <f t="shared" si="9"/>
        <v>46.921714047342142</v>
      </c>
      <c r="T27" s="27">
        <f t="shared" si="9"/>
        <v>38.681201520669788</v>
      </c>
      <c r="U27" s="27">
        <f t="shared" si="9"/>
        <v>31.119031519717666</v>
      </c>
      <c r="V27" s="27">
        <f t="shared" si="9"/>
        <v>24.135098305059799</v>
      </c>
      <c r="W27" s="27">
        <f t="shared" si="9"/>
        <v>17.650111623894063</v>
      </c>
      <c r="X27" s="27">
        <f t="shared" si="9"/>
        <v>11.600031925800884</v>
      </c>
      <c r="Y27" s="27">
        <f t="shared" si="9"/>
        <v>5.9322915325688186</v>
      </c>
      <c r="Z27" s="27">
        <f t="shared" si="9"/>
        <v>0.6031441835678919</v>
      </c>
      <c r="AA27" s="27">
        <f t="shared" si="9"/>
        <v>-4.4242453294506134</v>
      </c>
      <c r="AB27" s="27">
        <f t="shared" si="9"/>
        <v>-9.1812104763042868</v>
      </c>
      <c r="AC27" s="27">
        <f t="shared" si="9"/>
        <v>-13.694643729113878</v>
      </c>
      <c r="AD27" s="27">
        <f t="shared" si="9"/>
        <v>-17.987809017202281</v>
      </c>
      <c r="AF27">
        <f t="shared" si="5"/>
        <v>9.5321219105135313</v>
      </c>
    </row>
    <row r="28" spans="1:32">
      <c r="A28" s="10">
        <f t="shared" si="6"/>
        <v>43831</v>
      </c>
      <c r="B28">
        <f t="shared" si="7"/>
        <v>0.51280000000000037</v>
      </c>
      <c r="C28">
        <f t="shared" si="7"/>
        <v>0.44613333333333394</v>
      </c>
      <c r="D28">
        <f t="shared" si="7"/>
        <v>0.37946666666666751</v>
      </c>
      <c r="E28">
        <f t="shared" si="7"/>
        <v>0.31280000000000108</v>
      </c>
      <c r="F28">
        <f t="shared" si="7"/>
        <v>0.24613333333333465</v>
      </c>
      <c r="G28">
        <f t="shared" si="7"/>
        <v>0.17946666666666822</v>
      </c>
      <c r="H28">
        <f t="shared" si="7"/>
        <v>0.11280000000000001</v>
      </c>
      <c r="I28">
        <f t="shared" si="7"/>
        <v>4.6133333333333582E-2</v>
      </c>
      <c r="J28">
        <f t="shared" si="7"/>
        <v>-2.0533333333332848E-2</v>
      </c>
      <c r="K28">
        <f t="shared" si="7"/>
        <v>-8.7199999999999278E-2</v>
      </c>
      <c r="L28">
        <f t="shared" si="7"/>
        <v>-0.15386666666666571</v>
      </c>
      <c r="M28">
        <f t="shared" si="7"/>
        <v>-0.22053333333333214</v>
      </c>
      <c r="N28">
        <f t="shared" si="7"/>
        <v>-0.28719999999999857</v>
      </c>
      <c r="P28">
        <f t="shared" si="3"/>
        <v>11.897616883358982</v>
      </c>
      <c r="R28" s="27">
        <f t="shared" si="9"/>
        <v>55.401331951312471</v>
      </c>
      <c r="S28" s="27">
        <f t="shared" si="9"/>
        <v>46.461593898405873</v>
      </c>
      <c r="T28" s="27">
        <f t="shared" si="9"/>
        <v>38.3132021528791</v>
      </c>
      <c r="U28" s="27">
        <f t="shared" si="9"/>
        <v>30.830632461839329</v>
      </c>
      <c r="V28" s="27">
        <f t="shared" si="9"/>
        <v>23.91649648839163</v>
      </c>
      <c r="W28" s="27">
        <f t="shared" si="9"/>
        <v>17.493457177533109</v>
      </c>
      <c r="X28" s="27">
        <f t="shared" si="9"/>
        <v>11.498920728277646</v>
      </c>
      <c r="Y28" s="27">
        <f t="shared" si="9"/>
        <v>5.881416234989274</v>
      </c>
      <c r="Z28" s="27">
        <f t="shared" si="9"/>
        <v>0.59804703128662595</v>
      </c>
      <c r="AA28" s="27">
        <f t="shared" si="9"/>
        <v>-4.3873520345615447</v>
      </c>
      <c r="AB28" s="27">
        <f t="shared" si="9"/>
        <v>-9.1055776488664897</v>
      </c>
      <c r="AC28" s="27">
        <f t="shared" si="9"/>
        <v>-13.583086324695515</v>
      </c>
      <c r="AD28" s="27">
        <f t="shared" si="9"/>
        <v>-17.842783592659739</v>
      </c>
      <c r="AF28">
        <f t="shared" si="5"/>
        <v>7.9970343346630344</v>
      </c>
    </row>
    <row r="29" spans="1:32">
      <c r="A29" s="10">
        <f t="shared" si="6"/>
        <v>43862</v>
      </c>
      <c r="B29">
        <f t="shared" si="7"/>
        <v>0.51280000000000037</v>
      </c>
      <c r="C29">
        <f t="shared" si="7"/>
        <v>0.44613333333333394</v>
      </c>
      <c r="D29">
        <f t="shared" si="7"/>
        <v>0.37946666666666751</v>
      </c>
      <c r="E29">
        <f t="shared" si="7"/>
        <v>0.31280000000000108</v>
      </c>
      <c r="F29">
        <f t="shared" si="7"/>
        <v>0.24613333333333287</v>
      </c>
      <c r="G29">
        <f t="shared" si="7"/>
        <v>0.17946666666666644</v>
      </c>
      <c r="H29">
        <f t="shared" si="7"/>
        <v>0.11280000000000001</v>
      </c>
      <c r="I29">
        <f t="shared" si="7"/>
        <v>4.6133333333333582E-2</v>
      </c>
      <c r="J29">
        <f t="shared" si="7"/>
        <v>-2.0533333333332848E-2</v>
      </c>
      <c r="K29">
        <f t="shared" si="7"/>
        <v>-8.7199999999999278E-2</v>
      </c>
      <c r="L29">
        <f t="shared" si="7"/>
        <v>-0.15386666666666571</v>
      </c>
      <c r="M29">
        <f t="shared" si="7"/>
        <v>-0.22053333333333214</v>
      </c>
      <c r="N29">
        <f t="shared" si="7"/>
        <v>-0.28720000000000034</v>
      </c>
      <c r="P29">
        <f t="shared" si="3"/>
        <v>10.369400620670346</v>
      </c>
      <c r="R29" s="27">
        <f t="shared" si="9"/>
        <v>53.209749019897608</v>
      </c>
      <c r="S29" s="27">
        <f t="shared" si="9"/>
        <v>44.68323710518213</v>
      </c>
      <c r="T29" s="27">
        <f t="shared" si="9"/>
        <v>36.887568771811736</v>
      </c>
      <c r="U29" s="27">
        <f t="shared" si="9"/>
        <v>29.711221209889924</v>
      </c>
      <c r="V29" s="27">
        <f t="shared" si="9"/>
        <v>23.066630202476102</v>
      </c>
      <c r="W29" s="27">
        <f t="shared" si="9"/>
        <v>16.88358749541397</v>
      </c>
      <c r="X29" s="27">
        <f t="shared" si="9"/>
        <v>11.10481805756617</v>
      </c>
      <c r="Y29" s="27">
        <f t="shared" si="9"/>
        <v>5.6829131459670812</v>
      </c>
      <c r="Z29" s="27">
        <f t="shared" si="9"/>
        <v>0.57814100604907992</v>
      </c>
      <c r="AA29" s="27">
        <f t="shared" si="9"/>
        <v>-4.2431548660517748</v>
      </c>
      <c r="AB29" s="27">
        <f t="shared" si="9"/>
        <v>-8.8097526222446021</v>
      </c>
      <c r="AC29" s="27">
        <f t="shared" si="9"/>
        <v>-13.146463005911961</v>
      </c>
      <c r="AD29" s="27">
        <f t="shared" si="9"/>
        <v>-17.274833889263217</v>
      </c>
      <c r="AF29">
        <f t="shared" si="5"/>
        <v>6.411416108999731</v>
      </c>
    </row>
    <row r="30" spans="1:32">
      <c r="A30" s="10">
        <f t="shared" si="6"/>
        <v>43891</v>
      </c>
      <c r="B30">
        <f t="shared" ref="B30:N49" si="10">TimeofTransit(planetno, $A30,$C$1,B$3)-$P30</f>
        <v>0.51280000000000037</v>
      </c>
      <c r="C30">
        <f t="shared" si="10"/>
        <v>0.44613333333333394</v>
      </c>
      <c r="D30">
        <f t="shared" si="10"/>
        <v>0.37946666666666751</v>
      </c>
      <c r="E30">
        <f t="shared" si="10"/>
        <v>0.31280000000000108</v>
      </c>
      <c r="F30">
        <f t="shared" si="10"/>
        <v>0.24613333333333465</v>
      </c>
      <c r="G30">
        <f t="shared" si="10"/>
        <v>0.17946666666666822</v>
      </c>
      <c r="H30">
        <f t="shared" si="10"/>
        <v>0.11280000000000179</v>
      </c>
      <c r="I30">
        <f t="shared" si="10"/>
        <v>4.6133333333335358E-2</v>
      </c>
      <c r="J30">
        <f t="shared" si="10"/>
        <v>-2.0533333333332848E-2</v>
      </c>
      <c r="K30">
        <f t="shared" si="10"/>
        <v>-8.7199999999999278E-2</v>
      </c>
      <c r="L30">
        <f t="shared" si="10"/>
        <v>-0.15386666666666571</v>
      </c>
      <c r="M30">
        <f t="shared" si="10"/>
        <v>-0.22053333333333214</v>
      </c>
      <c r="N30">
        <f t="shared" si="10"/>
        <v>-0.28719999999999857</v>
      </c>
      <c r="P30">
        <f t="shared" si="3"/>
        <v>8.8874160701306089</v>
      </c>
      <c r="R30" s="27">
        <f t="shared" si="9"/>
        <v>50.369476427863482</v>
      </c>
      <c r="S30" s="27">
        <f t="shared" si="9"/>
        <v>42.366952556758868</v>
      </c>
      <c r="T30" s="27">
        <f t="shared" si="9"/>
        <v>35.023136300966513</v>
      </c>
      <c r="U30" s="27">
        <f t="shared" si="9"/>
        <v>28.242312355710304</v>
      </c>
      <c r="V30" s="27">
        <f t="shared" si="9"/>
        <v>21.948237411432068</v>
      </c>
      <c r="W30" s="27">
        <f t="shared" si="9"/>
        <v>16.079058179234771</v>
      </c>
      <c r="X30" s="27">
        <f t="shared" si="9"/>
        <v>10.583822319602945</v>
      </c>
      <c r="Y30" s="27">
        <f t="shared" si="9"/>
        <v>5.4200087032056921</v>
      </c>
      <c r="Z30" s="27">
        <f t="shared" si="9"/>
        <v>0.55173349630019075</v>
      </c>
      <c r="AA30" s="27">
        <f t="shared" si="9"/>
        <v>-4.0515819664344299</v>
      </c>
      <c r="AB30" s="27">
        <f t="shared" si="9"/>
        <v>-8.416219480021816</v>
      </c>
      <c r="AC30" s="27">
        <f t="shared" si="9"/>
        <v>-12.564940002144791</v>
      </c>
      <c r="AD30" s="27">
        <f t="shared" si="9"/>
        <v>-16.517589766601315</v>
      </c>
      <c r="AF30">
        <f t="shared" si="5"/>
        <v>4.8516546734758741</v>
      </c>
    </row>
    <row r="31" spans="1:32">
      <c r="A31" s="10">
        <f t="shared" si="6"/>
        <v>43922</v>
      </c>
      <c r="B31">
        <f t="shared" si="10"/>
        <v>0.51280000000000037</v>
      </c>
      <c r="C31">
        <f t="shared" si="10"/>
        <v>0.44613333333333394</v>
      </c>
      <c r="D31">
        <f t="shared" si="10"/>
        <v>0.37946666666666751</v>
      </c>
      <c r="E31">
        <f t="shared" si="10"/>
        <v>0.31280000000000108</v>
      </c>
      <c r="F31">
        <f t="shared" si="10"/>
        <v>0.24613333333333376</v>
      </c>
      <c r="G31">
        <f t="shared" si="10"/>
        <v>0.17946666666666733</v>
      </c>
      <c r="H31">
        <f t="shared" si="10"/>
        <v>0.1128000000000009</v>
      </c>
      <c r="I31">
        <f t="shared" si="10"/>
        <v>4.6133333333333582E-2</v>
      </c>
      <c r="J31">
        <f t="shared" si="10"/>
        <v>-2.0533333333332848E-2</v>
      </c>
      <c r="K31">
        <f t="shared" si="10"/>
        <v>-8.7199999999999278E-2</v>
      </c>
      <c r="L31">
        <f t="shared" si="10"/>
        <v>-0.15386666666666571</v>
      </c>
      <c r="M31">
        <f t="shared" si="10"/>
        <v>-0.22053333333333303</v>
      </c>
      <c r="N31">
        <f t="shared" si="10"/>
        <v>-0.28719999999999946</v>
      </c>
      <c r="P31">
        <f t="shared" si="3"/>
        <v>7.1978032396076115</v>
      </c>
      <c r="R31" s="27">
        <f t="shared" si="9"/>
        <v>47.554468028301393</v>
      </c>
      <c r="S31" s="27">
        <f t="shared" si="9"/>
        <v>40.059299867164839</v>
      </c>
      <c r="T31" s="27">
        <f t="shared" si="9"/>
        <v>33.157675855975967</v>
      </c>
      <c r="U31" s="27">
        <f t="shared" si="9"/>
        <v>26.767300494514341</v>
      </c>
      <c r="V31" s="27">
        <f t="shared" si="9"/>
        <v>20.821753606301101</v>
      </c>
      <c r="W31" s="27">
        <f t="shared" si="9"/>
        <v>15.266564718611004</v>
      </c>
      <c r="X31" s="27">
        <f t="shared" si="9"/>
        <v>10.056455322204325</v>
      </c>
      <c r="Y31" s="27">
        <f t="shared" si="9"/>
        <v>5.1533487205499284</v>
      </c>
      <c r="Z31" s="27">
        <f t="shared" si="9"/>
        <v>0.52490047426903885</v>
      </c>
      <c r="AA31" s="27">
        <f t="shared" si="9"/>
        <v>-3.8566084344740581</v>
      </c>
      <c r="AB31" s="27">
        <f t="shared" si="9"/>
        <v>-8.0151197439675848</v>
      </c>
      <c r="AC31" s="27">
        <f t="shared" si="9"/>
        <v>-11.971457744707799</v>
      </c>
      <c r="AD31" s="27">
        <f t="shared" si="9"/>
        <v>-15.743849542388695</v>
      </c>
      <c r="AF31">
        <f t="shared" si="5"/>
        <v>3.0811101279185937</v>
      </c>
    </row>
    <row r="32" spans="1:32">
      <c r="A32" s="10">
        <f t="shared" si="6"/>
        <v>43952</v>
      </c>
      <c r="B32">
        <f t="shared" si="10"/>
        <v>0.51280000000000037</v>
      </c>
      <c r="C32">
        <f t="shared" si="10"/>
        <v>0.44613333333333394</v>
      </c>
      <c r="D32">
        <f t="shared" si="10"/>
        <v>0.37946666666666751</v>
      </c>
      <c r="E32">
        <f t="shared" si="10"/>
        <v>0.31280000000000108</v>
      </c>
      <c r="F32">
        <f t="shared" si="10"/>
        <v>0.24613333333333376</v>
      </c>
      <c r="G32">
        <f t="shared" si="10"/>
        <v>0.17946666666666733</v>
      </c>
      <c r="H32">
        <f t="shared" si="10"/>
        <v>0.1128000000000009</v>
      </c>
      <c r="I32">
        <f t="shared" si="10"/>
        <v>4.613333333333447E-2</v>
      </c>
      <c r="J32">
        <f t="shared" si="10"/>
        <v>-2.0533333333332848E-2</v>
      </c>
      <c r="K32">
        <f t="shared" si="10"/>
        <v>-8.7199999999999278E-2</v>
      </c>
      <c r="L32">
        <f t="shared" si="10"/>
        <v>-0.15386666666666571</v>
      </c>
      <c r="M32">
        <f t="shared" si="10"/>
        <v>-0.22053333333333214</v>
      </c>
      <c r="N32">
        <f t="shared" si="10"/>
        <v>-0.28719999999999946</v>
      </c>
      <c r="P32">
        <f t="shared" si="3"/>
        <v>5.4103033668092921</v>
      </c>
      <c r="R32" s="27">
        <f t="shared" si="9"/>
        <v>46.047149229748435</v>
      </c>
      <c r="S32" s="27">
        <f t="shared" si="9"/>
        <v>38.819068639692418</v>
      </c>
      <c r="T32" s="27">
        <f t="shared" si="9"/>
        <v>32.152003951497186</v>
      </c>
      <c r="U32" s="27">
        <f t="shared" si="9"/>
        <v>25.970043459346847</v>
      </c>
      <c r="V32" s="27">
        <f t="shared" si="9"/>
        <v>20.211515090777183</v>
      </c>
      <c r="W32" s="27">
        <f t="shared" si="9"/>
        <v>14.825565184258354</v>
      </c>
      <c r="X32" s="27">
        <f t="shared" si="9"/>
        <v>9.7697268397269621</v>
      </c>
      <c r="Y32" s="27">
        <f t="shared" si="9"/>
        <v>5.0081476337090791</v>
      </c>
      <c r="Z32" s="27">
        <f t="shared" si="9"/>
        <v>0.51026979291833641</v>
      </c>
      <c r="AA32" s="27">
        <f t="shared" si="9"/>
        <v>-3.7501711843419017</v>
      </c>
      <c r="AB32" s="27">
        <f t="shared" si="9"/>
        <v>-7.7959187802437668</v>
      </c>
      <c r="AC32" s="27">
        <f t="shared" si="9"/>
        <v>-11.646799628236302</v>
      </c>
      <c r="AD32" s="27">
        <f t="shared" si="9"/>
        <v>-15.320202254618085</v>
      </c>
      <c r="AF32">
        <f t="shared" si="5"/>
        <v>1.2486763217953065</v>
      </c>
    </row>
    <row r="33" spans="1:32">
      <c r="A33" s="10">
        <f t="shared" si="6"/>
        <v>43983</v>
      </c>
      <c r="B33">
        <f t="shared" si="10"/>
        <v>0.51280000000000037</v>
      </c>
      <c r="C33">
        <f t="shared" si="10"/>
        <v>0.44613333333333394</v>
      </c>
      <c r="D33">
        <f t="shared" si="10"/>
        <v>0.37946666666666706</v>
      </c>
      <c r="E33">
        <f t="shared" si="10"/>
        <v>0.31280000000000063</v>
      </c>
      <c r="F33">
        <f t="shared" si="10"/>
        <v>0.24613333333333376</v>
      </c>
      <c r="G33">
        <f t="shared" si="10"/>
        <v>0.17946666666666689</v>
      </c>
      <c r="H33">
        <f t="shared" si="10"/>
        <v>0.11280000000000046</v>
      </c>
      <c r="I33">
        <f t="shared" si="10"/>
        <v>4.6133333333333582E-2</v>
      </c>
      <c r="J33">
        <f t="shared" si="10"/>
        <v>-2.0533333333332848E-2</v>
      </c>
      <c r="K33">
        <f t="shared" si="10"/>
        <v>-8.7199999999999722E-2</v>
      </c>
      <c r="L33">
        <f t="shared" si="10"/>
        <v>-0.15386666666666615</v>
      </c>
      <c r="M33">
        <f t="shared" si="10"/>
        <v>-0.22053333333333303</v>
      </c>
      <c r="N33">
        <f t="shared" si="10"/>
        <v>-0.28719999999999946</v>
      </c>
      <c r="P33">
        <f t="shared" si="3"/>
        <v>3.3654756095202876</v>
      </c>
      <c r="R33" s="27">
        <f t="shared" si="9"/>
        <v>46.458758916910128</v>
      </c>
      <c r="S33" s="27">
        <f t="shared" si="9"/>
        <v>39.15804900025563</v>
      </c>
      <c r="T33" s="27">
        <f t="shared" si="9"/>
        <v>32.427082041047441</v>
      </c>
      <c r="U33" s="27">
        <f t="shared" si="9"/>
        <v>26.18825454516049</v>
      </c>
      <c r="V33" s="27">
        <f t="shared" si="9"/>
        <v>20.378631154633524</v>
      </c>
      <c r="W33" s="27">
        <f t="shared" si="9"/>
        <v>14.946392701096727</v>
      </c>
      <c r="X33" s="27">
        <f t="shared" si="9"/>
        <v>9.8483195802661783</v>
      </c>
      <c r="Y33" s="27">
        <f t="shared" si="9"/>
        <v>5.0479624282124291</v>
      </c>
      <c r="Z33" s="27">
        <f t="shared" si="9"/>
        <v>0.51428293690165106</v>
      </c>
      <c r="AA33" s="27">
        <f t="shared" si="9"/>
        <v>-3.779375342332898</v>
      </c>
      <c r="AB33" s="27">
        <f t="shared" si="9"/>
        <v>-7.8560793312797728</v>
      </c>
      <c r="AC33" s="27">
        <f t="shared" si="9"/>
        <v>-11.735925363839854</v>
      </c>
      <c r="AD33" s="27">
        <f t="shared" si="9"/>
        <v>-15.436528971178092</v>
      </c>
      <c r="AF33">
        <f t="shared" si="5"/>
        <v>23.216230277472583</v>
      </c>
    </row>
    <row r="34" spans="1:32">
      <c r="A34" s="10">
        <f t="shared" si="6"/>
        <v>44013</v>
      </c>
      <c r="B34">
        <f t="shared" si="10"/>
        <v>0.51280000000000059</v>
      </c>
      <c r="C34">
        <f t="shared" si="10"/>
        <v>0.44613333333333394</v>
      </c>
      <c r="D34">
        <f t="shared" si="10"/>
        <v>0.37946666666666728</v>
      </c>
      <c r="E34">
        <f t="shared" si="10"/>
        <v>0.31280000000000063</v>
      </c>
      <c r="F34">
        <f t="shared" si="10"/>
        <v>0.24613333333333376</v>
      </c>
      <c r="G34">
        <f t="shared" si="10"/>
        <v>0.17946666666666711</v>
      </c>
      <c r="H34">
        <f t="shared" si="10"/>
        <v>0.11280000000000046</v>
      </c>
      <c r="I34">
        <f t="shared" si="10"/>
        <v>4.6133333333333804E-2</v>
      </c>
      <c r="J34">
        <f t="shared" si="10"/>
        <v>-2.0533333333332848E-2</v>
      </c>
      <c r="K34">
        <f t="shared" si="10"/>
        <v>-8.71999999999995E-2</v>
      </c>
      <c r="L34">
        <f t="shared" si="10"/>
        <v>-0.15386666666666615</v>
      </c>
      <c r="M34">
        <f t="shared" si="10"/>
        <v>-0.2205333333333328</v>
      </c>
      <c r="N34">
        <f t="shared" si="10"/>
        <v>-0.28719999999999946</v>
      </c>
      <c r="P34">
        <f t="shared" si="3"/>
        <v>1.2049433128612008</v>
      </c>
      <c r="R34" s="27">
        <f t="shared" ref="R34:AD43" si="11">(riseset(planetno, $A34,R$3, longi, 1,-0.8333,pres,temp)-$AF34)*60</f>
        <v>48.646850009748732</v>
      </c>
      <c r="S34" s="27">
        <f t="shared" si="11"/>
        <v>40.956154851293647</v>
      </c>
      <c r="T34" s="27">
        <f t="shared" si="11"/>
        <v>33.88358528504213</v>
      </c>
      <c r="U34" s="27">
        <f t="shared" si="11"/>
        <v>27.34188137765905</v>
      </c>
      <c r="V34" s="27">
        <f t="shared" si="11"/>
        <v>21.26096486367075</v>
      </c>
      <c r="W34" s="27">
        <f t="shared" si="11"/>
        <v>15.583600661147017</v>
      </c>
      <c r="X34" s="27">
        <f t="shared" si="11"/>
        <v>10.26237559252948</v>
      </c>
      <c r="Y34" s="27">
        <f t="shared" si="11"/>
        <v>5.2575340603664245</v>
      </c>
      <c r="Z34" s="27">
        <f t="shared" si="11"/>
        <v>0.5353899066120249</v>
      </c>
      <c r="AA34" s="27">
        <f t="shared" si="11"/>
        <v>-3.9328632647954009</v>
      </c>
      <c r="AB34" s="27">
        <f t="shared" si="11"/>
        <v>-8.172059417848061</v>
      </c>
      <c r="AC34" s="27">
        <f t="shared" si="11"/>
        <v>-12.203763050864822</v>
      </c>
      <c r="AD34" s="27">
        <f t="shared" si="11"/>
        <v>-16.046821453538129</v>
      </c>
      <c r="AF34">
        <f t="shared" si="5"/>
        <v>21.120115658306897</v>
      </c>
    </row>
    <row r="35" spans="1:32">
      <c r="A35" s="10">
        <f t="shared" si="6"/>
        <v>44044</v>
      </c>
      <c r="B35">
        <f t="shared" si="10"/>
        <v>0.51280000000000214</v>
      </c>
      <c r="C35">
        <f t="shared" si="10"/>
        <v>0.44613333333333571</v>
      </c>
      <c r="D35">
        <f t="shared" si="10"/>
        <v>0.37946666666666928</v>
      </c>
      <c r="E35">
        <f t="shared" si="10"/>
        <v>0.31280000000000285</v>
      </c>
      <c r="F35">
        <f t="shared" si="10"/>
        <v>0.24613333333333642</v>
      </c>
      <c r="G35">
        <f t="shared" si="10"/>
        <v>0.17946666666666999</v>
      </c>
      <c r="H35">
        <f t="shared" si="10"/>
        <v>0.11280000000000001</v>
      </c>
      <c r="I35">
        <f t="shared" si="10"/>
        <v>4.6133333333333582E-2</v>
      </c>
      <c r="J35">
        <f t="shared" si="10"/>
        <v>-2.0533333333332848E-2</v>
      </c>
      <c r="K35">
        <f t="shared" si="10"/>
        <v>-8.7199999999999278E-2</v>
      </c>
      <c r="L35">
        <f t="shared" si="10"/>
        <v>-0.15386666666666571</v>
      </c>
      <c r="M35">
        <f t="shared" si="10"/>
        <v>-0.22053333333333214</v>
      </c>
      <c r="N35">
        <f t="shared" si="10"/>
        <v>-0.28719999999999857</v>
      </c>
      <c r="P35">
        <f t="shared" si="3"/>
        <v>22.893482685528813</v>
      </c>
      <c r="R35" s="27">
        <f t="shared" si="11"/>
        <v>51.426680390811157</v>
      </c>
      <c r="S35" s="27">
        <f t="shared" si="11"/>
        <v>43.23058687981117</v>
      </c>
      <c r="T35" s="27">
        <f t="shared" si="11"/>
        <v>35.719264565795328</v>
      </c>
      <c r="U35" s="27">
        <f t="shared" si="11"/>
        <v>28.791400143040988</v>
      </c>
      <c r="V35" s="27">
        <f t="shared" si="11"/>
        <v>22.366711722418415</v>
      </c>
      <c r="W35" s="27">
        <f t="shared" si="11"/>
        <v>16.38034743335993</v>
      </c>
      <c r="X35" s="27">
        <f t="shared" si="11"/>
        <v>10.779074189435747</v>
      </c>
      <c r="Y35" s="27">
        <f t="shared" si="11"/>
        <v>5.5186001425057896</v>
      </c>
      <c r="Z35" s="27">
        <f t="shared" si="11"/>
        <v>0.56164220052750125</v>
      </c>
      <c r="AA35" s="27">
        <f t="shared" si="11"/>
        <v>-4.1235011681693834</v>
      </c>
      <c r="AB35" s="27">
        <f t="shared" si="11"/>
        <v>-8.5640250905921533</v>
      </c>
      <c r="AC35" s="27">
        <f t="shared" si="11"/>
        <v>-12.783442370056903</v>
      </c>
      <c r="AD35" s="27">
        <f t="shared" si="11"/>
        <v>-16.802224797621079</v>
      </c>
      <c r="AF35">
        <f t="shared" si="5"/>
        <v>18.887122616748357</v>
      </c>
    </row>
    <row r="36" spans="1:32">
      <c r="A36" s="10">
        <f t="shared" si="6"/>
        <v>44075</v>
      </c>
      <c r="B36">
        <f t="shared" si="10"/>
        <v>0.51280000000000214</v>
      </c>
      <c r="C36">
        <f t="shared" si="10"/>
        <v>0.44613333333333216</v>
      </c>
      <c r="D36">
        <f t="shared" si="10"/>
        <v>0.37946666666666573</v>
      </c>
      <c r="E36">
        <f t="shared" si="10"/>
        <v>0.3127999999999993</v>
      </c>
      <c r="F36">
        <f t="shared" si="10"/>
        <v>0.24613333333333287</v>
      </c>
      <c r="G36">
        <f t="shared" si="10"/>
        <v>0.17946666666666644</v>
      </c>
      <c r="H36">
        <f t="shared" si="10"/>
        <v>0.11280000000000001</v>
      </c>
      <c r="I36">
        <f t="shared" si="10"/>
        <v>4.6133333333333582E-2</v>
      </c>
      <c r="J36">
        <f t="shared" si="10"/>
        <v>-2.0533333333332848E-2</v>
      </c>
      <c r="K36">
        <f t="shared" si="10"/>
        <v>-8.7199999999999278E-2</v>
      </c>
      <c r="L36">
        <f t="shared" si="10"/>
        <v>-0.15386666666666571</v>
      </c>
      <c r="M36">
        <f t="shared" si="10"/>
        <v>-0.22053333333333214</v>
      </c>
      <c r="N36">
        <f t="shared" si="10"/>
        <v>-0.28719999999999857</v>
      </c>
      <c r="P36">
        <f t="shared" si="3"/>
        <v>20.673819190380581</v>
      </c>
      <c r="R36" s="27">
        <f t="shared" si="11"/>
        <v>53.100825406975716</v>
      </c>
      <c r="S36" s="27">
        <f t="shared" si="11"/>
        <v>44.594643672662642</v>
      </c>
      <c r="T36" s="27">
        <f t="shared" si="11"/>
        <v>36.816412288630218</v>
      </c>
      <c r="U36" s="27">
        <f t="shared" si="11"/>
        <v>29.655261225764491</v>
      </c>
      <c r="V36" s="27">
        <f t="shared" si="11"/>
        <v>23.024088789812751</v>
      </c>
      <c r="W36" s="27">
        <f t="shared" si="11"/>
        <v>16.853025050673978</v>
      </c>
      <c r="X36" s="27">
        <f t="shared" si="11"/>
        <v>11.085049091557124</v>
      </c>
      <c r="Y36" s="27">
        <f t="shared" si="11"/>
        <v>5.6729473489641435</v>
      </c>
      <c r="Z36" s="27">
        <f t="shared" si="11"/>
        <v>0.57714087736563613</v>
      </c>
      <c r="AA36" s="27">
        <f t="shared" si="11"/>
        <v>-4.2359051920360002</v>
      </c>
      <c r="AB36" s="27">
        <f t="shared" si="11"/>
        <v>-8.7948707775847623</v>
      </c>
      <c r="AC36" s="27">
        <f t="shared" si="11"/>
        <v>-13.124486268163409</v>
      </c>
      <c r="AD36" s="27">
        <f t="shared" si="11"/>
        <v>-17.246233055716758</v>
      </c>
      <c r="AF36">
        <f t="shared" ref="AF36:AF67" si="12">riseset(planetno, ($A36),AF$3, longi, 1,-0.8333,pres,temp)</f>
        <v>16.712922866366629</v>
      </c>
    </row>
    <row r="37" spans="1:32">
      <c r="A37" s="10">
        <f t="shared" si="6"/>
        <v>44105</v>
      </c>
      <c r="B37">
        <f t="shared" si="10"/>
        <v>0.51280000000000214</v>
      </c>
      <c r="C37">
        <f t="shared" si="10"/>
        <v>0.44613333333333571</v>
      </c>
      <c r="D37">
        <f t="shared" si="10"/>
        <v>0.37946666666666573</v>
      </c>
      <c r="E37">
        <f t="shared" si="10"/>
        <v>0.31280000000000285</v>
      </c>
      <c r="F37">
        <f t="shared" si="10"/>
        <v>0.24613333333333287</v>
      </c>
      <c r="G37">
        <f t="shared" si="10"/>
        <v>0.17946666666666644</v>
      </c>
      <c r="H37">
        <f t="shared" si="10"/>
        <v>0.11280000000000001</v>
      </c>
      <c r="I37">
        <f t="shared" si="10"/>
        <v>4.6133333333333582E-2</v>
      </c>
      <c r="J37">
        <f t="shared" si="10"/>
        <v>-2.0533333333332848E-2</v>
      </c>
      <c r="K37">
        <f t="shared" si="10"/>
        <v>-8.7199999999999278E-2</v>
      </c>
      <c r="L37">
        <f t="shared" si="10"/>
        <v>-0.15386666666666571</v>
      </c>
      <c r="M37">
        <f t="shared" si="10"/>
        <v>-0.22053333333333214</v>
      </c>
      <c r="N37">
        <f t="shared" si="10"/>
        <v>-0.28719999999999857</v>
      </c>
      <c r="P37">
        <f t="shared" si="3"/>
        <v>18.716684650417854</v>
      </c>
      <c r="R37" s="27">
        <f t="shared" si="11"/>
        <v>53.058363569561102</v>
      </c>
      <c r="S37" s="27">
        <f t="shared" si="11"/>
        <v>44.560101965072541</v>
      </c>
      <c r="T37" s="27">
        <f t="shared" si="11"/>
        <v>36.788665672934187</v>
      </c>
      <c r="U37" s="27">
        <f t="shared" si="11"/>
        <v>29.633438080739758</v>
      </c>
      <c r="V37" s="27">
        <f t="shared" si="11"/>
        <v>23.007497162262176</v>
      </c>
      <c r="W37" s="27">
        <f t="shared" si="11"/>
        <v>16.841104477499229</v>
      </c>
      <c r="X37" s="27">
        <f t="shared" si="11"/>
        <v>11.077337913976599</v>
      </c>
      <c r="Y37" s="27">
        <f t="shared" si="11"/>
        <v>5.6690598252976443</v>
      </c>
      <c r="Z37" s="27">
        <f t="shared" si="11"/>
        <v>0.57675072133239524</v>
      </c>
      <c r="AA37" s="27">
        <f t="shared" si="11"/>
        <v>-4.2330769276047064</v>
      </c>
      <c r="AB37" s="27">
        <f t="shared" si="11"/>
        <v>-8.7890647991610749</v>
      </c>
      <c r="AC37" s="27">
        <f t="shared" si="11"/>
        <v>-13.115911994876086</v>
      </c>
      <c r="AD37" s="27">
        <f t="shared" si="11"/>
        <v>-17.235074016592655</v>
      </c>
      <c r="AF37">
        <f t="shared" si="12"/>
        <v>14.75465168979928</v>
      </c>
    </row>
    <row r="38" spans="1:32">
      <c r="A38" s="10">
        <f t="shared" si="6"/>
        <v>44136</v>
      </c>
      <c r="B38">
        <f t="shared" si="10"/>
        <v>0.51279999999999859</v>
      </c>
      <c r="C38">
        <f t="shared" si="10"/>
        <v>0.44613333333333216</v>
      </c>
      <c r="D38">
        <f t="shared" si="10"/>
        <v>0.37946666666666573</v>
      </c>
      <c r="E38">
        <f t="shared" si="10"/>
        <v>0.3127999999999993</v>
      </c>
      <c r="F38">
        <f t="shared" si="10"/>
        <v>0.24613333333333287</v>
      </c>
      <c r="G38">
        <f t="shared" si="10"/>
        <v>0.17946666666666644</v>
      </c>
      <c r="H38">
        <f t="shared" si="10"/>
        <v>0.11280000000000001</v>
      </c>
      <c r="I38">
        <f t="shared" si="10"/>
        <v>4.6133333333333582E-2</v>
      </c>
      <c r="J38">
        <f t="shared" si="10"/>
        <v>-2.0533333333332848E-2</v>
      </c>
      <c r="K38">
        <f t="shared" si="10"/>
        <v>-8.7199999999999278E-2</v>
      </c>
      <c r="L38">
        <f t="shared" si="10"/>
        <v>-0.15386666666666571</v>
      </c>
      <c r="M38">
        <f t="shared" si="10"/>
        <v>-0.22053333333333214</v>
      </c>
      <c r="N38">
        <f t="shared" si="10"/>
        <v>-0.28720000000000212</v>
      </c>
      <c r="P38">
        <f t="shared" si="3"/>
        <v>16.894819773643338</v>
      </c>
      <c r="R38" s="27">
        <f t="shared" si="11"/>
        <v>51.276694417858231</v>
      </c>
      <c r="S38" s="27">
        <f t="shared" si="11"/>
        <v>43.108166855296375</v>
      </c>
      <c r="T38" s="27">
        <f t="shared" si="11"/>
        <v>35.620657426952818</v>
      </c>
      <c r="U38" s="27">
        <f t="shared" si="11"/>
        <v>28.71366690326191</v>
      </c>
      <c r="V38" s="27">
        <f t="shared" si="11"/>
        <v>22.307498635431386</v>
      </c>
      <c r="W38" s="27">
        <f t="shared" si="11"/>
        <v>16.337734014118972</v>
      </c>
      <c r="X38" s="27">
        <f t="shared" si="11"/>
        <v>10.75146867956839</v>
      </c>
      <c r="Y38" s="27">
        <f t="shared" si="11"/>
        <v>5.5046654577892795</v>
      </c>
      <c r="Z38" s="27">
        <f t="shared" si="11"/>
        <v>0.56024213518629296</v>
      </c>
      <c r="AA38" s="27">
        <f t="shared" si="11"/>
        <v>-4.1133418801025812</v>
      </c>
      <c r="AB38" s="27">
        <f t="shared" si="11"/>
        <v>-8.5431509938163686</v>
      </c>
      <c r="AC38" s="27">
        <f t="shared" si="11"/>
        <v>-12.752590536857902</v>
      </c>
      <c r="AD38" s="27">
        <f t="shared" si="11"/>
        <v>-16.762042981273879</v>
      </c>
      <c r="AF38">
        <f t="shared" si="12"/>
        <v>12.884321262305807</v>
      </c>
    </row>
    <row r="39" spans="1:32">
      <c r="A39" s="10">
        <f t="shared" si="6"/>
        <v>44166</v>
      </c>
      <c r="B39">
        <f t="shared" si="10"/>
        <v>0.51280000000000037</v>
      </c>
      <c r="C39">
        <f t="shared" si="10"/>
        <v>0.44613333333333394</v>
      </c>
      <c r="D39">
        <f t="shared" si="10"/>
        <v>0.37946666666666751</v>
      </c>
      <c r="E39">
        <f t="shared" si="10"/>
        <v>0.31280000000000108</v>
      </c>
      <c r="F39">
        <f t="shared" si="10"/>
        <v>0.24613333333333287</v>
      </c>
      <c r="G39">
        <f t="shared" si="10"/>
        <v>0.17946666666666644</v>
      </c>
      <c r="H39">
        <f t="shared" si="10"/>
        <v>0.11280000000000001</v>
      </c>
      <c r="I39">
        <f t="shared" si="10"/>
        <v>4.6133333333333582E-2</v>
      </c>
      <c r="J39">
        <f t="shared" si="10"/>
        <v>-2.0533333333332848E-2</v>
      </c>
      <c r="K39">
        <f t="shared" si="10"/>
        <v>-8.7199999999999278E-2</v>
      </c>
      <c r="L39">
        <f t="shared" si="10"/>
        <v>-0.15386666666666571</v>
      </c>
      <c r="M39">
        <f t="shared" si="10"/>
        <v>-0.22053333333333214</v>
      </c>
      <c r="N39">
        <f t="shared" si="10"/>
        <v>-0.28720000000000034</v>
      </c>
      <c r="P39">
        <f t="shared" si="3"/>
        <v>15.277578556961343</v>
      </c>
      <c r="R39" s="27">
        <f t="shared" si="11"/>
        <v>47.9496044666611</v>
      </c>
      <c r="S39" s="27">
        <f t="shared" si="11"/>
        <v>40.383904247956721</v>
      </c>
      <c r="T39" s="27">
        <f t="shared" si="11"/>
        <v>33.42053962927217</v>
      </c>
      <c r="U39" s="27">
        <f t="shared" si="11"/>
        <v>26.975453364413617</v>
      </c>
      <c r="V39" s="27">
        <f t="shared" si="11"/>
        <v>20.980923760739856</v>
      </c>
      <c r="W39" s="27">
        <f t="shared" si="11"/>
        <v>15.381494583487623</v>
      </c>
      <c r="X39" s="27">
        <f t="shared" si="11"/>
        <v>10.131124765521378</v>
      </c>
      <c r="Y39" s="27">
        <f t="shared" si="11"/>
        <v>5.1911369052878342</v>
      </c>
      <c r="Z39" s="27">
        <f t="shared" si="11"/>
        <v>0.52870583213252331</v>
      </c>
      <c r="AA39" s="27">
        <f t="shared" si="11"/>
        <v>-3.8842775514342875</v>
      </c>
      <c r="AB39" s="27">
        <f t="shared" si="11"/>
        <v>-8.0720754029477959</v>
      </c>
      <c r="AC39" s="27">
        <f t="shared" si="11"/>
        <v>-12.055778096389957</v>
      </c>
      <c r="AD39" s="27">
        <f t="shared" si="11"/>
        <v>-15.853835869595265</v>
      </c>
      <c r="AF39">
        <f t="shared" si="12"/>
        <v>11.172479403704511</v>
      </c>
    </row>
    <row r="40" spans="1:32">
      <c r="A40" s="10">
        <f t="shared" si="6"/>
        <v>44197</v>
      </c>
      <c r="B40">
        <f t="shared" si="10"/>
        <v>0.51280000000000037</v>
      </c>
      <c r="C40">
        <f t="shared" si="10"/>
        <v>0.44613333333333394</v>
      </c>
      <c r="D40">
        <f t="shared" si="10"/>
        <v>0.37946666666666751</v>
      </c>
      <c r="E40">
        <f t="shared" si="10"/>
        <v>0.31280000000000108</v>
      </c>
      <c r="F40">
        <f t="shared" si="10"/>
        <v>0.24613333333333287</v>
      </c>
      <c r="G40">
        <f t="shared" si="10"/>
        <v>0.17946666666666644</v>
      </c>
      <c r="H40">
        <f t="shared" si="10"/>
        <v>0.11280000000000001</v>
      </c>
      <c r="I40">
        <f t="shared" si="10"/>
        <v>4.6133333333333582E-2</v>
      </c>
      <c r="J40">
        <f t="shared" si="10"/>
        <v>-2.0533333333332848E-2</v>
      </c>
      <c r="K40">
        <f t="shared" si="10"/>
        <v>-8.7199999999999278E-2</v>
      </c>
      <c r="L40">
        <f t="shared" si="10"/>
        <v>-0.15386666666666571</v>
      </c>
      <c r="M40">
        <f t="shared" si="10"/>
        <v>-0.22053333333333214</v>
      </c>
      <c r="N40">
        <f t="shared" si="10"/>
        <v>-0.28720000000000034</v>
      </c>
      <c r="P40">
        <f t="shared" si="3"/>
        <v>13.696820415783376</v>
      </c>
      <c r="R40" s="27">
        <f t="shared" si="11"/>
        <v>43.17060384445945</v>
      </c>
      <c r="S40" s="27">
        <f t="shared" si="11"/>
        <v>36.443957084709062</v>
      </c>
      <c r="T40" s="27">
        <f t="shared" si="11"/>
        <v>30.220420793199807</v>
      </c>
      <c r="U40" s="27">
        <f t="shared" si="11"/>
        <v>24.434913553973203</v>
      </c>
      <c r="V40" s="27">
        <f t="shared" si="11"/>
        <v>19.033940178697577</v>
      </c>
      <c r="W40" s="27">
        <f t="shared" si="11"/>
        <v>13.97295558296463</v>
      </c>
      <c r="X40" s="27">
        <f t="shared" si="11"/>
        <v>9.2144511554312913</v>
      </c>
      <c r="Y40" s="27">
        <f t="shared" si="11"/>
        <v>4.7265346856410417</v>
      </c>
      <c r="Z40" s="27">
        <f t="shared" si="11"/>
        <v>0.48185631058998979</v>
      </c>
      <c r="AA40" s="27">
        <f t="shared" si="11"/>
        <v>-3.5432174335311828</v>
      </c>
      <c r="AB40" s="27">
        <f t="shared" si="11"/>
        <v>-7.3692481176029645</v>
      </c>
      <c r="AC40" s="27">
        <f t="shared" si="11"/>
        <v>-11.01423490378501</v>
      </c>
      <c r="AD40" s="27">
        <f t="shared" si="11"/>
        <v>-14.494021982954379</v>
      </c>
      <c r="AF40">
        <f t="shared" si="12"/>
        <v>9.4463125600916129</v>
      </c>
    </row>
    <row r="41" spans="1:32">
      <c r="A41" s="10">
        <f t="shared" si="6"/>
        <v>44228</v>
      </c>
      <c r="B41">
        <f t="shared" si="10"/>
        <v>0.51280000000000037</v>
      </c>
      <c r="C41">
        <f t="shared" si="10"/>
        <v>0.44613333333333394</v>
      </c>
      <c r="D41">
        <f t="shared" si="10"/>
        <v>0.37946666666666751</v>
      </c>
      <c r="E41">
        <f t="shared" si="10"/>
        <v>0.31280000000000108</v>
      </c>
      <c r="F41">
        <f t="shared" si="10"/>
        <v>0.24613333333333465</v>
      </c>
      <c r="G41">
        <f t="shared" si="10"/>
        <v>0.17946666666666822</v>
      </c>
      <c r="H41">
        <f t="shared" si="10"/>
        <v>0.11280000000000179</v>
      </c>
      <c r="I41">
        <f t="shared" si="10"/>
        <v>4.6133333333335358E-2</v>
      </c>
      <c r="J41">
        <f t="shared" si="10"/>
        <v>-2.0533333333332848E-2</v>
      </c>
      <c r="K41">
        <f t="shared" si="10"/>
        <v>-8.7199999999999278E-2</v>
      </c>
      <c r="L41">
        <f t="shared" si="10"/>
        <v>-0.15386666666666571</v>
      </c>
      <c r="M41">
        <f t="shared" si="10"/>
        <v>-0.22053333333333214</v>
      </c>
      <c r="N41">
        <f t="shared" si="10"/>
        <v>-0.28719999999999857</v>
      </c>
      <c r="P41">
        <f t="shared" si="3"/>
        <v>12.152513294668903</v>
      </c>
      <c r="R41" s="27">
        <f t="shared" si="11"/>
        <v>37.637063042310857</v>
      </c>
      <c r="S41" s="27">
        <f t="shared" si="11"/>
        <v>31.847333947948151</v>
      </c>
      <c r="T41" s="27">
        <f t="shared" si="11"/>
        <v>26.462867093085762</v>
      </c>
      <c r="U41" s="27">
        <f t="shared" si="11"/>
        <v>21.435279749545479</v>
      </c>
      <c r="V41" s="27">
        <f t="shared" si="11"/>
        <v>16.724020684620307</v>
      </c>
      <c r="W41" s="27">
        <f t="shared" si="11"/>
        <v>12.294760436827019</v>
      </c>
      <c r="X41" s="27">
        <f t="shared" si="11"/>
        <v>8.118179653163704</v>
      </c>
      <c r="Y41" s="27">
        <f t="shared" si="11"/>
        <v>4.1690414251887198</v>
      </c>
      <c r="Z41" s="27">
        <f t="shared" si="11"/>
        <v>0.42547037871026205</v>
      </c>
      <c r="AA41" s="27">
        <f t="shared" si="11"/>
        <v>-3.1316150157844014</v>
      </c>
      <c r="AB41" s="27">
        <f t="shared" si="11"/>
        <v>-6.5189547764193811</v>
      </c>
      <c r="AC41" s="27">
        <f t="shared" si="11"/>
        <v>-9.7513116600152472</v>
      </c>
      <c r="AD41" s="27">
        <f t="shared" si="11"/>
        <v>-12.841767295681823</v>
      </c>
      <c r="AF41">
        <f t="shared" si="12"/>
        <v>7.7193849413664726</v>
      </c>
    </row>
    <row r="42" spans="1:32">
      <c r="A42" s="10">
        <f t="shared" si="6"/>
        <v>44256</v>
      </c>
      <c r="B42">
        <f t="shared" si="10"/>
        <v>0.51280000000000037</v>
      </c>
      <c r="C42">
        <f t="shared" si="10"/>
        <v>0.44613333333333394</v>
      </c>
      <c r="D42">
        <f t="shared" si="10"/>
        <v>0.37946666666666751</v>
      </c>
      <c r="E42">
        <f t="shared" si="10"/>
        <v>0.3127999999999993</v>
      </c>
      <c r="F42">
        <f t="shared" si="10"/>
        <v>0.24613333333333287</v>
      </c>
      <c r="G42">
        <f t="shared" si="10"/>
        <v>0.17946666666666644</v>
      </c>
      <c r="H42">
        <f t="shared" si="10"/>
        <v>0.11280000000000001</v>
      </c>
      <c r="I42">
        <f t="shared" si="10"/>
        <v>4.6133333333333582E-2</v>
      </c>
      <c r="J42">
        <f t="shared" si="10"/>
        <v>-2.0533333333332848E-2</v>
      </c>
      <c r="K42">
        <f t="shared" si="10"/>
        <v>-8.7199999999999278E-2</v>
      </c>
      <c r="L42">
        <f t="shared" si="10"/>
        <v>-0.15386666666666748</v>
      </c>
      <c r="M42">
        <f t="shared" si="10"/>
        <v>-0.22053333333333391</v>
      </c>
      <c r="N42">
        <f t="shared" si="10"/>
        <v>-0.28720000000000034</v>
      </c>
      <c r="P42">
        <f t="shared" si="3"/>
        <v>10.749114894042059</v>
      </c>
      <c r="R42" s="27">
        <f t="shared" si="11"/>
        <v>32.585806460278413</v>
      </c>
      <c r="S42" s="27">
        <f t="shared" si="11"/>
        <v>27.623712433764958</v>
      </c>
      <c r="T42" s="27">
        <f t="shared" si="11"/>
        <v>22.990565468787061</v>
      </c>
      <c r="U42" s="27">
        <f t="shared" si="11"/>
        <v>18.649566954981314</v>
      </c>
      <c r="V42" s="27">
        <f t="shared" si="11"/>
        <v>14.569423150524887</v>
      </c>
      <c r="W42" s="27">
        <f t="shared" si="11"/>
        <v>10.723307443891397</v>
      </c>
      <c r="X42" s="27">
        <f t="shared" si="11"/>
        <v>7.088057079658352</v>
      </c>
      <c r="Y42" s="27">
        <f t="shared" si="11"/>
        <v>3.6435429883904824</v>
      </c>
      <c r="Z42" s="27">
        <f t="shared" si="11"/>
        <v>0.37216947985520221</v>
      </c>
      <c r="AA42" s="27">
        <f t="shared" si="11"/>
        <v>-2.7415272389236378</v>
      </c>
      <c r="AB42" s="27">
        <f t="shared" si="11"/>
        <v>-5.7112043705597593</v>
      </c>
      <c r="AC42" s="27">
        <f t="shared" si="11"/>
        <v>-8.5489784342684239</v>
      </c>
      <c r="AD42" s="27">
        <f t="shared" si="11"/>
        <v>-11.265644364777394</v>
      </c>
      <c r="AF42">
        <f t="shared" si="12"/>
        <v>6.1359583801025082</v>
      </c>
    </row>
    <row r="43" spans="1:32">
      <c r="A43" s="10">
        <f t="shared" si="6"/>
        <v>44287</v>
      </c>
      <c r="B43">
        <f t="shared" si="10"/>
        <v>0.51280000000000037</v>
      </c>
      <c r="C43">
        <f t="shared" si="10"/>
        <v>0.44613333333333394</v>
      </c>
      <c r="D43">
        <f t="shared" si="10"/>
        <v>0.37946666666666751</v>
      </c>
      <c r="E43">
        <f t="shared" si="10"/>
        <v>0.31280000000000108</v>
      </c>
      <c r="F43">
        <f t="shared" si="10"/>
        <v>0.24613333333333287</v>
      </c>
      <c r="G43">
        <f t="shared" si="10"/>
        <v>0.17946666666666644</v>
      </c>
      <c r="H43">
        <f t="shared" si="10"/>
        <v>0.11280000000000001</v>
      </c>
      <c r="I43">
        <f t="shared" si="10"/>
        <v>4.6133333333333582E-2</v>
      </c>
      <c r="J43">
        <f t="shared" si="10"/>
        <v>-2.0533333333332848E-2</v>
      </c>
      <c r="K43">
        <f t="shared" si="10"/>
        <v>-8.7199999999999278E-2</v>
      </c>
      <c r="L43">
        <f t="shared" si="10"/>
        <v>-0.15386666666666571</v>
      </c>
      <c r="M43">
        <f t="shared" si="10"/>
        <v>-0.22053333333333391</v>
      </c>
      <c r="N43">
        <f t="shared" si="10"/>
        <v>-0.28720000000000034</v>
      </c>
      <c r="P43">
        <f t="shared" si="3"/>
        <v>9.146770346843649</v>
      </c>
      <c r="R43" s="27">
        <f t="shared" si="11"/>
        <v>27.541388096549948</v>
      </c>
      <c r="S43" s="27">
        <f t="shared" si="11"/>
        <v>23.383795130629181</v>
      </c>
      <c r="T43" s="27">
        <f t="shared" si="11"/>
        <v>19.488880846799219</v>
      </c>
      <c r="U43" s="27">
        <f t="shared" si="11"/>
        <v>15.828869315794485</v>
      </c>
      <c r="V43" s="27">
        <f t="shared" si="11"/>
        <v>12.379861630262727</v>
      </c>
      <c r="W43" s="27">
        <f t="shared" si="11"/>
        <v>9.1211596080258239</v>
      </c>
      <c r="X43" s="27">
        <f t="shared" si="11"/>
        <v>6.0347300938124881</v>
      </c>
      <c r="Y43" s="27">
        <f t="shared" si="11"/>
        <v>3.1047760932065316</v>
      </c>
      <c r="Z43" s="27">
        <f t="shared" si="11"/>
        <v>0.31739011806374506</v>
      </c>
      <c r="AA43" s="27">
        <f t="shared" si="11"/>
        <v>-2.339728473909517</v>
      </c>
      <c r="AB43" s="27">
        <f t="shared" si="11"/>
        <v>-4.8775058046146214</v>
      </c>
      <c r="AC43" s="27">
        <f t="shared" si="11"/>
        <v>-7.3056858318038032</v>
      </c>
      <c r="AD43" s="27">
        <f t="shared" si="11"/>
        <v>-9.6329906895766726</v>
      </c>
      <c r="AF43">
        <f t="shared" si="12"/>
        <v>4.3415193735320745</v>
      </c>
    </row>
    <row r="44" spans="1:32">
      <c r="A44" s="10">
        <f t="shared" si="6"/>
        <v>44317</v>
      </c>
      <c r="B44">
        <f t="shared" si="10"/>
        <v>0.51279999999999948</v>
      </c>
      <c r="C44">
        <f t="shared" si="10"/>
        <v>0.44613333333333305</v>
      </c>
      <c r="D44">
        <f t="shared" si="10"/>
        <v>0.37946666666666662</v>
      </c>
      <c r="E44">
        <f t="shared" si="10"/>
        <v>0.31280000000000019</v>
      </c>
      <c r="F44">
        <f t="shared" si="10"/>
        <v>0.24613333333333376</v>
      </c>
      <c r="G44">
        <f t="shared" si="10"/>
        <v>0.17946666666666644</v>
      </c>
      <c r="H44">
        <f t="shared" si="10"/>
        <v>0.11280000000000001</v>
      </c>
      <c r="I44">
        <f t="shared" si="10"/>
        <v>4.6133333333333582E-2</v>
      </c>
      <c r="J44">
        <f t="shared" si="10"/>
        <v>-2.0533333333332848E-2</v>
      </c>
      <c r="K44">
        <f t="shared" si="10"/>
        <v>-8.7200000000000166E-2</v>
      </c>
      <c r="L44">
        <f t="shared" si="10"/>
        <v>-0.1538666666666666</v>
      </c>
      <c r="M44">
        <f t="shared" si="10"/>
        <v>-0.22053333333333303</v>
      </c>
      <c r="N44">
        <f t="shared" si="10"/>
        <v>-0.28720000000000034</v>
      </c>
      <c r="P44">
        <f t="shared" si="3"/>
        <v>7.509358454852312</v>
      </c>
      <c r="R44" s="27">
        <f t="shared" ref="R44:AD53" si="13">(riseset(planetno, $A44,R$3, longi, 1,-0.8333,pres,temp)-$AF44)*60</f>
        <v>23.745070135419368</v>
      </c>
      <c r="S44" s="27">
        <f t="shared" si="13"/>
        <v>20.180770954904439</v>
      </c>
      <c r="T44" s="27">
        <f t="shared" si="13"/>
        <v>16.83459250117556</v>
      </c>
      <c r="U44" s="27">
        <f t="shared" si="13"/>
        <v>13.684293326307255</v>
      </c>
      <c r="V44" s="27">
        <f t="shared" si="13"/>
        <v>10.710599654821831</v>
      </c>
      <c r="W44" s="27">
        <f t="shared" si="13"/>
        <v>7.8967135168884894</v>
      </c>
      <c r="X44" s="27">
        <f t="shared" si="13"/>
        <v>5.227917573486689</v>
      </c>
      <c r="Y44" s="27">
        <f t="shared" si="13"/>
        <v>2.6912547438141665</v>
      </c>
      <c r="Z44" s="27">
        <f t="shared" si="13"/>
        <v>0.27526632430364018</v>
      </c>
      <c r="AA44" s="27">
        <f t="shared" si="13"/>
        <v>-2.0302237054974093</v>
      </c>
      <c r="AB44" s="27">
        <f t="shared" si="13"/>
        <v>-4.2342875782326672</v>
      </c>
      <c r="AC44" s="27">
        <f t="shared" si="13"/>
        <v>-6.3450430724070017</v>
      </c>
      <c r="AD44" s="27">
        <f t="shared" si="13"/>
        <v>-8.3697789168540737</v>
      </c>
      <c r="AF44">
        <f t="shared" si="12"/>
        <v>2.5518852530582912</v>
      </c>
    </row>
    <row r="45" spans="1:32">
      <c r="A45" s="10">
        <f t="shared" si="6"/>
        <v>44348</v>
      </c>
      <c r="B45">
        <f t="shared" si="10"/>
        <v>0.51280000000000125</v>
      </c>
      <c r="C45">
        <f t="shared" si="10"/>
        <v>0.44613333333333394</v>
      </c>
      <c r="D45">
        <f t="shared" si="10"/>
        <v>0.37946666666666751</v>
      </c>
      <c r="E45">
        <f t="shared" si="10"/>
        <v>0.31280000000000108</v>
      </c>
      <c r="F45">
        <f t="shared" si="10"/>
        <v>0.24613333333333376</v>
      </c>
      <c r="G45">
        <f t="shared" si="10"/>
        <v>0.17946666666666733</v>
      </c>
      <c r="H45">
        <f t="shared" si="10"/>
        <v>0.1128000000000009</v>
      </c>
      <c r="I45">
        <f t="shared" si="10"/>
        <v>4.613333333333447E-2</v>
      </c>
      <c r="J45">
        <f t="shared" si="10"/>
        <v>-2.0533333333332848E-2</v>
      </c>
      <c r="K45">
        <f t="shared" si="10"/>
        <v>-8.7199999999999278E-2</v>
      </c>
      <c r="L45">
        <f t="shared" si="10"/>
        <v>-0.15386666666666571</v>
      </c>
      <c r="M45">
        <f t="shared" si="10"/>
        <v>-0.22053333333333214</v>
      </c>
      <c r="N45">
        <f t="shared" si="10"/>
        <v>-0.28719999999999946</v>
      </c>
      <c r="P45">
        <f t="shared" si="3"/>
        <v>5.6840355561893485</v>
      </c>
      <c r="R45" s="27">
        <f t="shared" si="13"/>
        <v>21.49820263660402</v>
      </c>
      <c r="S45" s="27">
        <f t="shared" si="13"/>
        <v>18.280851054170988</v>
      </c>
      <c r="T45" s="27">
        <f t="shared" si="13"/>
        <v>15.257040387989012</v>
      </c>
      <c r="U45" s="27">
        <f t="shared" si="13"/>
        <v>12.407406248020276</v>
      </c>
      <c r="V45" s="27">
        <f t="shared" si="13"/>
        <v>9.7151076792633084</v>
      </c>
      <c r="W45" s="27">
        <f t="shared" si="13"/>
        <v>7.1654200439324534</v>
      </c>
      <c r="X45" s="27">
        <f t="shared" si="13"/>
        <v>4.7454055851846277</v>
      </c>
      <c r="Y45" s="27">
        <f t="shared" si="13"/>
        <v>2.4436446382644128</v>
      </c>
      <c r="Z45" s="27">
        <f t="shared" si="13"/>
        <v>0.25001465424644209</v>
      </c>
      <c r="AA45" s="27">
        <f t="shared" si="13"/>
        <v>-1.8444927435290026</v>
      </c>
      <c r="AB45" s="27">
        <f t="shared" si="13"/>
        <v>-3.8479241995571201</v>
      </c>
      <c r="AC45" s="27">
        <f t="shared" si="13"/>
        <v>-5.7674924145244866</v>
      </c>
      <c r="AD45" s="27">
        <f t="shared" si="13"/>
        <v>-7.6096838699008629</v>
      </c>
      <c r="AF45">
        <f t="shared" si="12"/>
        <v>0.63358848862706818</v>
      </c>
    </row>
    <row r="46" spans="1:32">
      <c r="A46" s="10">
        <f t="shared" si="6"/>
        <v>44378</v>
      </c>
      <c r="B46">
        <f t="shared" si="10"/>
        <v>0.51279999999999992</v>
      </c>
      <c r="C46">
        <f t="shared" si="10"/>
        <v>0.44613333333333349</v>
      </c>
      <c r="D46">
        <f t="shared" si="10"/>
        <v>0.37946666666666706</v>
      </c>
      <c r="E46">
        <f t="shared" si="10"/>
        <v>0.31280000000000063</v>
      </c>
      <c r="F46">
        <f t="shared" si="10"/>
        <v>0.24613333333333376</v>
      </c>
      <c r="G46">
        <f t="shared" si="10"/>
        <v>0.17946666666666689</v>
      </c>
      <c r="H46">
        <f t="shared" si="10"/>
        <v>0.11280000000000046</v>
      </c>
      <c r="I46">
        <f t="shared" si="10"/>
        <v>4.6133333333333582E-2</v>
      </c>
      <c r="J46">
        <f t="shared" si="10"/>
        <v>-2.0533333333332848E-2</v>
      </c>
      <c r="K46">
        <f t="shared" si="10"/>
        <v>-8.7199999999999722E-2</v>
      </c>
      <c r="L46">
        <f t="shared" si="10"/>
        <v>-0.1538666666666666</v>
      </c>
      <c r="M46">
        <f t="shared" si="10"/>
        <v>-0.22053333333333303</v>
      </c>
      <c r="N46">
        <f t="shared" si="10"/>
        <v>-0.2871999999999999</v>
      </c>
      <c r="P46">
        <f t="shared" si="3"/>
        <v>3.7496543159435913</v>
      </c>
      <c r="R46" s="27">
        <f t="shared" si="13"/>
        <v>21.402124601386916</v>
      </c>
      <c r="S46" s="27">
        <f t="shared" si="13"/>
        <v>18.199545664282653</v>
      </c>
      <c r="T46" s="27">
        <f t="shared" si="13"/>
        <v>15.189483239217054</v>
      </c>
      <c r="U46" s="27">
        <f t="shared" si="13"/>
        <v>12.352690220259959</v>
      </c>
      <c r="V46" s="27">
        <f t="shared" si="13"/>
        <v>9.672425248710752</v>
      </c>
      <c r="W46" s="27">
        <f t="shared" si="13"/>
        <v>7.1340488912554179</v>
      </c>
      <c r="X46" s="27">
        <f t="shared" si="13"/>
        <v>4.7246967772061055</v>
      </c>
      <c r="Y46" s="27">
        <f t="shared" si="13"/>
        <v>2.4330128411318697</v>
      </c>
      <c r="Z46" s="27">
        <f t="shared" si="13"/>
        <v>0.24892996632978281</v>
      </c>
      <c r="AA46" s="27">
        <f t="shared" si="13"/>
        <v>-1.8365116554070937</v>
      </c>
      <c r="AB46" s="27">
        <f t="shared" si="13"/>
        <v>-3.8313159062487046</v>
      </c>
      <c r="AC46" s="27">
        <f t="shared" si="13"/>
        <v>-5.7426576656870765</v>
      </c>
      <c r="AD46" s="27">
        <f t="shared" si="13"/>
        <v>-7.5769898225455989</v>
      </c>
      <c r="AF46">
        <f t="shared" si="12"/>
        <v>22.695186306352852</v>
      </c>
    </row>
    <row r="47" spans="1:32">
      <c r="A47" s="10">
        <f t="shared" si="6"/>
        <v>44409</v>
      </c>
      <c r="B47">
        <f t="shared" si="10"/>
        <v>0.51280000000000059</v>
      </c>
      <c r="C47">
        <f t="shared" si="10"/>
        <v>0.44613333333333371</v>
      </c>
      <c r="D47">
        <f t="shared" si="10"/>
        <v>0.37946666666666706</v>
      </c>
      <c r="E47">
        <f t="shared" si="10"/>
        <v>0.31280000000000041</v>
      </c>
      <c r="F47">
        <f t="shared" si="10"/>
        <v>0.24613333333333376</v>
      </c>
      <c r="G47">
        <f t="shared" si="10"/>
        <v>0.17946666666666711</v>
      </c>
      <c r="H47">
        <f t="shared" si="10"/>
        <v>0.11280000000000046</v>
      </c>
      <c r="I47">
        <f t="shared" si="10"/>
        <v>4.6133333333333804E-2</v>
      </c>
      <c r="J47">
        <f t="shared" si="10"/>
        <v>-2.0533333333332848E-2</v>
      </c>
      <c r="K47">
        <f t="shared" si="10"/>
        <v>-8.7199999999999722E-2</v>
      </c>
      <c r="L47">
        <f t="shared" si="10"/>
        <v>-0.15386666666666637</v>
      </c>
      <c r="M47">
        <f t="shared" si="10"/>
        <v>-0.22053333333333303</v>
      </c>
      <c r="N47">
        <f t="shared" si="10"/>
        <v>-0.28719999999999968</v>
      </c>
      <c r="P47">
        <f t="shared" si="3"/>
        <v>1.5712019881871433</v>
      </c>
      <c r="R47" s="27">
        <f t="shared" si="13"/>
        <v>23.461005636153658</v>
      </c>
      <c r="S47" s="27">
        <f t="shared" si="13"/>
        <v>19.94073163437406</v>
      </c>
      <c r="T47" s="27">
        <f t="shared" si="13"/>
        <v>16.635402322227932</v>
      </c>
      <c r="U47" s="27">
        <f t="shared" si="13"/>
        <v>13.523154891917955</v>
      </c>
      <c r="V47" s="27">
        <f t="shared" si="13"/>
        <v>10.585034612702771</v>
      </c>
      <c r="W47" s="27">
        <f t="shared" si="13"/>
        <v>7.8045145484843204</v>
      </c>
      <c r="X47" s="27">
        <f t="shared" si="13"/>
        <v>5.1671093214254427</v>
      </c>
      <c r="Y47" s="27">
        <f t="shared" si="13"/>
        <v>2.66006171945115</v>
      </c>
      <c r="Z47" s="27">
        <f t="shared" si="13"/>
        <v>0.27208632596341431</v>
      </c>
      <c r="AA47" s="27">
        <f t="shared" si="13"/>
        <v>-2.0068417799471661</v>
      </c>
      <c r="AB47" s="27">
        <f t="shared" si="13"/>
        <v>-4.1856623823675676</v>
      </c>
      <c r="AC47" s="27">
        <f t="shared" si="13"/>
        <v>-6.2723765920317476</v>
      </c>
      <c r="AD47" s="27">
        <f t="shared" si="13"/>
        <v>-8.2741699030229654</v>
      </c>
      <c r="AF47">
        <f t="shared" si="12"/>
        <v>20.602088768534742</v>
      </c>
    </row>
    <row r="48" spans="1:32">
      <c r="A48" s="10">
        <f t="shared" si="6"/>
        <v>44440</v>
      </c>
      <c r="B48">
        <f t="shared" si="10"/>
        <v>0.51279999999999859</v>
      </c>
      <c r="C48">
        <f t="shared" si="10"/>
        <v>0.44613333333333216</v>
      </c>
      <c r="D48">
        <f t="shared" si="10"/>
        <v>0.37946666666666573</v>
      </c>
      <c r="E48">
        <f t="shared" si="10"/>
        <v>0.3127999999999993</v>
      </c>
      <c r="F48">
        <f t="shared" si="10"/>
        <v>0.24613333333333287</v>
      </c>
      <c r="G48">
        <f t="shared" si="10"/>
        <v>0.17946666666666644</v>
      </c>
      <c r="H48">
        <f t="shared" si="10"/>
        <v>0.11280000000000001</v>
      </c>
      <c r="I48">
        <f t="shared" si="10"/>
        <v>4.6133333333333582E-2</v>
      </c>
      <c r="J48">
        <f t="shared" si="10"/>
        <v>-2.0533333333332848E-2</v>
      </c>
      <c r="K48">
        <f t="shared" si="10"/>
        <v>-8.7200000000002831E-2</v>
      </c>
      <c r="L48">
        <f t="shared" si="10"/>
        <v>-0.15386666666666926</v>
      </c>
      <c r="M48">
        <f t="shared" si="10"/>
        <v>-0.22053333333333569</v>
      </c>
      <c r="N48">
        <f t="shared" si="10"/>
        <v>-0.28720000000000212</v>
      </c>
      <c r="P48">
        <f t="shared" si="3"/>
        <v>23.29220853410192</v>
      </c>
      <c r="R48" s="27">
        <f t="shared" si="13"/>
        <v>26.601506172681937</v>
      </c>
      <c r="S48" s="27">
        <f t="shared" si="13"/>
        <v>22.591693435666897</v>
      </c>
      <c r="T48" s="27">
        <f t="shared" si="13"/>
        <v>18.833142221727925</v>
      </c>
      <c r="U48" s="27">
        <f t="shared" si="13"/>
        <v>15.299534793763314</v>
      </c>
      <c r="V48" s="27">
        <f t="shared" si="13"/>
        <v>11.968183997060109</v>
      </c>
      <c r="W48" s="27">
        <f t="shared" si="13"/>
        <v>8.8194083088325925</v>
      </c>
      <c r="X48" s="27">
        <f t="shared" si="13"/>
        <v>5.8360349469187156</v>
      </c>
      <c r="Y48" s="27">
        <f t="shared" si="13"/>
        <v>3.0030007455385999</v>
      </c>
      <c r="Z48" s="27">
        <f t="shared" si="13"/>
        <v>0.30702858443760306</v>
      </c>
      <c r="AA48" s="27">
        <f t="shared" si="13"/>
        <v>-2.2636371486434825</v>
      </c>
      <c r="AB48" s="27">
        <f t="shared" si="13"/>
        <v>-4.719448505402184</v>
      </c>
      <c r="AC48" s="27">
        <f t="shared" si="13"/>
        <v>-7.0697348161475304</v>
      </c>
      <c r="AD48" s="27">
        <f t="shared" si="13"/>
        <v>-9.3228537230171327</v>
      </c>
      <c r="AF48">
        <f t="shared" si="12"/>
        <v>18.449862518464258</v>
      </c>
    </row>
    <row r="49" spans="1:32">
      <c r="A49" s="10">
        <f t="shared" si="6"/>
        <v>44470</v>
      </c>
      <c r="B49">
        <f t="shared" si="10"/>
        <v>0.51279999999999859</v>
      </c>
      <c r="C49">
        <f t="shared" si="10"/>
        <v>0.44613333333333216</v>
      </c>
      <c r="D49">
        <f t="shared" si="10"/>
        <v>0.37946666666666573</v>
      </c>
      <c r="E49">
        <f t="shared" si="10"/>
        <v>0.3127999999999993</v>
      </c>
      <c r="F49">
        <f t="shared" si="10"/>
        <v>0.24613333333333287</v>
      </c>
      <c r="G49">
        <f t="shared" si="10"/>
        <v>0.17946666666666644</v>
      </c>
      <c r="H49">
        <f t="shared" si="10"/>
        <v>0.11280000000000001</v>
      </c>
      <c r="I49">
        <f t="shared" si="10"/>
        <v>4.6133333333333582E-2</v>
      </c>
      <c r="J49">
        <f t="shared" ref="B49:N67" si="14">TimeofTransit(planetno, $A49,$C$1,J$3)-$P49</f>
        <v>-2.0533333333332848E-2</v>
      </c>
      <c r="K49">
        <f t="shared" si="14"/>
        <v>-8.7199999999999278E-2</v>
      </c>
      <c r="L49">
        <f t="shared" si="14"/>
        <v>-0.15386666666666926</v>
      </c>
      <c r="M49">
        <f t="shared" si="14"/>
        <v>-0.22053333333333214</v>
      </c>
      <c r="N49">
        <f t="shared" si="14"/>
        <v>-0.28720000000000212</v>
      </c>
      <c r="P49">
        <f t="shared" si="3"/>
        <v>21.142029934051646</v>
      </c>
      <c r="R49" s="27">
        <f t="shared" si="13"/>
        <v>28.747304153718716</v>
      </c>
      <c r="S49" s="27">
        <f t="shared" si="13"/>
        <v>24.399177557666221</v>
      </c>
      <c r="T49" s="27">
        <f t="shared" si="13"/>
        <v>20.328781089272567</v>
      </c>
      <c r="U49" s="27">
        <f t="shared" si="13"/>
        <v>16.506373555826173</v>
      </c>
      <c r="V49" s="27">
        <f t="shared" si="13"/>
        <v>12.906430464270926</v>
      </c>
      <c r="W49" s="27">
        <f t="shared" si="13"/>
        <v>9.5068954003482986</v>
      </c>
      <c r="X49" s="27">
        <f t="shared" si="13"/>
        <v>6.2885900393859373</v>
      </c>
      <c r="Y49" s="27">
        <f t="shared" si="13"/>
        <v>3.2347439260811939</v>
      </c>
      <c r="Z49" s="27">
        <f t="shared" si="13"/>
        <v>0.3306159014583443</v>
      </c>
      <c r="AA49" s="27">
        <f t="shared" si="13"/>
        <v>-2.436813489974341</v>
      </c>
      <c r="AB49" s="27">
        <f t="shared" si="13"/>
        <v>-5.0790940148068131</v>
      </c>
      <c r="AC49" s="27">
        <f t="shared" si="13"/>
        <v>-7.6065138115342279</v>
      </c>
      <c r="AD49" s="27">
        <f t="shared" si="13"/>
        <v>-10.028272372886207</v>
      </c>
      <c r="AF49">
        <f t="shared" si="12"/>
        <v>16.383785311739402</v>
      </c>
    </row>
    <row r="50" spans="1:32">
      <c r="A50" s="10">
        <f t="shared" si="6"/>
        <v>44501</v>
      </c>
      <c r="B50">
        <f t="shared" si="14"/>
        <v>0.51279999999999859</v>
      </c>
      <c r="C50">
        <f t="shared" si="14"/>
        <v>0.44613333333333216</v>
      </c>
      <c r="D50">
        <f t="shared" si="14"/>
        <v>0.37946666666666573</v>
      </c>
      <c r="E50">
        <f t="shared" si="14"/>
        <v>0.3127999999999993</v>
      </c>
      <c r="F50">
        <f t="shared" si="14"/>
        <v>0.24613333333333287</v>
      </c>
      <c r="G50">
        <f t="shared" si="14"/>
        <v>0.17946666666666644</v>
      </c>
      <c r="H50">
        <f t="shared" si="14"/>
        <v>0.11280000000000001</v>
      </c>
      <c r="I50">
        <f t="shared" si="14"/>
        <v>4.6133333333333582E-2</v>
      </c>
      <c r="J50">
        <f t="shared" si="14"/>
        <v>-2.0533333333332848E-2</v>
      </c>
      <c r="K50">
        <f t="shared" si="14"/>
        <v>-8.7200000000002831E-2</v>
      </c>
      <c r="L50">
        <f t="shared" si="14"/>
        <v>-0.15386666666666571</v>
      </c>
      <c r="M50">
        <f t="shared" si="14"/>
        <v>-0.22053333333333569</v>
      </c>
      <c r="N50">
        <f t="shared" si="14"/>
        <v>-0.28720000000000212</v>
      </c>
      <c r="P50">
        <f t="shared" si="3"/>
        <v>19.096157097547383</v>
      </c>
      <c r="R50" s="27">
        <f t="shared" si="13"/>
        <v>28.647914235127665</v>
      </c>
      <c r="S50" s="27">
        <f t="shared" si="13"/>
        <v>24.315531529214915</v>
      </c>
      <c r="T50" s="27">
        <f t="shared" si="13"/>
        <v>20.259620762565191</v>
      </c>
      <c r="U50" s="27">
        <f t="shared" si="13"/>
        <v>16.450606902490037</v>
      </c>
      <c r="V50" s="27">
        <f t="shared" si="13"/>
        <v>12.863102565971651</v>
      </c>
      <c r="W50" s="27">
        <f t="shared" si="13"/>
        <v>9.4751656523527572</v>
      </c>
      <c r="X50" s="27">
        <f t="shared" si="13"/>
        <v>6.2677140320581159</v>
      </c>
      <c r="Y50" s="27">
        <f t="shared" si="13"/>
        <v>3.2240588784205571</v>
      </c>
      <c r="Z50" s="27">
        <f t="shared" si="13"/>
        <v>0.32952882840159958</v>
      </c>
      <c r="AA50" s="27">
        <f t="shared" si="13"/>
        <v>-2.4288354803734435</v>
      </c>
      <c r="AB50" s="27">
        <f t="shared" si="13"/>
        <v>-5.0625317462274921</v>
      </c>
      <c r="AC50" s="27">
        <f t="shared" si="13"/>
        <v>-7.581802728759115</v>
      </c>
      <c r="AD50" s="27">
        <f t="shared" si="13"/>
        <v>-9.9958081582948566</v>
      </c>
      <c r="AF50">
        <f t="shared" si="12"/>
        <v>14.334063570454289</v>
      </c>
    </row>
    <row r="51" spans="1:32">
      <c r="A51" s="10">
        <f t="shared" si="6"/>
        <v>44531</v>
      </c>
      <c r="B51">
        <f t="shared" si="14"/>
        <v>0.51279999999999859</v>
      </c>
      <c r="C51">
        <f t="shared" si="14"/>
        <v>0.44613333333333216</v>
      </c>
      <c r="D51">
        <f t="shared" si="14"/>
        <v>0.37946666666666573</v>
      </c>
      <c r="E51">
        <f t="shared" si="14"/>
        <v>0.3127999999999993</v>
      </c>
      <c r="F51">
        <f t="shared" si="14"/>
        <v>0.24613333333333287</v>
      </c>
      <c r="G51">
        <f t="shared" si="14"/>
        <v>0.17946666666666644</v>
      </c>
      <c r="H51">
        <f t="shared" si="14"/>
        <v>0.11280000000000001</v>
      </c>
      <c r="I51">
        <f t="shared" si="14"/>
        <v>4.6133333333333582E-2</v>
      </c>
      <c r="J51">
        <f t="shared" si="14"/>
        <v>-2.0533333333332848E-2</v>
      </c>
      <c r="K51">
        <f t="shared" si="14"/>
        <v>-8.7199999999999278E-2</v>
      </c>
      <c r="L51">
        <f t="shared" si="14"/>
        <v>-0.15386666666666571</v>
      </c>
      <c r="M51">
        <f t="shared" si="14"/>
        <v>-0.22053333333333214</v>
      </c>
      <c r="N51">
        <f t="shared" si="14"/>
        <v>-0.28720000000000212</v>
      </c>
      <c r="P51">
        <f t="shared" si="3"/>
        <v>17.302403555908871</v>
      </c>
      <c r="R51" s="27">
        <f t="shared" si="13"/>
        <v>26.250078207070473</v>
      </c>
      <c r="S51" s="27">
        <f t="shared" si="13"/>
        <v>22.295364884394822</v>
      </c>
      <c r="T51" s="27">
        <f t="shared" si="13"/>
        <v>18.587711993099489</v>
      </c>
      <c r="U51" s="27">
        <f t="shared" si="13"/>
        <v>15.101331342666953</v>
      </c>
      <c r="V51" s="27">
        <f t="shared" si="13"/>
        <v>11.813977027711999</v>
      </c>
      <c r="W51" s="27">
        <f t="shared" si="13"/>
        <v>8.7063386355161754</v>
      </c>
      <c r="X51" s="27">
        <f t="shared" si="13"/>
        <v>5.761558133728073</v>
      </c>
      <c r="Y51" s="27">
        <f t="shared" si="13"/>
        <v>2.964841344879332</v>
      </c>
      <c r="Z51" s="27">
        <f t="shared" si="13"/>
        <v>0.30314262880683174</v>
      </c>
      <c r="AA51" s="27">
        <f t="shared" si="13"/>
        <v>-2.2350931557657816</v>
      </c>
      <c r="AB51" s="27">
        <f t="shared" si="13"/>
        <v>-4.6601434283121534</v>
      </c>
      <c r="AC51" s="27">
        <f t="shared" si="13"/>
        <v>-6.9811845736543177</v>
      </c>
      <c r="AD51" s="27">
        <f t="shared" si="13"/>
        <v>-9.2064396120021996</v>
      </c>
      <c r="AF51">
        <f t="shared" si="12"/>
        <v>12.446085765898481</v>
      </c>
    </row>
    <row r="52" spans="1:32">
      <c r="A52" s="10">
        <f t="shared" si="6"/>
        <v>44562</v>
      </c>
      <c r="B52">
        <f t="shared" si="14"/>
        <v>0.51280000000000037</v>
      </c>
      <c r="C52">
        <f t="shared" si="14"/>
        <v>0.44613333333333394</v>
      </c>
      <c r="D52">
        <f t="shared" si="14"/>
        <v>0.37946666666666751</v>
      </c>
      <c r="E52">
        <f t="shared" si="14"/>
        <v>0.31280000000000108</v>
      </c>
      <c r="F52">
        <f t="shared" si="14"/>
        <v>0.24613333333333465</v>
      </c>
      <c r="G52">
        <f t="shared" si="14"/>
        <v>0.17946666666666644</v>
      </c>
      <c r="H52">
        <f t="shared" si="14"/>
        <v>0.11280000000000001</v>
      </c>
      <c r="I52">
        <f t="shared" si="14"/>
        <v>4.6133333333333582E-2</v>
      </c>
      <c r="J52">
        <f t="shared" si="14"/>
        <v>-2.0533333333332848E-2</v>
      </c>
      <c r="K52">
        <f t="shared" si="14"/>
        <v>-8.7199999999999278E-2</v>
      </c>
      <c r="L52">
        <f t="shared" si="14"/>
        <v>-0.15386666666666571</v>
      </c>
      <c r="M52">
        <f t="shared" si="14"/>
        <v>-0.22053333333333214</v>
      </c>
      <c r="N52">
        <f t="shared" si="14"/>
        <v>-0.28719999999999857</v>
      </c>
      <c r="P52">
        <f t="shared" si="3"/>
        <v>15.595164627663083</v>
      </c>
      <c r="R52" s="27">
        <f t="shared" si="13"/>
        <v>22.05760376388465</v>
      </c>
      <c r="S52" s="27">
        <f t="shared" si="13"/>
        <v>18.754140474517698</v>
      </c>
      <c r="T52" s="27">
        <f t="shared" si="13"/>
        <v>15.650224639535608</v>
      </c>
      <c r="U52" s="27">
        <f t="shared" si="13"/>
        <v>12.725800007062986</v>
      </c>
      <c r="V52" s="27">
        <f t="shared" si="13"/>
        <v>9.9634387753583553</v>
      </c>
      <c r="W52" s="27">
        <f t="shared" si="13"/>
        <v>7.3479147803645617</v>
      </c>
      <c r="X52" s="27">
        <f t="shared" si="13"/>
        <v>4.8658587090024952</v>
      </c>
      <c r="Y52" s="27">
        <f t="shared" si="13"/>
        <v>2.5054772124651947</v>
      </c>
      <c r="Z52" s="27">
        <f t="shared" si="13"/>
        <v>0.25632229840159226</v>
      </c>
      <c r="AA52" s="27">
        <f t="shared" si="13"/>
        <v>-1.8908993523145057</v>
      </c>
      <c r="AB52" s="27">
        <f t="shared" si="13"/>
        <v>-3.944485098546977</v>
      </c>
      <c r="AC52" s="27">
        <f t="shared" si="13"/>
        <v>-5.9118692516578619</v>
      </c>
      <c r="AD52" s="27">
        <f t="shared" si="13"/>
        <v>-7.7997350170937096</v>
      </c>
      <c r="AF52">
        <f t="shared" si="12"/>
        <v>10.568056358861853</v>
      </c>
    </row>
    <row r="53" spans="1:32">
      <c r="A53" s="10">
        <f t="shared" si="6"/>
        <v>44593</v>
      </c>
      <c r="B53">
        <f t="shared" si="14"/>
        <v>0.51280000000000037</v>
      </c>
      <c r="C53">
        <f t="shared" si="14"/>
        <v>0.44613333333333394</v>
      </c>
      <c r="D53">
        <f t="shared" si="14"/>
        <v>0.37946666666666573</v>
      </c>
      <c r="E53">
        <f t="shared" si="14"/>
        <v>0.3127999999999993</v>
      </c>
      <c r="F53">
        <f t="shared" si="14"/>
        <v>0.24613333333333287</v>
      </c>
      <c r="G53">
        <f t="shared" si="14"/>
        <v>0.17946666666666644</v>
      </c>
      <c r="H53">
        <f t="shared" si="14"/>
        <v>0.11280000000000001</v>
      </c>
      <c r="I53">
        <f t="shared" si="14"/>
        <v>4.6133333333333582E-2</v>
      </c>
      <c r="J53">
        <f t="shared" si="14"/>
        <v>-2.0533333333332848E-2</v>
      </c>
      <c r="K53">
        <f t="shared" si="14"/>
        <v>-8.7200000000001054E-2</v>
      </c>
      <c r="L53">
        <f t="shared" si="14"/>
        <v>-0.15386666666666748</v>
      </c>
      <c r="M53">
        <f t="shared" si="14"/>
        <v>-0.22053333333333391</v>
      </c>
      <c r="N53">
        <f t="shared" si="14"/>
        <v>-0.28720000000000034</v>
      </c>
      <c r="P53">
        <f t="shared" si="3"/>
        <v>13.977278537428948</v>
      </c>
      <c r="R53" s="27">
        <f t="shared" si="13"/>
        <v>16.895048532850936</v>
      </c>
      <c r="S53" s="27">
        <f t="shared" si="13"/>
        <v>14.38028686855354</v>
      </c>
      <c r="T53" s="27">
        <f t="shared" si="13"/>
        <v>12.012146754992301</v>
      </c>
      <c r="U53" s="27">
        <f t="shared" si="13"/>
        <v>9.7764316755919012</v>
      </c>
      <c r="V53" s="27">
        <f t="shared" si="13"/>
        <v>7.6607205947375689</v>
      </c>
      <c r="W53" s="27">
        <f t="shared" si="13"/>
        <v>5.6540946503872647</v>
      </c>
      <c r="X53" s="27">
        <f t="shared" si="13"/>
        <v>3.7469133353341633</v>
      </c>
      <c r="Y53" s="27">
        <f t="shared" si="13"/>
        <v>1.9306299128136573</v>
      </c>
      <c r="Z53" s="27">
        <f t="shared" si="13"/>
        <v>0.1976381928996318</v>
      </c>
      <c r="AA53" s="27">
        <f t="shared" si="13"/>
        <v>-1.4588554326741487</v>
      </c>
      <c r="AB53" s="27">
        <f t="shared" si="13"/>
        <v>-3.0449394680476871</v>
      </c>
      <c r="AC53" s="27">
        <f t="shared" si="13"/>
        <v>-4.5660880630401834</v>
      </c>
      <c r="AD53" s="27">
        <f t="shared" si="13"/>
        <v>-6.0272380208184373</v>
      </c>
      <c r="AF53">
        <f t="shared" si="12"/>
        <v>8.7303095520174629</v>
      </c>
    </row>
    <row r="54" spans="1:32">
      <c r="A54" s="10">
        <f t="shared" si="6"/>
        <v>44621</v>
      </c>
      <c r="B54">
        <f t="shared" si="14"/>
        <v>0.51280000000000037</v>
      </c>
      <c r="C54">
        <f t="shared" si="14"/>
        <v>0.44613333333333394</v>
      </c>
      <c r="D54">
        <f t="shared" si="14"/>
        <v>0.37946666666666751</v>
      </c>
      <c r="E54">
        <f t="shared" si="14"/>
        <v>0.31280000000000108</v>
      </c>
      <c r="F54">
        <f t="shared" si="14"/>
        <v>0.24613333333333465</v>
      </c>
      <c r="G54">
        <f t="shared" si="14"/>
        <v>0.17946666666666822</v>
      </c>
      <c r="H54">
        <f t="shared" si="14"/>
        <v>0.11280000000000001</v>
      </c>
      <c r="I54">
        <f t="shared" si="14"/>
        <v>4.6133333333333582E-2</v>
      </c>
      <c r="J54">
        <f t="shared" si="14"/>
        <v>-2.0533333333332848E-2</v>
      </c>
      <c r="K54">
        <f t="shared" si="14"/>
        <v>-8.7199999999999278E-2</v>
      </c>
      <c r="L54">
        <f t="shared" si="14"/>
        <v>-0.15386666666666571</v>
      </c>
      <c r="M54">
        <f t="shared" si="14"/>
        <v>-0.22053333333333214</v>
      </c>
      <c r="N54">
        <f t="shared" si="14"/>
        <v>-0.28719999999999857</v>
      </c>
      <c r="P54">
        <f t="shared" si="3"/>
        <v>12.549608256932405</v>
      </c>
      <c r="R54" s="27">
        <f t="shared" ref="R54:AD67" si="15">(riseset(planetno, $A54,R$3, longi, 1,-0.8333,pres,temp)-$AF54)*60</f>
        <v>11.9333044762306</v>
      </c>
      <c r="S54" s="27">
        <f t="shared" si="15"/>
        <v>10.166007942748632</v>
      </c>
      <c r="T54" s="27">
        <f t="shared" si="15"/>
        <v>8.498820034836605</v>
      </c>
      <c r="U54" s="27">
        <f t="shared" si="15"/>
        <v>6.922296899874123</v>
      </c>
      <c r="V54" s="27">
        <f t="shared" si="15"/>
        <v>5.428137229266099</v>
      </c>
      <c r="W54" s="27">
        <f t="shared" si="15"/>
        <v>4.0090128944508585</v>
      </c>
      <c r="X54" s="27">
        <f t="shared" si="15"/>
        <v>2.6584289779447268</v>
      </c>
      <c r="Y54" s="27">
        <f t="shared" si="15"/>
        <v>1.3706073840313593</v>
      </c>
      <c r="Z54" s="27">
        <f t="shared" si="15"/>
        <v>0.14038949846085558</v>
      </c>
      <c r="AA54" s="27">
        <f t="shared" si="15"/>
        <v>-1.0368456608404664</v>
      </c>
      <c r="AB54" s="27">
        <f t="shared" si="15"/>
        <v>-2.1652506171614583</v>
      </c>
      <c r="AC54" s="27">
        <f t="shared" si="15"/>
        <v>-3.2485681754771889</v>
      </c>
      <c r="AD54" s="27">
        <f t="shared" si="15"/>
        <v>-4.2901815289091516</v>
      </c>
      <c r="AF54">
        <f t="shared" si="12"/>
        <v>7.0830419888512823</v>
      </c>
    </row>
    <row r="55" spans="1:32">
      <c r="A55" s="10">
        <f t="shared" si="6"/>
        <v>44652</v>
      </c>
      <c r="B55">
        <f t="shared" si="14"/>
        <v>0.51280000000000037</v>
      </c>
      <c r="C55">
        <f t="shared" si="14"/>
        <v>0.44613333333333394</v>
      </c>
      <c r="D55">
        <f t="shared" si="14"/>
        <v>0.37946666666666751</v>
      </c>
      <c r="E55">
        <f t="shared" si="14"/>
        <v>0.3127999999999993</v>
      </c>
      <c r="F55">
        <f t="shared" si="14"/>
        <v>0.24613333333333287</v>
      </c>
      <c r="G55">
        <f t="shared" si="14"/>
        <v>0.17946666666666644</v>
      </c>
      <c r="H55">
        <f t="shared" si="14"/>
        <v>0.11280000000000001</v>
      </c>
      <c r="I55">
        <f t="shared" si="14"/>
        <v>4.6133333333333582E-2</v>
      </c>
      <c r="J55">
        <f t="shared" si="14"/>
        <v>-2.0533333333332848E-2</v>
      </c>
      <c r="K55">
        <f t="shared" si="14"/>
        <v>-8.7199999999999278E-2</v>
      </c>
      <c r="L55">
        <f t="shared" si="14"/>
        <v>-0.15386666666666571</v>
      </c>
      <c r="M55">
        <f t="shared" si="14"/>
        <v>-0.22053333333333391</v>
      </c>
      <c r="N55">
        <f t="shared" si="14"/>
        <v>-0.28720000000000034</v>
      </c>
      <c r="P55">
        <f t="shared" si="3"/>
        <v>10.967780073077472</v>
      </c>
      <c r="R55" s="27">
        <f t="shared" si="15"/>
        <v>6.5625565605322578</v>
      </c>
      <c r="S55" s="27">
        <f t="shared" si="15"/>
        <v>5.5963771561608056</v>
      </c>
      <c r="T55" s="27">
        <f t="shared" si="15"/>
        <v>4.6831851150447434</v>
      </c>
      <c r="U55" s="27">
        <f t="shared" si="15"/>
        <v>3.8180632748889209</v>
      </c>
      <c r="V55" s="27">
        <f t="shared" si="15"/>
        <v>2.9966757283403922</v>
      </c>
      <c r="W55" s="27">
        <f t="shared" si="15"/>
        <v>2.2151838428076864</v>
      </c>
      <c r="X55" s="27">
        <f t="shared" si="15"/>
        <v>1.4701764399909756</v>
      </c>
      <c r="Y55" s="27">
        <f t="shared" si="15"/>
        <v>0.75861142123024194</v>
      </c>
      <c r="Z55" s="27">
        <f t="shared" si="15"/>
        <v>7.7766704165593836E-2</v>
      </c>
      <c r="AA55" s="27">
        <f t="shared" si="15"/>
        <v>-0.57480122013005897</v>
      </c>
      <c r="AB55" s="27">
        <f t="shared" si="15"/>
        <v>-1.201292457963028</v>
      </c>
      <c r="AC55" s="27">
        <f t="shared" si="15"/>
        <v>-1.8036936939531678</v>
      </c>
      <c r="AD55" s="27">
        <f t="shared" si="15"/>
        <v>-2.3838038558108465</v>
      </c>
      <c r="AF55">
        <f t="shared" si="12"/>
        <v>5.2567972992945675</v>
      </c>
    </row>
    <row r="56" spans="1:32">
      <c r="A56" s="10">
        <f t="shared" si="6"/>
        <v>44682</v>
      </c>
      <c r="B56">
        <f t="shared" si="14"/>
        <v>0.51280000000000037</v>
      </c>
      <c r="C56">
        <f t="shared" si="14"/>
        <v>0.44613333333333394</v>
      </c>
      <c r="D56">
        <f t="shared" si="14"/>
        <v>0.37946666666666573</v>
      </c>
      <c r="E56">
        <f t="shared" si="14"/>
        <v>0.3127999999999993</v>
      </c>
      <c r="F56">
        <f t="shared" si="14"/>
        <v>0.24613333333333287</v>
      </c>
      <c r="G56">
        <f t="shared" si="14"/>
        <v>0.17946666666666644</v>
      </c>
      <c r="H56">
        <f t="shared" si="14"/>
        <v>0.11280000000000001</v>
      </c>
      <c r="I56">
        <f t="shared" si="14"/>
        <v>4.6133333333333582E-2</v>
      </c>
      <c r="J56">
        <f t="shared" si="14"/>
        <v>-2.0533333333332848E-2</v>
      </c>
      <c r="K56">
        <f t="shared" si="14"/>
        <v>-8.7199999999999278E-2</v>
      </c>
      <c r="L56">
        <f t="shared" si="14"/>
        <v>-0.15386666666666748</v>
      </c>
      <c r="M56">
        <f t="shared" si="14"/>
        <v>-0.22053333333333391</v>
      </c>
      <c r="N56">
        <f t="shared" si="14"/>
        <v>-0.28720000000000034</v>
      </c>
      <c r="P56">
        <f t="shared" si="3"/>
        <v>9.4024766433293134</v>
      </c>
      <c r="R56" s="27">
        <f t="shared" si="15"/>
        <v>1.8687168058288606</v>
      </c>
      <c r="S56" s="27">
        <f t="shared" si="15"/>
        <v>1.598880337779871</v>
      </c>
      <c r="T56" s="27">
        <f t="shared" si="15"/>
        <v>1.3423732070618932</v>
      </c>
      <c r="U56" s="27">
        <f t="shared" si="15"/>
        <v>1.0979523429829996</v>
      </c>
      <c r="V56" s="27">
        <f t="shared" si="15"/>
        <v>0.86451975640406076</v>
      </c>
      <c r="W56" s="27">
        <f t="shared" si="15"/>
        <v>0.64110176831832177</v>
      </c>
      <c r="X56" s="27">
        <f t="shared" si="15"/>
        <v>0.42683170146601057</v>
      </c>
      <c r="Y56" s="27">
        <f t="shared" si="15"/>
        <v>0.22093537919841921</v>
      </c>
      <c r="Z56" s="27">
        <f t="shared" si="15"/>
        <v>2.2718913988377665E-2</v>
      </c>
      <c r="AA56" s="27">
        <f t="shared" si="15"/>
        <v>-0.1684416257532817</v>
      </c>
      <c r="AB56" s="27">
        <f t="shared" si="15"/>
        <v>-0.35310899956611408</v>
      </c>
      <c r="AC56" s="27">
        <f t="shared" si="15"/>
        <v>-0.53179229429762387</v>
      </c>
      <c r="AD56" s="27">
        <f t="shared" si="15"/>
        <v>-0.70495335323531805</v>
      </c>
      <c r="AF56">
        <f t="shared" si="12"/>
        <v>3.4745006624154575</v>
      </c>
    </row>
    <row r="57" spans="1:32">
      <c r="A57" s="10">
        <f t="shared" si="6"/>
        <v>44713</v>
      </c>
      <c r="B57">
        <f t="shared" si="14"/>
        <v>0.51280000000000037</v>
      </c>
      <c r="C57">
        <f t="shared" si="14"/>
        <v>0.44613333333333216</v>
      </c>
      <c r="D57">
        <f t="shared" si="14"/>
        <v>0.37946666666666573</v>
      </c>
      <c r="E57">
        <f t="shared" si="14"/>
        <v>0.3127999999999993</v>
      </c>
      <c r="F57">
        <f t="shared" si="14"/>
        <v>0.24613333333333287</v>
      </c>
      <c r="G57">
        <f t="shared" si="14"/>
        <v>0.17946666666666644</v>
      </c>
      <c r="H57">
        <f t="shared" si="14"/>
        <v>0.11280000000000001</v>
      </c>
      <c r="I57">
        <f t="shared" si="14"/>
        <v>4.6133333333333582E-2</v>
      </c>
      <c r="J57">
        <f t="shared" si="14"/>
        <v>-2.0533333333332848E-2</v>
      </c>
      <c r="K57">
        <f t="shared" si="14"/>
        <v>-8.7199999999999278E-2</v>
      </c>
      <c r="L57">
        <f t="shared" si="14"/>
        <v>-0.15386666666666571</v>
      </c>
      <c r="M57">
        <f t="shared" si="14"/>
        <v>-0.22053333333333214</v>
      </c>
      <c r="N57">
        <f t="shared" si="14"/>
        <v>-0.28720000000000212</v>
      </c>
      <c r="P57">
        <f t="shared" si="3"/>
        <v>7.7123148458608597</v>
      </c>
      <c r="R57" s="27">
        <f t="shared" si="15"/>
        <v>-2.0333873497705746</v>
      </c>
      <c r="S57" s="27">
        <f t="shared" si="15"/>
        <v>-1.7251032773909358</v>
      </c>
      <c r="T57" s="27">
        <f t="shared" si="15"/>
        <v>-1.436152613658912</v>
      </c>
      <c r="U57" s="27">
        <f t="shared" si="15"/>
        <v>-1.1647799792626223</v>
      </c>
      <c r="V57" s="27">
        <f t="shared" si="15"/>
        <v>-0.90943692960818723</v>
      </c>
      <c r="W57" s="27">
        <f t="shared" si="15"/>
        <v>-0.6687523564239406</v>
      </c>
      <c r="X57" s="27">
        <f t="shared" si="15"/>
        <v>-0.44150783034565322</v>
      </c>
      <c r="Y57" s="27">
        <f t="shared" si="15"/>
        <v>-0.2266169481160496</v>
      </c>
      <c r="Z57" s="27">
        <f t="shared" si="15"/>
        <v>-2.310794552885298E-2</v>
      </c>
      <c r="AA57" s="27">
        <f t="shared" si="15"/>
        <v>0.16989101092574899</v>
      </c>
      <c r="AB57" s="27">
        <f t="shared" si="15"/>
        <v>0.35316432315417146</v>
      </c>
      <c r="AC57" s="27">
        <f t="shared" si="15"/>
        <v>0.52741962898746664</v>
      </c>
      <c r="AD57" s="27">
        <f t="shared" si="15"/>
        <v>0.69329694379183238</v>
      </c>
      <c r="AF57">
        <f t="shared" si="12"/>
        <v>1.6032181885765819</v>
      </c>
    </row>
    <row r="58" spans="1:32">
      <c r="A58" s="10">
        <f t="shared" si="6"/>
        <v>44743</v>
      </c>
      <c r="B58">
        <f t="shared" si="14"/>
        <v>0.51280000000000214</v>
      </c>
      <c r="C58">
        <f t="shared" si="14"/>
        <v>0.44613333333333571</v>
      </c>
      <c r="D58">
        <f t="shared" si="14"/>
        <v>0.37946666666666928</v>
      </c>
      <c r="E58">
        <f t="shared" si="14"/>
        <v>0.31280000000000285</v>
      </c>
      <c r="F58">
        <f t="shared" si="14"/>
        <v>0.24613333333333642</v>
      </c>
      <c r="G58">
        <f t="shared" si="14"/>
        <v>0.17946666666666644</v>
      </c>
      <c r="H58">
        <f t="shared" si="14"/>
        <v>0.11280000000000001</v>
      </c>
      <c r="I58">
        <f t="shared" si="14"/>
        <v>4.6133333333333582E-2</v>
      </c>
      <c r="J58">
        <f t="shared" si="14"/>
        <v>-2.0533333333332848E-2</v>
      </c>
      <c r="K58">
        <f t="shared" si="14"/>
        <v>-8.7199999999999278E-2</v>
      </c>
      <c r="L58">
        <f t="shared" si="14"/>
        <v>-0.15386666666666571</v>
      </c>
      <c r="M58">
        <f t="shared" si="14"/>
        <v>-0.22053333333333214</v>
      </c>
      <c r="N58">
        <f t="shared" si="14"/>
        <v>-0.28719999999999857</v>
      </c>
      <c r="P58">
        <f t="shared" si="3"/>
        <v>5.9645852055056281</v>
      </c>
      <c r="R58" s="27">
        <f t="shared" si="15"/>
        <v>-4.4035476733689904</v>
      </c>
      <c r="S58" s="27">
        <f t="shared" si="15"/>
        <v>-3.7437789302919811</v>
      </c>
      <c r="T58" s="27">
        <f t="shared" si="15"/>
        <v>-3.1233145406033458</v>
      </c>
      <c r="U58" s="27">
        <f t="shared" si="15"/>
        <v>-2.5385541674094014</v>
      </c>
      <c r="V58" s="27">
        <f t="shared" si="15"/>
        <v>-1.9863226861044581</v>
      </c>
      <c r="W58" s="27">
        <f t="shared" si="15"/>
        <v>-1.4638090775901702</v>
      </c>
      <c r="X58" s="27">
        <f t="shared" si="15"/>
        <v>-0.96851557126242938</v>
      </c>
      <c r="Y58" s="27">
        <f t="shared" si="15"/>
        <v>-0.49821508484413357</v>
      </c>
      <c r="Z58" s="27">
        <f t="shared" si="15"/>
        <v>-5.0915422433277513E-2</v>
      </c>
      <c r="AA58" s="27">
        <f t="shared" si="15"/>
        <v>0.37517098996062259</v>
      </c>
      <c r="AB58" s="27">
        <f t="shared" si="15"/>
        <v>0.78165280629747258</v>
      </c>
      <c r="AC58" s="27">
        <f t="shared" si="15"/>
        <v>1.1699816832481957</v>
      </c>
      <c r="AD58" s="27">
        <f t="shared" si="15"/>
        <v>1.5414710570937018</v>
      </c>
      <c r="AF58">
        <f t="shared" si="12"/>
        <v>23.745749948564551</v>
      </c>
    </row>
    <row r="59" spans="1:32">
      <c r="A59" s="10">
        <f t="shared" si="6"/>
        <v>44774</v>
      </c>
      <c r="B59">
        <f t="shared" si="14"/>
        <v>0.51279999999999859</v>
      </c>
      <c r="C59">
        <f t="shared" si="14"/>
        <v>0.44613333333333216</v>
      </c>
      <c r="D59">
        <f t="shared" si="14"/>
        <v>0.37946666666666573</v>
      </c>
      <c r="E59">
        <f t="shared" si="14"/>
        <v>0.3127999999999993</v>
      </c>
      <c r="F59">
        <f t="shared" si="14"/>
        <v>0.24613333333333287</v>
      </c>
      <c r="G59">
        <f t="shared" si="14"/>
        <v>0.17946666666666644</v>
      </c>
      <c r="H59">
        <f t="shared" si="14"/>
        <v>0.11280000000000001</v>
      </c>
      <c r="I59">
        <f t="shared" si="14"/>
        <v>4.6133333333333582E-2</v>
      </c>
      <c r="J59">
        <f t="shared" si="14"/>
        <v>-2.0533333333332848E-2</v>
      </c>
      <c r="K59">
        <f t="shared" si="14"/>
        <v>-8.7200000000002831E-2</v>
      </c>
      <c r="L59">
        <f t="shared" si="14"/>
        <v>-0.15386666666666926</v>
      </c>
      <c r="M59">
        <f t="shared" si="14"/>
        <v>-0.22053333333333569</v>
      </c>
      <c r="N59">
        <f t="shared" si="14"/>
        <v>-0.28720000000000212</v>
      </c>
      <c r="P59">
        <f t="shared" si="3"/>
        <v>3.9961559153854616</v>
      </c>
      <c r="R59" s="27">
        <f t="shared" si="15"/>
        <v>-4.8770261867433362</v>
      </c>
      <c r="S59" s="27">
        <f t="shared" si="15"/>
        <v>-4.1469751908732633</v>
      </c>
      <c r="T59" s="27">
        <f t="shared" si="15"/>
        <v>-3.4602449053403461</v>
      </c>
      <c r="U59" s="27">
        <f t="shared" si="15"/>
        <v>-2.8128615620323671</v>
      </c>
      <c r="V59" s="27">
        <f t="shared" si="15"/>
        <v>-2.2013211317555914</v>
      </c>
      <c r="W59" s="27">
        <f t="shared" si="15"/>
        <v>-1.6225217333246178</v>
      </c>
      <c r="X59" s="27">
        <f t="shared" si="15"/>
        <v>-1.0737073955819199</v>
      </c>
      <c r="Y59" s="27">
        <f t="shared" si="15"/>
        <v>-0.55242100596352373</v>
      </c>
      <c r="Z59" s="27">
        <f t="shared" si="15"/>
        <v>-5.6464739541084441E-2</v>
      </c>
      <c r="AA59" s="27">
        <f t="shared" si="15"/>
        <v>0.41613338447291426</v>
      </c>
      <c r="AB59" s="27">
        <f t="shared" si="15"/>
        <v>0.86714789892170074</v>
      </c>
      <c r="AC59" s="27">
        <f t="shared" si="15"/>
        <v>1.2981801053322783</v>
      </c>
      <c r="AD59" s="27">
        <f t="shared" si="15"/>
        <v>1.7106788121877514</v>
      </c>
      <c r="AF59">
        <f t="shared" si="12"/>
        <v>21.755456677244027</v>
      </c>
    </row>
    <row r="60" spans="1:32">
      <c r="A60" s="10">
        <f t="shared" si="6"/>
        <v>44805</v>
      </c>
      <c r="B60">
        <f t="shared" si="14"/>
        <v>0.51280000000000214</v>
      </c>
      <c r="C60">
        <f t="shared" si="14"/>
        <v>0.44613333333333571</v>
      </c>
      <c r="D60">
        <f t="shared" si="14"/>
        <v>0.37946666666666573</v>
      </c>
      <c r="E60">
        <f t="shared" si="14"/>
        <v>0.3127999999999993</v>
      </c>
      <c r="F60">
        <f t="shared" si="14"/>
        <v>0.24613333333333287</v>
      </c>
      <c r="G60">
        <f t="shared" si="14"/>
        <v>0.17946666666666644</v>
      </c>
      <c r="H60">
        <f t="shared" si="14"/>
        <v>0.11280000000000001</v>
      </c>
      <c r="I60">
        <f t="shared" si="14"/>
        <v>4.6133333333333582E-2</v>
      </c>
      <c r="J60">
        <f t="shared" si="14"/>
        <v>-2.0533333333332848E-2</v>
      </c>
      <c r="K60">
        <f t="shared" si="14"/>
        <v>-8.7199999999999278E-2</v>
      </c>
      <c r="L60">
        <f t="shared" si="14"/>
        <v>-0.15386666666666571</v>
      </c>
      <c r="M60">
        <f t="shared" si="14"/>
        <v>-0.22053333333333214</v>
      </c>
      <c r="N60">
        <f t="shared" si="14"/>
        <v>-0.28719999999999857</v>
      </c>
      <c r="P60">
        <f t="shared" si="3"/>
        <v>1.8414732841689592</v>
      </c>
      <c r="R60" s="27">
        <f t="shared" si="15"/>
        <v>-3.1917978069650133</v>
      </c>
      <c r="S60" s="27">
        <f t="shared" si="15"/>
        <v>-2.7117869098537994</v>
      </c>
      <c r="T60" s="27">
        <f t="shared" si="15"/>
        <v>-2.2608461081115649</v>
      </c>
      <c r="U60" s="27">
        <f t="shared" si="15"/>
        <v>-1.8363226622469853</v>
      </c>
      <c r="V60" s="27">
        <f t="shared" si="15"/>
        <v>-1.4358766267842782</v>
      </c>
      <c r="W60" s="27">
        <f t="shared" si="15"/>
        <v>-1.0574360213034595</v>
      </c>
      <c r="X60" s="27">
        <f t="shared" si="15"/>
        <v>-0.69915949922403797</v>
      </c>
      <c r="Y60" s="27">
        <f t="shared" si="15"/>
        <v>-0.35940509033650869</v>
      </c>
      <c r="Z60" s="27">
        <f t="shared" si="15"/>
        <v>-3.6703894135854398E-2</v>
      </c>
      <c r="AA60" s="27">
        <f t="shared" si="15"/>
        <v>0.27026216773862188</v>
      </c>
      <c r="AB60" s="27">
        <f t="shared" si="15"/>
        <v>0.56267925263568941</v>
      </c>
      <c r="AC60" s="27">
        <f t="shared" si="15"/>
        <v>0.84161772472512553</v>
      </c>
      <c r="AD60" s="27">
        <f t="shared" si="15"/>
        <v>1.1080459731260106</v>
      </c>
      <c r="AF60">
        <f t="shared" si="12"/>
        <v>19.678690131143867</v>
      </c>
    </row>
    <row r="61" spans="1:32">
      <c r="A61" s="10">
        <f t="shared" si="6"/>
        <v>44835</v>
      </c>
      <c r="B61">
        <f t="shared" si="14"/>
        <v>-23.487199999999998</v>
      </c>
      <c r="C61">
        <f t="shared" si="14"/>
        <v>-23.553866666666664</v>
      </c>
      <c r="D61">
        <f t="shared" si="14"/>
        <v>-23.620533333333331</v>
      </c>
      <c r="E61">
        <f t="shared" si="14"/>
        <v>0.31280000000000285</v>
      </c>
      <c r="F61">
        <f t="shared" si="14"/>
        <v>0.24613333333333642</v>
      </c>
      <c r="G61">
        <f t="shared" si="14"/>
        <v>0.17946666666666999</v>
      </c>
      <c r="H61">
        <f t="shared" si="14"/>
        <v>0.11280000000000356</v>
      </c>
      <c r="I61">
        <f t="shared" si="14"/>
        <v>4.6133333333333582E-2</v>
      </c>
      <c r="J61">
        <f t="shared" si="14"/>
        <v>-2.0533333333332848E-2</v>
      </c>
      <c r="K61">
        <f t="shared" si="14"/>
        <v>-8.7199999999999278E-2</v>
      </c>
      <c r="L61">
        <f t="shared" si="14"/>
        <v>-0.15386666666666571</v>
      </c>
      <c r="M61">
        <f t="shared" si="14"/>
        <v>-0.22053333333333214</v>
      </c>
      <c r="N61">
        <f t="shared" si="14"/>
        <v>-0.28719999999999857</v>
      </c>
      <c r="P61">
        <f t="shared" si="3"/>
        <v>23.638202081199516</v>
      </c>
      <c r="R61" s="27">
        <f t="shared" si="15"/>
        <v>-0.35026836853539578</v>
      </c>
      <c r="S61" s="27">
        <f t="shared" si="15"/>
        <v>-0.29136948944945118</v>
      </c>
      <c r="T61" s="27">
        <f t="shared" si="15"/>
        <v>-0.2377071810486342</v>
      </c>
      <c r="U61" s="27">
        <f t="shared" si="15"/>
        <v>-0.18882085324037234</v>
      </c>
      <c r="V61" s="27">
        <f t="shared" si="15"/>
        <v>-0.1443047422396404</v>
      </c>
      <c r="W61" s="27">
        <f t="shared" si="15"/>
        <v>-0.10380009367302989</v>
      </c>
      <c r="X61" s="27">
        <f t="shared" si="15"/>
        <v>-6.6988649436510173E-2</v>
      </c>
      <c r="Y61" s="27">
        <f t="shared" si="15"/>
        <v>-3.3587191653197124E-2</v>
      </c>
      <c r="Z61" s="27">
        <f t="shared" si="15"/>
        <v>-3.3429490173375598E-3</v>
      </c>
      <c r="AA61" s="27">
        <f t="shared" si="15"/>
        <v>2.3970289247685628E-2</v>
      </c>
      <c r="AB61" s="27">
        <f t="shared" si="15"/>
        <v>4.8555475621228084E-2</v>
      </c>
      <c r="AC61" s="27">
        <f t="shared" si="15"/>
        <v>7.0595122355427975E-2</v>
      </c>
      <c r="AD61" s="27">
        <f t="shared" si="15"/>
        <v>9.0253716045509691E-2</v>
      </c>
      <c r="AF61">
        <f t="shared" si="12"/>
        <v>17.607215839157469</v>
      </c>
    </row>
    <row r="62" spans="1:32">
      <c r="A62" s="10">
        <f t="shared" si="6"/>
        <v>44866</v>
      </c>
      <c r="B62">
        <f t="shared" si="14"/>
        <v>0.51279999999999859</v>
      </c>
      <c r="C62">
        <f t="shared" si="14"/>
        <v>0.44613333333333216</v>
      </c>
      <c r="D62">
        <f t="shared" si="14"/>
        <v>0.37946666666666573</v>
      </c>
      <c r="E62">
        <f t="shared" si="14"/>
        <v>0.3127999999999993</v>
      </c>
      <c r="F62">
        <f t="shared" si="14"/>
        <v>0.24613333333333287</v>
      </c>
      <c r="G62">
        <f t="shared" si="14"/>
        <v>0.17946666666666644</v>
      </c>
      <c r="H62">
        <f t="shared" si="14"/>
        <v>0.11280000000000001</v>
      </c>
      <c r="I62">
        <f t="shared" si="14"/>
        <v>4.6133333333333582E-2</v>
      </c>
      <c r="J62">
        <f t="shared" si="14"/>
        <v>-2.0533333333332848E-2</v>
      </c>
      <c r="K62">
        <f t="shared" si="14"/>
        <v>-8.7200000000002831E-2</v>
      </c>
      <c r="L62">
        <f t="shared" si="14"/>
        <v>-0.15386666666666571</v>
      </c>
      <c r="M62">
        <f t="shared" si="14"/>
        <v>-0.22053333333333569</v>
      </c>
      <c r="N62">
        <f t="shared" si="14"/>
        <v>-0.28720000000000212</v>
      </c>
      <c r="P62">
        <f t="shared" si="3"/>
        <v>21.391715768277983</v>
      </c>
      <c r="R62" s="27">
        <f t="shared" si="15"/>
        <v>1.9769824051596174</v>
      </c>
      <c r="S62" s="27">
        <f t="shared" si="15"/>
        <v>1.6911039974530695</v>
      </c>
      <c r="T62" s="27">
        <f t="shared" si="15"/>
        <v>1.4194618667087155</v>
      </c>
      <c r="U62" s="27">
        <f t="shared" si="15"/>
        <v>1.1607296185869131</v>
      </c>
      <c r="V62" s="27">
        <f t="shared" si="15"/>
        <v>0.91373573184093004</v>
      </c>
      <c r="W62" s="27">
        <f t="shared" si="15"/>
        <v>0.67744138429347345</v>
      </c>
      <c r="X62" s="27">
        <f t="shared" si="15"/>
        <v>0.45092197615485219</v>
      </c>
      <c r="Y62" s="27">
        <f t="shared" si="15"/>
        <v>0.2333516504470623</v>
      </c>
      <c r="Z62" s="27">
        <f t="shared" si="15"/>
        <v>2.3990257866870479E-2</v>
      </c>
      <c r="AA62" s="27">
        <f t="shared" si="15"/>
        <v>-0.17782767310595915</v>
      </c>
      <c r="AB62" s="27">
        <f t="shared" si="15"/>
        <v>-0.37270231212843896</v>
      </c>
      <c r="AC62" s="27">
        <f t="shared" si="15"/>
        <v>-0.5611765316243833</v>
      </c>
      <c r="AD62" s="27">
        <f t="shared" si="15"/>
        <v>-0.74374276891745694</v>
      </c>
      <c r="AF62">
        <f t="shared" si="12"/>
        <v>15.468762908307532</v>
      </c>
    </row>
    <row r="63" spans="1:32">
      <c r="A63" s="10">
        <f t="shared" si="6"/>
        <v>44896</v>
      </c>
      <c r="B63">
        <f t="shared" si="14"/>
        <v>0.51279999999999859</v>
      </c>
      <c r="C63">
        <f t="shared" si="14"/>
        <v>0.44613333333333571</v>
      </c>
      <c r="D63">
        <f t="shared" si="14"/>
        <v>0.37946666666666573</v>
      </c>
      <c r="E63">
        <f t="shared" si="14"/>
        <v>0.3127999999999993</v>
      </c>
      <c r="F63">
        <f t="shared" si="14"/>
        <v>0.24613333333333287</v>
      </c>
      <c r="G63">
        <f t="shared" si="14"/>
        <v>0.17946666666666644</v>
      </c>
      <c r="H63">
        <f t="shared" si="14"/>
        <v>0.11280000000000001</v>
      </c>
      <c r="I63">
        <f t="shared" si="14"/>
        <v>4.6133333333333582E-2</v>
      </c>
      <c r="J63">
        <f t="shared" si="14"/>
        <v>-2.0533333333332848E-2</v>
      </c>
      <c r="K63">
        <f t="shared" si="14"/>
        <v>-8.7199999999999278E-2</v>
      </c>
      <c r="L63">
        <f t="shared" si="14"/>
        <v>-0.15386666666666571</v>
      </c>
      <c r="M63">
        <f t="shared" si="14"/>
        <v>-0.22053333333333214</v>
      </c>
      <c r="N63">
        <f t="shared" si="14"/>
        <v>-0.28719999999999857</v>
      </c>
      <c r="P63">
        <f t="shared" si="3"/>
        <v>19.375210549696249</v>
      </c>
      <c r="R63" s="27">
        <f t="shared" si="15"/>
        <v>2.2181645223385615</v>
      </c>
      <c r="S63" s="27">
        <f t="shared" si="15"/>
        <v>1.8965478483702469</v>
      </c>
      <c r="T63" s="27">
        <f t="shared" si="15"/>
        <v>1.5911885523740921</v>
      </c>
      <c r="U63" s="27">
        <f t="shared" si="15"/>
        <v>1.3005744894623916</v>
      </c>
      <c r="V63" s="27">
        <f t="shared" si="15"/>
        <v>1.02337022510536</v>
      </c>
      <c r="W63" s="27">
        <f t="shared" si="15"/>
        <v>0.75839173148033012</v>
      </c>
      <c r="X63" s="27">
        <f t="shared" si="15"/>
        <v>0.50458530425061099</v>
      </c>
      <c r="Y63" s="27">
        <f t="shared" si="15"/>
        <v>0.26100990024865212</v>
      </c>
      <c r="Z63" s="27">
        <f t="shared" si="15"/>
        <v>2.6822265084511798E-2</v>
      </c>
      <c r="AA63" s="27">
        <f t="shared" si="15"/>
        <v>-0.19873565071279131</v>
      </c>
      <c r="AB63" s="27">
        <f t="shared" si="15"/>
        <v>-0.4163473880126034</v>
      </c>
      <c r="AC63" s="27">
        <f t="shared" si="15"/>
        <v>-0.62663111052437159</v>
      </c>
      <c r="AD63" s="27">
        <f t="shared" si="15"/>
        <v>-0.83014743250956258</v>
      </c>
      <c r="AF63">
        <f t="shared" si="12"/>
        <v>13.463445906661448</v>
      </c>
    </row>
    <row r="64" spans="1:32">
      <c r="A64" s="10">
        <f t="shared" si="6"/>
        <v>44927</v>
      </c>
      <c r="B64">
        <f t="shared" si="14"/>
        <v>0.51279999999999859</v>
      </c>
      <c r="C64">
        <f t="shared" si="14"/>
        <v>0.44613333333333216</v>
      </c>
      <c r="D64">
        <f t="shared" si="14"/>
        <v>0.37946666666666573</v>
      </c>
      <c r="E64">
        <f t="shared" si="14"/>
        <v>0.3127999999999993</v>
      </c>
      <c r="F64">
        <f t="shared" si="14"/>
        <v>0.24613333333333287</v>
      </c>
      <c r="G64">
        <f t="shared" si="14"/>
        <v>0.17946666666666644</v>
      </c>
      <c r="H64">
        <f t="shared" si="14"/>
        <v>0.11280000000000001</v>
      </c>
      <c r="I64">
        <f t="shared" si="14"/>
        <v>4.6133333333333582E-2</v>
      </c>
      <c r="J64">
        <f t="shared" si="14"/>
        <v>-2.0533333333332848E-2</v>
      </c>
      <c r="K64">
        <f t="shared" si="14"/>
        <v>-8.7200000000002831E-2</v>
      </c>
      <c r="L64">
        <f t="shared" si="14"/>
        <v>-0.15386666666666926</v>
      </c>
      <c r="M64">
        <f t="shared" si="14"/>
        <v>-0.22053333333333569</v>
      </c>
      <c r="N64">
        <f t="shared" si="14"/>
        <v>-0.28720000000000212</v>
      </c>
      <c r="P64">
        <f t="shared" si="3"/>
        <v>17.485165641168894</v>
      </c>
      <c r="R64" s="27">
        <f t="shared" si="15"/>
        <v>0.16475029767764937</v>
      </c>
      <c r="S64" s="27">
        <f t="shared" si="15"/>
        <v>0.14735388987279663</v>
      </c>
      <c r="T64" s="27">
        <f t="shared" si="15"/>
        <v>0.12902876892262327</v>
      </c>
      <c r="U64" s="27">
        <f t="shared" si="15"/>
        <v>0.10984034116933827</v>
      </c>
      <c r="V64" s="27">
        <f t="shared" si="15"/>
        <v>8.9845540958712888E-2</v>
      </c>
      <c r="W64" s="27">
        <f t="shared" si="15"/>
        <v>6.9094021243003567E-2</v>
      </c>
      <c r="X64" s="27">
        <f t="shared" si="15"/>
        <v>4.7629144785723554E-2</v>
      </c>
      <c r="Y64" s="27">
        <f t="shared" si="15"/>
        <v>2.5488813650973441E-2</v>
      </c>
      <c r="Z64" s="27">
        <f t="shared" si="15"/>
        <v>2.7061667243089005E-3</v>
      </c>
      <c r="AA64" s="27">
        <f t="shared" si="15"/>
        <v>-2.0689831089768518E-2</v>
      </c>
      <c r="AB64" s="27">
        <f t="shared" si="15"/>
        <v>-4.4673889083597373E-2</v>
      </c>
      <c r="AC64" s="27">
        <f t="shared" si="15"/>
        <v>-6.9223965155593703E-2</v>
      </c>
      <c r="AD64" s="27">
        <f t="shared" si="15"/>
        <v>-9.4320902094473524E-2</v>
      </c>
      <c r="AF64">
        <f t="shared" si="12"/>
        <v>11.478091653919053</v>
      </c>
    </row>
    <row r="65" spans="1:32">
      <c r="A65" s="10">
        <f t="shared" si="6"/>
        <v>44958</v>
      </c>
      <c r="B65">
        <f t="shared" si="14"/>
        <v>0.51279999999999859</v>
      </c>
      <c r="C65">
        <f t="shared" si="14"/>
        <v>0.44613333333333216</v>
      </c>
      <c r="D65">
        <f t="shared" si="14"/>
        <v>0.37946666666666573</v>
      </c>
      <c r="E65">
        <f t="shared" si="14"/>
        <v>0.3127999999999993</v>
      </c>
      <c r="F65">
        <f t="shared" si="14"/>
        <v>0.24613333333333287</v>
      </c>
      <c r="G65">
        <f t="shared" si="14"/>
        <v>0.17946666666666644</v>
      </c>
      <c r="H65">
        <f t="shared" si="14"/>
        <v>0.11280000000000001</v>
      </c>
      <c r="I65">
        <f t="shared" si="14"/>
        <v>4.6133333333333582E-2</v>
      </c>
      <c r="J65">
        <f t="shared" si="14"/>
        <v>-2.0533333333332848E-2</v>
      </c>
      <c r="K65">
        <f t="shared" si="14"/>
        <v>-8.7200000000001054E-2</v>
      </c>
      <c r="L65">
        <f t="shared" si="14"/>
        <v>-0.15386666666666748</v>
      </c>
      <c r="M65">
        <f t="shared" si="14"/>
        <v>-0.22053333333333391</v>
      </c>
      <c r="N65">
        <f t="shared" si="14"/>
        <v>-0.28720000000000034</v>
      </c>
      <c r="P65">
        <f t="shared" si="3"/>
        <v>15.751744074322492</v>
      </c>
      <c r="R65" s="27">
        <f t="shared" si="15"/>
        <v>-3.6756260196385426</v>
      </c>
      <c r="S65" s="27">
        <f t="shared" si="15"/>
        <v>-3.1238588704564307</v>
      </c>
      <c r="T65" s="27">
        <f t="shared" si="15"/>
        <v>-2.6052411650665164</v>
      </c>
      <c r="U65" s="27">
        <f t="shared" si="15"/>
        <v>-2.1167430754037753</v>
      </c>
      <c r="V65" s="27">
        <f t="shared" si="15"/>
        <v>-1.6556922137831975</v>
      </c>
      <c r="W65" s="27">
        <f t="shared" si="15"/>
        <v>-1.2197223539145696</v>
      </c>
      <c r="X65" s="27">
        <f t="shared" si="15"/>
        <v>-0.80673073739795598</v>
      </c>
      <c r="Y65" s="27">
        <f t="shared" si="15"/>
        <v>-0.41484233321906316</v>
      </c>
      <c r="Z65" s="27">
        <f t="shared" si="15"/>
        <v>-4.2379763313284968E-2</v>
      </c>
      <c r="AA65" s="27">
        <f t="shared" si="15"/>
        <v>0.3121621273859887</v>
      </c>
      <c r="AB65" s="27">
        <f t="shared" si="15"/>
        <v>0.65013787268505041</v>
      </c>
      <c r="AC65" s="27">
        <f t="shared" si="15"/>
        <v>0.9727698149161057</v>
      </c>
      <c r="AD65" s="27">
        <f t="shared" si="15"/>
        <v>1.2811638934823577</v>
      </c>
      <c r="AF65">
        <f t="shared" si="12"/>
        <v>9.5665652528379539</v>
      </c>
    </row>
    <row r="66" spans="1:32">
      <c r="A66" s="10">
        <f t="shared" si="6"/>
        <v>44986</v>
      </c>
      <c r="B66">
        <f t="shared" si="14"/>
        <v>0.51280000000000037</v>
      </c>
      <c r="C66">
        <f t="shared" si="14"/>
        <v>0.44613333333333394</v>
      </c>
      <c r="D66">
        <f t="shared" si="14"/>
        <v>0.37946666666666751</v>
      </c>
      <c r="E66">
        <f t="shared" si="14"/>
        <v>0.31280000000000108</v>
      </c>
      <c r="F66">
        <f t="shared" si="14"/>
        <v>0.24613333333333465</v>
      </c>
      <c r="G66">
        <f t="shared" si="14"/>
        <v>0.17946666666666822</v>
      </c>
      <c r="H66">
        <f t="shared" si="14"/>
        <v>0.11280000000000179</v>
      </c>
      <c r="I66">
        <f t="shared" si="14"/>
        <v>4.6133333333335358E-2</v>
      </c>
      <c r="J66">
        <f t="shared" si="14"/>
        <v>-2.0533333333332848E-2</v>
      </c>
      <c r="K66">
        <f t="shared" si="14"/>
        <v>-8.7199999999999278E-2</v>
      </c>
      <c r="L66">
        <f t="shared" si="14"/>
        <v>-0.15386666666666571</v>
      </c>
      <c r="M66">
        <f t="shared" si="14"/>
        <v>-0.22053333333333214</v>
      </c>
      <c r="N66">
        <f t="shared" si="14"/>
        <v>-0.28719999999999857</v>
      </c>
      <c r="P66">
        <f t="shared" si="3"/>
        <v>14.273962260863822</v>
      </c>
      <c r="R66" s="27">
        <f t="shared" si="15"/>
        <v>-8.1202309689440355</v>
      </c>
      <c r="S66" s="27">
        <f t="shared" si="15"/>
        <v>-6.9078573403802146</v>
      </c>
      <c r="T66" s="27">
        <f t="shared" si="15"/>
        <v>-5.7666777558038973</v>
      </c>
      <c r="U66" s="27">
        <f t="shared" si="15"/>
        <v>-4.6900941460006784</v>
      </c>
      <c r="V66" s="27">
        <f t="shared" si="15"/>
        <v>-3.6722958700704922</v>
      </c>
      <c r="W66" s="27">
        <f t="shared" si="15"/>
        <v>-2.7081450687467168</v>
      </c>
      <c r="X66" s="27">
        <f t="shared" si="15"/>
        <v>-1.7930815273431122</v>
      </c>
      <c r="Y66" s="27">
        <f t="shared" si="15"/>
        <v>-0.9230432716166348</v>
      </c>
      <c r="Z66" s="27">
        <f t="shared" si="15"/>
        <v>-9.4399934876605585E-2</v>
      </c>
      <c r="AA66" s="27">
        <f t="shared" si="15"/>
        <v>0.69610344341610286</v>
      </c>
      <c r="AB66" s="27">
        <f t="shared" si="15"/>
        <v>1.4513940488827437</v>
      </c>
      <c r="AC66" s="27">
        <f t="shared" si="15"/>
        <v>2.1741118437228835</v>
      </c>
      <c r="AD66" s="27">
        <f t="shared" si="15"/>
        <v>2.8666442392994718</v>
      </c>
      <c r="AF66">
        <f t="shared" si="12"/>
        <v>7.8842830911245816</v>
      </c>
    </row>
    <row r="67" spans="1:32">
      <c r="A67" s="10">
        <f t="shared" si="6"/>
        <v>45017</v>
      </c>
      <c r="B67">
        <f t="shared" si="14"/>
        <v>0.51280000000000037</v>
      </c>
      <c r="C67">
        <f t="shared" si="14"/>
        <v>0.44613333333333394</v>
      </c>
      <c r="D67">
        <f t="shared" si="14"/>
        <v>0.37946666666666751</v>
      </c>
      <c r="E67">
        <f t="shared" si="14"/>
        <v>0.3127999999999993</v>
      </c>
      <c r="F67">
        <f t="shared" si="14"/>
        <v>0.24613333333333287</v>
      </c>
      <c r="G67">
        <f t="shared" si="14"/>
        <v>0.17946666666666644</v>
      </c>
      <c r="H67">
        <f t="shared" si="14"/>
        <v>0.11280000000000001</v>
      </c>
      <c r="I67">
        <f t="shared" si="14"/>
        <v>4.6133333333333582E-2</v>
      </c>
      <c r="J67">
        <f t="shared" si="14"/>
        <v>-2.0533333333332848E-2</v>
      </c>
      <c r="K67">
        <f t="shared" si="14"/>
        <v>-8.7199999999999278E-2</v>
      </c>
      <c r="L67">
        <f t="shared" si="14"/>
        <v>-0.15386666666666571</v>
      </c>
      <c r="M67">
        <f t="shared" si="14"/>
        <v>-0.22053333333333391</v>
      </c>
      <c r="N67">
        <f t="shared" si="14"/>
        <v>-0.28720000000000034</v>
      </c>
      <c r="P67">
        <f t="shared" si="3"/>
        <v>12.690320772706082</v>
      </c>
      <c r="R67" s="27">
        <f t="shared" si="15"/>
        <v>-13.61245931659667</v>
      </c>
      <c r="S67" s="27">
        <f t="shared" si="15"/>
        <v>-11.577831608284139</v>
      </c>
      <c r="T67" s="27">
        <f t="shared" si="15"/>
        <v>-9.6637964071661564</v>
      </c>
      <c r="U67" s="27">
        <f t="shared" si="15"/>
        <v>-7.8589001370098899</v>
      </c>
      <c r="V67" s="27">
        <f t="shared" si="15"/>
        <v>-6.1530952144943107</v>
      </c>
      <c r="W67" s="27">
        <f t="shared" si="15"/>
        <v>-4.5375284996216259</v>
      </c>
      <c r="X67" s="27">
        <f t="shared" si="15"/>
        <v>-3.004367095053091</v>
      </c>
      <c r="Y67" s="27">
        <f t="shared" si="15"/>
        <v>-1.5466539666951462</v>
      </c>
      <c r="Z67" s="27">
        <f t="shared" si="15"/>
        <v>-0.15818755456070477</v>
      </c>
      <c r="AA67" s="27">
        <f t="shared" si="15"/>
        <v>1.1665791814302473</v>
      </c>
      <c r="AB67" s="27">
        <f t="shared" si="15"/>
        <v>2.4326238678268908</v>
      </c>
      <c r="AC67" s="27">
        <f t="shared" si="15"/>
        <v>3.6444268218996356</v>
      </c>
      <c r="AD67" s="27">
        <f t="shared" si="15"/>
        <v>4.8060324270169552</v>
      </c>
      <c r="AF67">
        <f t="shared" si="12"/>
        <v>6.0529734144627172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BestVisibility</vt:lpstr>
      <vt:lpstr>Sheet1</vt:lpstr>
      <vt:lpstr>intvl</vt:lpstr>
      <vt:lpstr>lati</vt:lpstr>
      <vt:lpstr>longi</vt:lpstr>
      <vt:lpstr>planetno</vt:lpstr>
      <vt:lpstr>planlookup</vt:lpstr>
      <vt:lpstr>pres</vt:lpstr>
      <vt:lpstr>BestVisibility!Print_Area</vt:lpstr>
      <vt:lpstr>temp</vt:lpstr>
      <vt:lpstr>unt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cp:lastPrinted>2018-03-08T22:15:10Z</cp:lastPrinted>
  <dcterms:created xsi:type="dcterms:W3CDTF">2018-02-24T15:57:37Z</dcterms:created>
  <dcterms:modified xsi:type="dcterms:W3CDTF">2018-04-11T09:54:29Z</dcterms:modified>
</cp:coreProperties>
</file>