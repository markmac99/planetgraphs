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2435" windowHeight="6990"/>
  </bookViews>
  <sheets>
    <sheet name="Sheet1" sheetId="1" r:id="rId1"/>
    <sheet name="Sheet2" sheetId="2" r:id="rId2"/>
    <sheet name="Sheet3" sheetId="3" r:id="rId3"/>
  </sheets>
  <functionGroups/>
  <definedNames>
    <definedName name="lati">Sheet1!$B$1</definedName>
    <definedName name="longi">Sheet1!$C$1</definedName>
    <definedName name="planetlookup">Sheet1!$A$2:$B$17</definedName>
    <definedName name="planlookup">Sheet1!$X$4:$Y$19</definedName>
  </definedNames>
  <calcPr calcId="125725"/>
</workbook>
</file>

<file path=xl/calcChain.xml><?xml version="1.0" encoding="utf-8"?>
<calcChain xmlns="http://schemas.openxmlformats.org/spreadsheetml/2006/main">
  <c r="K2" i="1"/>
  <c r="Q19"/>
  <c r="Q18"/>
  <c r="Q17"/>
  <c r="Q16"/>
  <c r="Q15"/>
  <c r="Q14"/>
  <c r="K4"/>
  <c r="L6"/>
  <c r="K5"/>
  <c r="K6"/>
  <c r="K27"/>
  <c r="K26"/>
  <c r="K28"/>
  <c r="K25"/>
  <c r="K19"/>
  <c r="K15"/>
  <c r="K22"/>
  <c r="K16"/>
  <c r="K18"/>
  <c r="K21"/>
  <c r="K17"/>
  <c r="K20"/>
  <c r="K14"/>
  <c r="K23"/>
  <c r="E17"/>
  <c r="E16"/>
  <c r="E19" l="1"/>
  <c r="E7"/>
  <c r="K9"/>
  <c r="K24"/>
  <c r="K11"/>
  <c r="K8"/>
  <c r="K12" s="1"/>
  <c r="K10"/>
  <c r="L15"/>
  <c r="L19"/>
  <c r="L18"/>
  <c r="L17"/>
  <c r="L16"/>
  <c r="L14"/>
</calcChain>
</file>

<file path=xl/sharedStrings.xml><?xml version="1.0" encoding="utf-8"?>
<sst xmlns="http://schemas.openxmlformats.org/spreadsheetml/2006/main" count="55" uniqueCount="51">
  <si>
    <t>Object IDs</t>
  </si>
  <si>
    <t>Sun</t>
  </si>
  <si>
    <t>Visual</t>
  </si>
  <si>
    <t>Planet</t>
  </si>
  <si>
    <t>Ceres</t>
  </si>
  <si>
    <t>Moon</t>
  </si>
  <si>
    <t>Imaging</t>
  </si>
  <si>
    <t>Date</t>
  </si>
  <si>
    <t>Mercury</t>
  </si>
  <si>
    <t>Astrodate</t>
  </si>
  <si>
    <t>Venus</t>
  </si>
  <si>
    <t>Julian Date</t>
  </si>
  <si>
    <t>Mars</t>
  </si>
  <si>
    <t>1AU</t>
  </si>
  <si>
    <t>LST</t>
  </si>
  <si>
    <t>Jupiter</t>
  </si>
  <si>
    <t>Earth Rad</t>
  </si>
  <si>
    <t>Saturn</t>
  </si>
  <si>
    <t>Eccentricity</t>
  </si>
  <si>
    <t>Uranus</t>
  </si>
  <si>
    <t>Temp</t>
  </si>
  <si>
    <t>MA</t>
  </si>
  <si>
    <t>Neptune</t>
  </si>
  <si>
    <t>Press</t>
  </si>
  <si>
    <t>Omega</t>
  </si>
  <si>
    <t>Earth</t>
  </si>
  <si>
    <t>Long Of Asc</t>
  </si>
  <si>
    <t>Pluto</t>
  </si>
  <si>
    <t>eccentric Anomaly</t>
  </si>
  <si>
    <t>RA</t>
  </si>
  <si>
    <t>Dec</t>
  </si>
  <si>
    <t>Az</t>
  </si>
  <si>
    <t>Alt</t>
  </si>
  <si>
    <t>Lonecl</t>
  </si>
  <si>
    <t>Latecl</t>
  </si>
  <si>
    <t>Dist Earth</t>
  </si>
  <si>
    <t>Plan Dist from Sun</t>
  </si>
  <si>
    <t>Stellarium</t>
  </si>
  <si>
    <t>CosineKitty</t>
  </si>
  <si>
    <t>GMT</t>
  </si>
  <si>
    <t>Mag</t>
  </si>
  <si>
    <t>Size</t>
  </si>
  <si>
    <t>Elong</t>
  </si>
  <si>
    <t>Gx</t>
  </si>
  <si>
    <t>Gy</t>
  </si>
  <si>
    <t>Gz</t>
  </si>
  <si>
    <t>Hz</t>
  </si>
  <si>
    <t>Hx</t>
  </si>
  <si>
    <t>Hy</t>
  </si>
  <si>
    <t>Phase</t>
  </si>
  <si>
    <t>ha</t>
  </si>
</sst>
</file>

<file path=xl/styles.xml><?xml version="1.0" encoding="utf-8"?>
<styleSheet xmlns="http://schemas.openxmlformats.org/spreadsheetml/2006/main">
  <numFmts count="4">
    <numFmt numFmtId="164" formatCode="0.00000E+00"/>
    <numFmt numFmtId="165" formatCode="dd/mm/yyyy\ hh:mm:ss"/>
    <numFmt numFmtId="166" formatCode="0.00000"/>
    <numFmt numFmtId="168" formatCode="[$-F400]h:mm:ss\ AM/PM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/>
    <xf numFmtId="164" fontId="0" fillId="0" borderId="2" xfId="0" applyNumberFormat="1" applyBorder="1"/>
    <xf numFmtId="165" fontId="0" fillId="0" borderId="0" xfId="0" applyNumberFormat="1"/>
    <xf numFmtId="166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1"/>
  <sheetViews>
    <sheetView tabSelected="1" workbookViewId="0">
      <selection activeCell="K7" sqref="K7"/>
    </sheetView>
  </sheetViews>
  <sheetFormatPr defaultRowHeight="15"/>
  <cols>
    <col min="11" max="11" width="18.5703125" bestFit="1" customWidth="1"/>
    <col min="16" max="16" width="9.5703125" bestFit="1" customWidth="1"/>
  </cols>
  <sheetData>
    <row r="1" spans="1:17" ht="15.75" thickBot="1">
      <c r="A1" t="s">
        <v>0</v>
      </c>
      <c r="O1" t="s">
        <v>37</v>
      </c>
    </row>
    <row r="2" spans="1:17">
      <c r="A2" s="1" t="s">
        <v>1</v>
      </c>
      <c r="B2" s="2">
        <v>0</v>
      </c>
      <c r="D2" s="1" t="s">
        <v>2</v>
      </c>
      <c r="E2" s="2">
        <v>1</v>
      </c>
      <c r="I2" t="s">
        <v>3</v>
      </c>
      <c r="J2" t="s">
        <v>15</v>
      </c>
      <c r="K2">
        <f>VLOOKUP(J2,planetlookup,2,0)</f>
        <v>5</v>
      </c>
      <c r="O2" t="s">
        <v>4</v>
      </c>
      <c r="P2" t="s">
        <v>38</v>
      </c>
    </row>
    <row r="3" spans="1:17" ht="15.75" thickBot="1">
      <c r="A3" s="3" t="s">
        <v>5</v>
      </c>
      <c r="B3" s="4">
        <v>1</v>
      </c>
      <c r="D3" s="5" t="s">
        <v>6</v>
      </c>
      <c r="E3" s="6">
        <v>2</v>
      </c>
      <c r="I3" t="s">
        <v>7</v>
      </c>
      <c r="K3" s="9">
        <v>43201.415034722224</v>
      </c>
      <c r="L3" t="s">
        <v>39</v>
      </c>
    </row>
    <row r="4" spans="1:17">
      <c r="A4" s="3" t="s">
        <v>8</v>
      </c>
      <c r="B4" s="4">
        <v>2</v>
      </c>
      <c r="D4" s="1"/>
      <c r="E4" s="8"/>
      <c r="I4" t="s">
        <v>9</v>
      </c>
      <c r="K4" s="10">
        <f>astrodaysfromdt(K3)</f>
        <v>6676.4150347222221</v>
      </c>
    </row>
    <row r="5" spans="1:17">
      <c r="A5" s="3" t="s">
        <v>10</v>
      </c>
      <c r="B5" s="4">
        <v>3</v>
      </c>
      <c r="D5" s="3"/>
      <c r="E5" s="4"/>
      <c r="I5" t="s">
        <v>11</v>
      </c>
      <c r="K5">
        <f>juliandate(YEAR(K3),MONTH(K3),DAY(K3),HOUR(K3), MINUTE(K3), SECOND(K3))</f>
        <v>2458219.9150347221</v>
      </c>
    </row>
    <row r="6" spans="1:17">
      <c r="A6" s="3" t="s">
        <v>12</v>
      </c>
      <c r="B6" s="4">
        <v>4</v>
      </c>
      <c r="D6" s="3" t="s">
        <v>13</v>
      </c>
      <c r="E6" s="4">
        <v>149597870.69999999</v>
      </c>
      <c r="I6" t="s">
        <v>14</v>
      </c>
      <c r="K6" s="11">
        <f>LSTFromDt(K4, longi)/24</f>
        <v>0.14611171013175786</v>
      </c>
      <c r="L6">
        <f>LocalSiderealTime(2018,4,11,9,57,39,longi)</f>
        <v>23.265703532590294</v>
      </c>
    </row>
    <row r="7" spans="1:17" ht="15.75" thickBot="1">
      <c r="A7" s="3" t="s">
        <v>15</v>
      </c>
      <c r="B7" s="4">
        <v>5</v>
      </c>
      <c r="D7" s="5" t="s">
        <v>16</v>
      </c>
      <c r="E7" s="6">
        <f>6378140/1000</f>
        <v>6378.14</v>
      </c>
    </row>
    <row r="8" spans="1:17">
      <c r="A8" s="3" t="s">
        <v>17</v>
      </c>
      <c r="B8" s="4">
        <v>6</v>
      </c>
      <c r="I8" t="s">
        <v>18</v>
      </c>
      <c r="K8" s="10">
        <f>Eccentricity(K2,K4)</f>
        <v>4.8527836898790172E-2</v>
      </c>
    </row>
    <row r="9" spans="1:17">
      <c r="A9" s="3" t="s">
        <v>19</v>
      </c>
      <c r="B9" s="4">
        <v>7</v>
      </c>
      <c r="D9" t="s">
        <v>20</v>
      </c>
      <c r="E9">
        <v>10</v>
      </c>
      <c r="I9" t="s">
        <v>21</v>
      </c>
      <c r="K9" s="10">
        <f>MeanAnomaly(K2,K4)*180/PI()</f>
        <v>214.60694679324919</v>
      </c>
    </row>
    <row r="10" spans="1:17">
      <c r="A10" s="3" t="s">
        <v>22</v>
      </c>
      <c r="B10" s="4">
        <v>8</v>
      </c>
      <c r="D10" t="s">
        <v>23</v>
      </c>
      <c r="E10">
        <v>1010</v>
      </c>
      <c r="I10" t="s">
        <v>24</v>
      </c>
      <c r="K10" s="10">
        <f>ArgOfPerihelion(K2,K4)*180/PI()</f>
        <v>273.98753038026831</v>
      </c>
    </row>
    <row r="11" spans="1:17">
      <c r="A11" s="3" t="s">
        <v>25</v>
      </c>
      <c r="B11" s="4">
        <v>9</v>
      </c>
      <c r="I11" t="s">
        <v>26</v>
      </c>
      <c r="K11" s="10">
        <f>LongOfAscNode(K2,K4)*180/PI()</f>
        <v>6.1922017681674619</v>
      </c>
    </row>
    <row r="12" spans="1:17">
      <c r="A12" s="3" t="s">
        <v>27</v>
      </c>
      <c r="B12" s="4">
        <v>10</v>
      </c>
      <c r="E12" s="7"/>
      <c r="I12" t="s">
        <v>28</v>
      </c>
      <c r="K12" s="10">
        <f>EccentricAnomaly(K9,K8)</f>
        <v>214.64829768221227</v>
      </c>
    </row>
    <row r="13" spans="1:17">
      <c r="A13" s="3" t="s">
        <v>4</v>
      </c>
      <c r="B13" s="4">
        <v>11</v>
      </c>
    </row>
    <row r="14" spans="1:17">
      <c r="A14" s="3"/>
      <c r="B14" s="4"/>
      <c r="D14" s="7"/>
      <c r="H14">
        <v>6</v>
      </c>
      <c r="I14" t="s">
        <v>29</v>
      </c>
      <c r="K14" s="10">
        <f>PlanetXYZ($K$2,$K$4,H14,$K$6,lati, 10,1010)</f>
        <v>229.21362372465984</v>
      </c>
      <c r="L14" t="str">
        <f>Convert_Degree(K14/15)</f>
        <v>15° 16' 51"</v>
      </c>
      <c r="P14" s="10">
        <v>8.8201199999999993</v>
      </c>
      <c r="Q14" t="str">
        <f t="shared" ref="Q14:Q19" si="0">Convert_Degree(P14)</f>
        <v>8° 49' 12"</v>
      </c>
    </row>
    <row r="15" spans="1:17">
      <c r="A15" s="3"/>
      <c r="B15" s="4"/>
      <c r="E15" s="7"/>
      <c r="H15">
        <v>7</v>
      </c>
      <c r="I15" t="s">
        <v>30</v>
      </c>
      <c r="K15" s="10">
        <f>PlanetXYZ($K$2,$K$4,H15,$K$6,lati, 10,1010)</f>
        <v>-16.858474065320607</v>
      </c>
      <c r="L15" t="str">
        <f>Convert_Degree(K15)</f>
        <v>-16° 51' 31"</v>
      </c>
      <c r="P15" s="10">
        <v>30.231909999999999</v>
      </c>
      <c r="Q15" t="str">
        <f t="shared" si="0"/>
        <v>30° 13' 55"</v>
      </c>
    </row>
    <row r="16" spans="1:17">
      <c r="A16" s="3"/>
      <c r="B16" s="4"/>
      <c r="D16" t="s">
        <v>31</v>
      </c>
      <c r="E16">
        <f>AzFromRADec(K6,K14,K15,lati,0,E9,E10)</f>
        <v>168.96914627280995</v>
      </c>
      <c r="H16">
        <v>9</v>
      </c>
      <c r="I16" t="s">
        <v>31</v>
      </c>
      <c r="K16" s="10">
        <f>PlanetXYZ($K$2,$K$4,H16,$K$6,lati, 10,1010)</f>
        <v>168.96914627280995</v>
      </c>
      <c r="L16" t="str">
        <f>Convert_Degree(K16)</f>
        <v>168° 58' 9"</v>
      </c>
      <c r="P16" s="10">
        <v>30.042570000000001</v>
      </c>
      <c r="Q16" t="str">
        <f t="shared" si="0"/>
        <v>30° 2' 33"</v>
      </c>
    </row>
    <row r="17" spans="1:17" ht="15.75" thickBot="1">
      <c r="A17" s="5"/>
      <c r="B17" s="6"/>
      <c r="D17" t="s">
        <v>32</v>
      </c>
      <c r="E17">
        <f>AzFromRADec(K6,K14,K15,lati,1,E9,E10)</f>
        <v>-72.819627826472299</v>
      </c>
      <c r="H17">
        <v>8</v>
      </c>
      <c r="I17" t="s">
        <v>32</v>
      </c>
      <c r="K17" s="10">
        <f>PlanetXYZ($K$2,$K$4,H17,$K$6,lati, 10,1010)</f>
        <v>-72.822065453675691</v>
      </c>
      <c r="L17" t="str">
        <f>Convert_Degree(K17)</f>
        <v>-72° 49' 19"</v>
      </c>
      <c r="P17" s="10">
        <v>-1.8603099999999999</v>
      </c>
      <c r="Q17" t="str">
        <f t="shared" si="0"/>
        <v>-1° 51' 37"</v>
      </c>
    </row>
    <row r="18" spans="1:17">
      <c r="H18">
        <v>4</v>
      </c>
      <c r="I18" t="s">
        <v>33</v>
      </c>
      <c r="K18" s="10">
        <f>PlanetXYZ(K2,K4,4,K6,lati, 10,1010)</f>
        <v>226.01248474146266</v>
      </c>
      <c r="L18" t="str">
        <f>Convert_Degree(K18)</f>
        <v>226° 0' 45"</v>
      </c>
      <c r="P18" s="10">
        <v>149.06354999999999</v>
      </c>
      <c r="Q18" t="str">
        <f t="shared" si="0"/>
        <v>149° 3' 49"</v>
      </c>
    </row>
    <row r="19" spans="1:17">
      <c r="D19" t="s">
        <v>50</v>
      </c>
      <c r="E19">
        <f>(K6*360-K14)/15</f>
        <v>-11.774227205148467</v>
      </c>
      <c r="H19">
        <v>5</v>
      </c>
      <c r="I19" t="s">
        <v>34</v>
      </c>
      <c r="K19" s="10">
        <f>PlanetXYZ(K2,K4,5,K6,lati, 10,1010)</f>
        <v>1.0587524779213771</v>
      </c>
      <c r="L19" t="str">
        <f>Convert_Degree(K19)</f>
        <v>1° 3' 32"</v>
      </c>
      <c r="P19" s="10">
        <v>9.8867999999999991</v>
      </c>
      <c r="Q19" t="str">
        <f t="shared" si="0"/>
        <v>9° 53' 12"</v>
      </c>
    </row>
    <row r="20" spans="1:17">
      <c r="H20">
        <v>10</v>
      </c>
      <c r="I20" t="s">
        <v>35</v>
      </c>
      <c r="K20" s="10">
        <f>PlanetXYZ($K$2,$K$4,H20,$K$6,lati, 10,1010)</f>
        <v>4.5218433835222038</v>
      </c>
      <c r="P20" s="10">
        <v>2.1134838</v>
      </c>
    </row>
    <row r="21" spans="1:17">
      <c r="H21">
        <v>1</v>
      </c>
      <c r="I21" t="s">
        <v>43</v>
      </c>
      <c r="K21" s="10">
        <f>PlanetXYZ($K$2,$K$4,H21,$K$6,lati, 10,1010)</f>
        <v>-2.8269069727052663</v>
      </c>
      <c r="P21" s="10">
        <v>-1.2289654999999999</v>
      </c>
    </row>
    <row r="22" spans="1:17">
      <c r="H22">
        <v>2</v>
      </c>
      <c r="I22" t="s">
        <v>44</v>
      </c>
      <c r="K22" s="10">
        <f>PlanetXYZ($K$2,$K$4,H22,$K$6,lati, 10,1010)</f>
        <v>-3.5278402207640052</v>
      </c>
      <c r="P22" s="10">
        <v>1.6623927000000001</v>
      </c>
    </row>
    <row r="23" spans="1:17">
      <c r="H23">
        <v>3</v>
      </c>
      <c r="I23" t="s">
        <v>45</v>
      </c>
      <c r="K23" s="10">
        <f>PlanetXYZ($K$2,$K$4,H23,$K$6,lati, 10,1010)</f>
        <v>0.10003963981167954</v>
      </c>
      <c r="P23" s="10">
        <v>0.43921310000000002</v>
      </c>
    </row>
    <row r="24" spans="1:17">
      <c r="I24" t="s">
        <v>36</v>
      </c>
      <c r="K24" s="10">
        <f>PlanDist(K2,K4)</f>
        <v>5.4140844813248989</v>
      </c>
      <c r="P24" s="10">
        <v>2.5579939999999999</v>
      </c>
    </row>
    <row r="25" spans="1:17">
      <c r="I25" t="s">
        <v>40</v>
      </c>
      <c r="K25" s="10">
        <f>VisualMagnitude(K2,K4)</f>
        <v>-2.2918270343880613</v>
      </c>
      <c r="P25" s="10">
        <v>7.84</v>
      </c>
    </row>
    <row r="26" spans="1:17">
      <c r="I26" t="s">
        <v>41</v>
      </c>
      <c r="K26" s="10">
        <f>ApparentSize(K2,K4)</f>
        <v>43.420345055618597</v>
      </c>
      <c r="P26" s="10"/>
    </row>
    <row r="27" spans="1:17">
      <c r="I27" t="s">
        <v>42</v>
      </c>
      <c r="K27">
        <f>Elongation(K2,K4)</f>
        <v>150.15689428822262</v>
      </c>
      <c r="P27" s="10">
        <v>104.7</v>
      </c>
    </row>
    <row r="28" spans="1:17">
      <c r="I28" t="s">
        <v>49</v>
      </c>
      <c r="K28">
        <f>Phase(K2,K4)</f>
        <v>0.99787452180006064</v>
      </c>
    </row>
    <row r="29" spans="1:17">
      <c r="I29" t="s">
        <v>47</v>
      </c>
      <c r="P29" s="10">
        <v>-2.1615041000000002</v>
      </c>
    </row>
    <row r="30" spans="1:17">
      <c r="I30" t="s">
        <v>48</v>
      </c>
      <c r="P30" s="10">
        <v>1.2955019000000001</v>
      </c>
    </row>
    <row r="31" spans="1:17">
      <c r="I31" t="s">
        <v>46</v>
      </c>
      <c r="P31" s="10">
        <v>0.43921310000000002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lati</vt:lpstr>
      <vt:lpstr>longi</vt:lpstr>
      <vt:lpstr>planetlookup</vt:lpstr>
      <vt:lpstr>planlookup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2018-04-11T09:51:33Z</dcterms:created>
  <dcterms:modified xsi:type="dcterms:W3CDTF">2018-04-11T10:37:44Z</dcterms:modified>
</cp:coreProperties>
</file>